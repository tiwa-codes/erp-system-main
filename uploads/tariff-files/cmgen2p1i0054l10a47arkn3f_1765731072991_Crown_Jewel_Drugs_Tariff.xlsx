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alpha/Desktop/"/>
    </mc:Choice>
  </mc:AlternateContent>
  <xr:revisionPtr revIDLastSave="0" documentId="8_{E9F71502-61E4-3046-A6D3-60CDD8327252}" xr6:coauthVersionLast="47" xr6:coauthVersionMax="47" xr10:uidLastSave="{00000000-0000-0000-0000-000000000000}"/>
  <bookViews>
    <workbookView xWindow="0" yWindow="500" windowWidth="19420" windowHeight="10300" xr2:uid="{00000000-000D-0000-FFFF-FFFF00000000}"/>
  </bookViews>
  <sheets>
    <sheet name="Latest Wefill June 2025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0" i="4" l="1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16" i="4"/>
  <c r="M17" i="4"/>
  <c r="M18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2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" i="4"/>
</calcChain>
</file>

<file path=xl/sharedStrings.xml><?xml version="1.0" encoding="utf-8"?>
<sst xmlns="http://schemas.openxmlformats.org/spreadsheetml/2006/main" count="18408" uniqueCount="5584">
  <si>
    <t>TariffDrugName</t>
  </si>
  <si>
    <t>Unit Price</t>
  </si>
  <si>
    <t>DosageForm</t>
  </si>
  <si>
    <t>GenericName</t>
  </si>
  <si>
    <t>service type</t>
  </si>
  <si>
    <t>BrandName</t>
  </si>
  <si>
    <t>BRAND/GENERIC</t>
  </si>
  <si>
    <t>PackSize</t>
  </si>
  <si>
    <t>Strength</t>
  </si>
  <si>
    <t>DrugClass</t>
  </si>
  <si>
    <t>TABLETS</t>
  </si>
  <si>
    <t>Empaglifozin</t>
  </si>
  <si>
    <t>C</t>
  </si>
  <si>
    <t>Jardiance</t>
  </si>
  <si>
    <t>BRANDED</t>
  </si>
  <si>
    <t>25mg</t>
  </si>
  <si>
    <t>ANTI-DIABETIC</t>
  </si>
  <si>
    <t>10%SSA OINTMENT</t>
  </si>
  <si>
    <t>OINTMENT</t>
  </si>
  <si>
    <t>SALICYLIC ACID</t>
  </si>
  <si>
    <t>T</t>
  </si>
  <si>
    <t>10%SSA</t>
  </si>
  <si>
    <t>GENERIC</t>
  </si>
  <si>
    <t>TOPICAL</t>
  </si>
  <si>
    <t>10mls Syringe</t>
  </si>
  <si>
    <t>NIL</t>
  </si>
  <si>
    <t>Syringe</t>
  </si>
  <si>
    <t>10ml</t>
  </si>
  <si>
    <t>CONSUMABLES</t>
  </si>
  <si>
    <t>14-DAY ACAI BERRY CLEANSE CAPS X56</t>
  </si>
  <si>
    <t>CAPSULES</t>
  </si>
  <si>
    <t>ACAI BERRY</t>
  </si>
  <si>
    <t>14-DAY ACAI BERRY CLEANSE</t>
  </si>
  <si>
    <t xml:space="preserve">BRANDED </t>
  </si>
  <si>
    <t>SUPPLEMENT</t>
  </si>
  <si>
    <t>20% SSA OINTMENT</t>
  </si>
  <si>
    <t>SULPHUR SALICYLIC ACID</t>
  </si>
  <si>
    <t>20% sulphur salicylic acid</t>
  </si>
  <si>
    <t>2mls Syringe</t>
  </si>
  <si>
    <t>2ml</t>
  </si>
  <si>
    <t>5% SSA OINTMENT</t>
  </si>
  <si>
    <t>SALICYCLIC ACID</t>
  </si>
  <si>
    <t>5% SALICYCLIC ACID</t>
  </si>
  <si>
    <t>5mls Syringe</t>
  </si>
  <si>
    <t>5ml</t>
  </si>
  <si>
    <t>ABACAVIR 300MG TABS X60</t>
  </si>
  <si>
    <t>ABACAVIR</t>
  </si>
  <si>
    <t>300mg</t>
  </si>
  <si>
    <t>ANTIVIRAL</t>
  </si>
  <si>
    <t>ABAKTAL 400MG TABS X10</t>
  </si>
  <si>
    <t>PEFLOXACIN</t>
  </si>
  <si>
    <t>ABAKTAL</t>
  </si>
  <si>
    <t>400mg</t>
  </si>
  <si>
    <t>ANTIBIOTIC</t>
  </si>
  <si>
    <t>ABF CREAM</t>
  </si>
  <si>
    <t>CREAM</t>
  </si>
  <si>
    <t>BECLOMETHASONE, CLOTRIMAZOLE, GENTAMICIN</t>
  </si>
  <si>
    <t>ABF</t>
  </si>
  <si>
    <t>ABIDEC DROPS NIG X 25ML</t>
  </si>
  <si>
    <t>SYRUP</t>
  </si>
  <si>
    <t>MULTIVITAMIN</t>
  </si>
  <si>
    <t>ABIDEC</t>
  </si>
  <si>
    <t>60ml</t>
  </si>
  <si>
    <t>ABIDEC SYRUP 150ML</t>
  </si>
  <si>
    <t>ABIRATERONE 250MG (Arbirapro) X30</t>
  </si>
  <si>
    <t>Abiraterone</t>
  </si>
  <si>
    <t>Abirapro</t>
  </si>
  <si>
    <t>250mg</t>
  </si>
  <si>
    <t>HORMONAL</t>
  </si>
  <si>
    <t>ABONIKI BALM INHALER</t>
  </si>
  <si>
    <t>NASAL INHALER</t>
  </si>
  <si>
    <t>CAMPHOR/ EUCALYPTUS OIL/ MENTHOL/ METHYLSALICYLATE</t>
  </si>
  <si>
    <t xml:space="preserve">ABONIKI </t>
  </si>
  <si>
    <t>5.04%/ 2.3%/ 5.1%/ 4.25%</t>
  </si>
  <si>
    <t>RESPIRATORY</t>
  </si>
  <si>
    <t>ABONIKI BALM SINGLE</t>
  </si>
  <si>
    <t>ACARBOSE 50MG TABS X10</t>
  </si>
  <si>
    <t>ACARBOSE</t>
  </si>
  <si>
    <t>50mg</t>
  </si>
  <si>
    <t>Accu-Chek Lancet</t>
  </si>
  <si>
    <t>CONSUMABLE</t>
  </si>
  <si>
    <t>X1</t>
  </si>
  <si>
    <t>Accu-Chek Strips x 25 strips</t>
  </si>
  <si>
    <t>ACCU CHECK STRIP</t>
  </si>
  <si>
    <t>Acelofenac/PCM/Chlorsoxazone 100mg/500mg/250mg</t>
  </si>
  <si>
    <t>NO-ACH</t>
  </si>
  <si>
    <t>100/500/250</t>
  </si>
  <si>
    <t>ANALGESIC</t>
  </si>
  <si>
    <t>ACETAZOLAMIDE 250MG TAB (DIAMOX)</t>
  </si>
  <si>
    <t>250MG</t>
  </si>
  <si>
    <t>ANTI-HYPERTENSIVE</t>
  </si>
  <si>
    <t>ACICLOVIR CREAM 10G</t>
  </si>
  <si>
    <t>ACICLOVIR</t>
  </si>
  <si>
    <t>ACICLOVIR 10G</t>
  </si>
  <si>
    <t>ACICLOVIR TABS 200MG X25</t>
  </si>
  <si>
    <t>200mg</t>
  </si>
  <si>
    <t>ACICLOVIR TABS 400MG X25</t>
  </si>
  <si>
    <t>ACICLOVIR TABS 800MG X25</t>
  </si>
  <si>
    <t>800mg</t>
  </si>
  <si>
    <t>ACNEAWAY CREAM</t>
  </si>
  <si>
    <t>ECONAZOLE/ TRIAMCINOLONE/ GENTAMICIN</t>
  </si>
  <si>
    <t>ACNEAWAY</t>
  </si>
  <si>
    <t>0.1%/ 1%/ 0.1%</t>
  </si>
  <si>
    <t>ANTIFUNGAL</t>
  </si>
  <si>
    <t>ACT TABS X12</t>
  </si>
  <si>
    <t>ARTEMETHER + LUMEFANTRINE</t>
  </si>
  <si>
    <t>ACT</t>
  </si>
  <si>
    <t>20/120</t>
  </si>
  <si>
    <t>ANTIMALARIAL</t>
  </si>
  <si>
    <t>ACT TABS X18</t>
  </si>
  <si>
    <t>ARTEMETHER/LUMEFANTHRIN</t>
  </si>
  <si>
    <t>20/120mg</t>
  </si>
  <si>
    <t>ACT TABS x24</t>
  </si>
  <si>
    <t>ACT TABS X6 (DISPERSIBLE)</t>
  </si>
  <si>
    <t>ACTIFED MULTI ACTION TABS X12</t>
  </si>
  <si>
    <t>Tripolidine / Pseudoephedrine</t>
  </si>
  <si>
    <t>ACTIFED MULTI ACTION</t>
  </si>
  <si>
    <t>2.5mg/60mg</t>
  </si>
  <si>
    <t>COUGH AND COLD</t>
  </si>
  <si>
    <t>ACTIFED SYRUP NIG X60ML</t>
  </si>
  <si>
    <t>TRIPOLIDINE/PSEUDOEPHEDRINE</t>
  </si>
  <si>
    <t>ACTIFED</t>
  </si>
  <si>
    <t>60/2.5MG</t>
  </si>
  <si>
    <t>ACTRAPID HM 100IU X10ML</t>
  </si>
  <si>
    <t>INJECTION</t>
  </si>
  <si>
    <t>INSULIN</t>
  </si>
  <si>
    <t>ACTRAPID</t>
  </si>
  <si>
    <t>100IU</t>
  </si>
  <si>
    <t>ACTRAPID HM 40IU X10ML</t>
  </si>
  <si>
    <t>40IU</t>
  </si>
  <si>
    <t>Acyclovir syrup Bottles</t>
  </si>
  <si>
    <t>Acyclovir</t>
  </si>
  <si>
    <t>200mg/5ml</t>
  </si>
  <si>
    <t>ACYCOR PLUS TABS X10</t>
  </si>
  <si>
    <t>ACECLOFENAC/PARACETAMOL</t>
  </si>
  <si>
    <t>ACYCOR PLUS</t>
  </si>
  <si>
    <t>100mg\500mg</t>
  </si>
  <si>
    <t>ACYCOR TABS X10</t>
  </si>
  <si>
    <t>ACECLOFENAC</t>
  </si>
  <si>
    <t>ACYCOR</t>
  </si>
  <si>
    <t>100mg</t>
  </si>
  <si>
    <t>ACYVIR EYE OINTMENT(ACICLOVIR)</t>
  </si>
  <si>
    <t>EYE OINTMENT</t>
  </si>
  <si>
    <t>ADALAT RETARD 10MG X56</t>
  </si>
  <si>
    <t>NIFEDIPINE</t>
  </si>
  <si>
    <t>ADALAT RETARD</t>
  </si>
  <si>
    <t>10mg</t>
  </si>
  <si>
    <t>ADALAT RETARD 20MG X56</t>
  </si>
  <si>
    <t>20mg</t>
  </si>
  <si>
    <t>ADAY KIT TABS</t>
  </si>
  <si>
    <t>FLUCONAZOLE, AZITHROMYCIN, SECNIDAZOLE</t>
  </si>
  <si>
    <t>A DAY KIT</t>
  </si>
  <si>
    <t>150mg/1g/1g</t>
  </si>
  <si>
    <t>ADDYZOA CAPS X20</t>
  </si>
  <si>
    <t>ADDYZOA</t>
  </si>
  <si>
    <t>SEXUAL HEALTH</t>
  </si>
  <si>
    <t>Adjustable Quadripod Walking Stick</t>
  </si>
  <si>
    <t>ADJUSTABLE QUADRIPOD WALKING STICK</t>
  </si>
  <si>
    <t>ADVANT 16MG (CANDERSARTAN) TABS X14</t>
  </si>
  <si>
    <t>CANDERSARTAN</t>
  </si>
  <si>
    <t>Advant</t>
  </si>
  <si>
    <t>16mg</t>
  </si>
  <si>
    <t>ADVANT 8MG TABS (CANDERSARTAN) X14</t>
  </si>
  <si>
    <t>8mg</t>
  </si>
  <si>
    <t>METYLPREDNISOLONE</t>
  </si>
  <si>
    <t>ADVANTEC TABS 16/12.5MG X28</t>
  </si>
  <si>
    <t>CANDERSARTAN/HYDROCHLOROTHIAZIDE</t>
  </si>
  <si>
    <t xml:space="preserve">ADVANTEC </t>
  </si>
  <si>
    <t>16/12.5mg</t>
  </si>
  <si>
    <t>AEROLINE INHALER (SALBUTAMOL)</t>
  </si>
  <si>
    <t>INHALER</t>
  </si>
  <si>
    <t>SALBUTAMOL</t>
  </si>
  <si>
    <t>AEROLINE INHALER</t>
  </si>
  <si>
    <t>100mcg/dose</t>
  </si>
  <si>
    <t>AFM-T EYE DROP</t>
  </si>
  <si>
    <t>EYE DROP</t>
  </si>
  <si>
    <t>FLOUROMETHOLONE/ TETRYZOLINE</t>
  </si>
  <si>
    <t>AFM-T</t>
  </si>
  <si>
    <t>0.1%/0.25%</t>
  </si>
  <si>
    <t>ANTI-ALLERGY</t>
  </si>
  <si>
    <t>AFRAB IBUPROFEN SUSPENSION 100ML</t>
  </si>
  <si>
    <t>SUSPENSION</t>
  </si>
  <si>
    <t>IBUPROFEN</t>
  </si>
  <si>
    <t>AFRAB IBUPROFEN 100ML</t>
  </si>
  <si>
    <t>100mg/5mL</t>
  </si>
  <si>
    <t>AFRABVITE DROPS 25ML</t>
  </si>
  <si>
    <t>DROPS</t>
  </si>
  <si>
    <t>MULTIVITAMIN DROP</t>
  </si>
  <si>
    <t>AFRAB VITE</t>
  </si>
  <si>
    <t>AFRABVITE SYRUP</t>
  </si>
  <si>
    <t>MULTIVITAMIN( VIT A/ VIT B1/ VIT C/ VIT D2/ NICOTINAMIDE)</t>
  </si>
  <si>
    <t>AFRABVITE</t>
  </si>
  <si>
    <t>500IU/2.5mg/50mg/1000IU/10mg/5mL</t>
  </si>
  <si>
    <t>AIRLUKAST 10MG TABS X30</t>
  </si>
  <si>
    <t>MONTELUKAST</t>
  </si>
  <si>
    <t>AIRLUKAST</t>
  </si>
  <si>
    <t>AIRLUKAST 4MG CHEWABLE TABS X30</t>
  </si>
  <si>
    <t>AIRLUKAST CHEWABLE</t>
  </si>
  <si>
    <t>4mg</t>
  </si>
  <si>
    <t>AIRLUKAST 5MG CHEWABLE TABS X30</t>
  </si>
  <si>
    <t>5mg</t>
  </si>
  <si>
    <t>ALABUKUN POWDER</t>
  </si>
  <si>
    <t>POWDER</t>
  </si>
  <si>
    <t>ACETYL SALICYLIC ACID</t>
  </si>
  <si>
    <t>ALBENDAZOLE 200MG CHEWABLE TABS X2</t>
  </si>
  <si>
    <t>ALBENDAZOLE</t>
  </si>
  <si>
    <t>TANZOL</t>
  </si>
  <si>
    <t>500mg</t>
  </si>
  <si>
    <t>Alcohol Swap (PACK)</t>
  </si>
  <si>
    <t>ALCOHOL SWAB</t>
  </si>
  <si>
    <t>ALDACTONE 25MG TABS X10</t>
  </si>
  <si>
    <t>SPIRONOLACTONE</t>
  </si>
  <si>
    <t>ALDACTONE</t>
  </si>
  <si>
    <t>ALDOMET TABS X10</t>
  </si>
  <si>
    <t>METHYLDOPA</t>
  </si>
  <si>
    <t>ALDOMET</t>
  </si>
  <si>
    <t>ALENDRONIC ACID 70MG X4</t>
  </si>
  <si>
    <t>ALENDRONIC ACID</t>
  </si>
  <si>
    <t>70mg</t>
  </si>
  <si>
    <t>OTHERS</t>
  </si>
  <si>
    <t>ALFACALCIDOL 0.25MG (STRIDES PHARMA)</t>
  </si>
  <si>
    <t>ALFACALCIDOL</t>
  </si>
  <si>
    <t>ALFACALCIDOL STRIDES PHARMA</t>
  </si>
  <si>
    <t>0.25mg</t>
  </si>
  <si>
    <t>ALFUZOSIN XL TAB 10MG X28</t>
  </si>
  <si>
    <t>ALFUZOSIN</t>
  </si>
  <si>
    <t>XATRAL XL</t>
  </si>
  <si>
    <t>NEUROLOGIC</t>
  </si>
  <si>
    <t>ALLEREX EYE DROP</t>
  </si>
  <si>
    <t>ANTALOZINE HCL/ TERAHYDROZOLINE HCL</t>
  </si>
  <si>
    <t>ALLEREX</t>
  </si>
  <si>
    <t>0.5mg/0.4mg</t>
  </si>
  <si>
    <t>ALLERGIN SYRUP</t>
  </si>
  <si>
    <t>CHLORPHENIRAMINE</t>
  </si>
  <si>
    <t>ALLERGIN</t>
  </si>
  <si>
    <t>2mg/5mL</t>
  </si>
  <si>
    <t>ALLOPURINOL TABS 300MG X 28</t>
  </si>
  <si>
    <t>ALLOPURINOL</t>
  </si>
  <si>
    <t>ALPHABETIC TABLETS X30</t>
  </si>
  <si>
    <t>SUPPLEMENT (ALPHA LIPOIC ACID/ LUTEIN/ VANDIUM)</t>
  </si>
  <si>
    <t>ALPHABETIC</t>
  </si>
  <si>
    <t>ALPHAGAN EYE DROPS</t>
  </si>
  <si>
    <t>BRIMONIDINE</t>
  </si>
  <si>
    <t>ALPHAGAN</t>
  </si>
  <si>
    <t>OPTHALMIC</t>
  </si>
  <si>
    <t>ALSTORETIC TABS X28</t>
  </si>
  <si>
    <t>LISINOPRIL/HYDROCHLOROTHIAZIDE</t>
  </si>
  <si>
    <t>ALSTORETIC</t>
  </si>
  <si>
    <t>5/12.5mg</t>
  </si>
  <si>
    <t>ALTACEF 250MG TABS X10</t>
  </si>
  <si>
    <t>CEFUROXIME</t>
  </si>
  <si>
    <t>ALTACEF</t>
  </si>
  <si>
    <t>ALTACEF 500MG TABS X10</t>
  </si>
  <si>
    <t>ALTARGO 1% OINTMENT 5G</t>
  </si>
  <si>
    <t>RETAPAMULIN</t>
  </si>
  <si>
    <t>ALTARGO 1% 5G</t>
  </si>
  <si>
    <t>ALVEDON SUPPOSITORY 250MG (PARACETAMOL)</t>
  </si>
  <si>
    <t>SUPPOSITORY</t>
  </si>
  <si>
    <t>PARACETAMOL</t>
  </si>
  <si>
    <t>ALVEDON</t>
  </si>
  <si>
    <t>125mg</t>
  </si>
  <si>
    <t>ALVEDON SUPPOSITORY125MG(PARACETAMOL)</t>
  </si>
  <si>
    <t>AMALAR TABS SINGLES X3</t>
  </si>
  <si>
    <t>SULPHADOXINE / PYRIMETHAMINE</t>
  </si>
  <si>
    <t>AMALAR SINGLES</t>
  </si>
  <si>
    <t>500mg/25mg</t>
  </si>
  <si>
    <t>AMANTADINE 100MG CAPS X56</t>
  </si>
  <si>
    <t>AMANTADINE</t>
  </si>
  <si>
    <t>AMARYL 1MG X30</t>
  </si>
  <si>
    <t>GLIMEPIRIDE</t>
  </si>
  <si>
    <t>AMARYL</t>
  </si>
  <si>
    <t>1mg</t>
  </si>
  <si>
    <t>AMARYL 2MG X30</t>
  </si>
  <si>
    <t>2mg</t>
  </si>
  <si>
    <t>AMARYL 4MG X30</t>
  </si>
  <si>
    <t>AMARYL-M2 TABS X30</t>
  </si>
  <si>
    <t>GLIMEPIRIDE/ METFORMIN</t>
  </si>
  <si>
    <t>AMARYL-M2</t>
  </si>
  <si>
    <t>2mg/ 500mg</t>
  </si>
  <si>
    <t>AMATEM FORTE SOFTGEL X6</t>
  </si>
  <si>
    <t>ARTEMETER/ LUMEFANTRINE</t>
  </si>
  <si>
    <t>AMATEM SOFTGEL</t>
  </si>
  <si>
    <t>80/480mg</t>
  </si>
  <si>
    <t>AMATEM FORTE TABS X6</t>
  </si>
  <si>
    <t>AMATEM FORTE</t>
  </si>
  <si>
    <t>AMATEM SYRUP</t>
  </si>
  <si>
    <t>AMATEM</t>
  </si>
  <si>
    <t>15mg/90mg/5mL</t>
  </si>
  <si>
    <t>AMATEM TABS X24</t>
  </si>
  <si>
    <t>AMIKACIN INJECTION</t>
  </si>
  <si>
    <t>AMIKACIN 1000MG</t>
  </si>
  <si>
    <t>A</t>
  </si>
  <si>
    <t>AMIKACIN</t>
  </si>
  <si>
    <t>1G</t>
  </si>
  <si>
    <t>ANTIBIOTICS</t>
  </si>
  <si>
    <t>AMINO ACID INFUSION (NIRMIN)</t>
  </si>
  <si>
    <t>INFUSION</t>
  </si>
  <si>
    <t>AMINO ACIDS/ ELECTROLYTE</t>
  </si>
  <si>
    <t>AMINO PEP SYRUP</t>
  </si>
  <si>
    <t>MULTIVITAMIN (AMINO ACIDS/ VIT A/ TOCOPHEROL/ VIT B2)</t>
  </si>
  <si>
    <t>AMINO PEP</t>
  </si>
  <si>
    <t>70mg/ 2500IU/ 7.5IU/ 3mg</t>
  </si>
  <si>
    <t>AMINOFER TONIC 200ML</t>
  </si>
  <si>
    <t>AMINOACIDS/ IRON/ VITAMINS</t>
  </si>
  <si>
    <t>AMINOPHYLINE TABS X1000</t>
  </si>
  <si>
    <t>AMINOPHYLINE</t>
  </si>
  <si>
    <t>Aminophylline 125mg</t>
  </si>
  <si>
    <t>Aminophylline</t>
  </si>
  <si>
    <t>AMINOPHYLLINE INJECTION X10</t>
  </si>
  <si>
    <t>AMIODARONE 150MG/3ML INJECTION X6</t>
  </si>
  <si>
    <t>AMIODARONE</t>
  </si>
  <si>
    <t>150mg/3mL</t>
  </si>
  <si>
    <t>CARDIOVASCULAR</t>
  </si>
  <si>
    <t>AMIODARONE 30MG/ML 10MLPREFILLED</t>
  </si>
  <si>
    <t>AMIODARONE 10ML</t>
  </si>
  <si>
    <t>30mg/mL</t>
  </si>
  <si>
    <t>AMIODARONE TABS 100MG X28</t>
  </si>
  <si>
    <t>AMIODARONE TABS 200MG X28</t>
  </si>
  <si>
    <t>AMITRIPTYLINE TABS 10MG X28</t>
  </si>
  <si>
    <t>AMITRIPTYLINE</t>
  </si>
  <si>
    <t>AMITRIPTYLINE TABS 25MG X28</t>
  </si>
  <si>
    <t>AMITRIPTYLINE TABS 50MG X28</t>
  </si>
  <si>
    <t>AMLODIPINE TABS 10MG X28</t>
  </si>
  <si>
    <t>AMLODIPINE</t>
  </si>
  <si>
    <t>AMLODIPINE TEVA</t>
  </si>
  <si>
    <t>AMLODIPINE TABS 5MG X28</t>
  </si>
  <si>
    <t>AMLODIPINE/VALSARTAN 10/160MG (GENERIC)</t>
  </si>
  <si>
    <t>AMLODIPINE/VALSARTAN</t>
  </si>
  <si>
    <t>10/160mg</t>
  </si>
  <si>
    <t>Amlodipine/Valsartan 10/160mg (VALVAS)</t>
  </si>
  <si>
    <t>Amlodipine/Valsartan</t>
  </si>
  <si>
    <t>VALVAS</t>
  </si>
  <si>
    <t>AMLONG 10MG X30</t>
  </si>
  <si>
    <t>AMLONG</t>
  </si>
  <si>
    <t>AMLONG 5MG TABS X30</t>
  </si>
  <si>
    <t>AMLOVAR 10MG X30</t>
  </si>
  <si>
    <t>AMLOVAR</t>
  </si>
  <si>
    <t>AMLOVAR 5MG X30</t>
  </si>
  <si>
    <t>AMLOVAS 10MG TABS X30</t>
  </si>
  <si>
    <t>AMLOVAS</t>
  </si>
  <si>
    <t>AMLOVAS 5MG TABS X30</t>
  </si>
  <si>
    <t>AMLOZAAR TABS X30</t>
  </si>
  <si>
    <t>LOSARTAN/AMLODIPINE</t>
  </si>
  <si>
    <t>AMLOZAAR</t>
  </si>
  <si>
    <t>50/10MG</t>
  </si>
  <si>
    <t>AMOKSICLAV 1.2G INJECTION</t>
  </si>
  <si>
    <t>AMOXICILLIN/CLAVULANIC ACID</t>
  </si>
  <si>
    <t>AMOKSICLAV</t>
  </si>
  <si>
    <t>1.2g</t>
  </si>
  <si>
    <t>AMOKSICLAV 1G TABS X14</t>
  </si>
  <si>
    <t>AMOXICILLIN / CLAVULANATE</t>
  </si>
  <si>
    <t>1000mg</t>
  </si>
  <si>
    <t>AMOKSICLAV 375 X14</t>
  </si>
  <si>
    <t>375mg</t>
  </si>
  <si>
    <t>AMOKSICLAV SUSP 156.25MG</t>
  </si>
  <si>
    <t>AMOXICILLIN/ CLAVULANIC ACID</t>
  </si>
  <si>
    <t>156.25mg</t>
  </si>
  <si>
    <t>AMOKSICLAV SUSP 312.5MG</t>
  </si>
  <si>
    <t>312.5mg</t>
  </si>
  <si>
    <t>AMOKSICLAV SUSP 475MG</t>
  </si>
  <si>
    <t>475mg</t>
  </si>
  <si>
    <t>AMOKSICLAV TAB 625MG X14</t>
  </si>
  <si>
    <t>625mg</t>
  </si>
  <si>
    <t>AMOXICILLIN 250MG CAPS X10</t>
  </si>
  <si>
    <t>AMOXICILLIN</t>
  </si>
  <si>
    <t>AMOXICILLIN GENERIC</t>
  </si>
  <si>
    <t>AMOXICILLIN 500MG CAPS X10</t>
  </si>
  <si>
    <t>AMOXICILLIN CLAVULANIC ACID 600MG INJ (AMOKSIKLAV)</t>
  </si>
  <si>
    <t>AMOXICILLIN CLAVULANIC ACID</t>
  </si>
  <si>
    <t xml:space="preserve"> AMOKSIKLAV</t>
  </si>
  <si>
    <t>600MG</t>
  </si>
  <si>
    <t>AMOXICILLIN SYRUP 250MG 100ML</t>
  </si>
  <si>
    <t>AMOXICILLIN 100ML GENERIC</t>
  </si>
  <si>
    <t>250mg/3mL</t>
  </si>
  <si>
    <t>AMOXIL 500MG CAPS X10</t>
  </si>
  <si>
    <t>AMOXIL</t>
  </si>
  <si>
    <t>AMOXIL CAPS 250MG X10</t>
  </si>
  <si>
    <t>AMOXIL SUSPENSION 125MG X100ML</t>
  </si>
  <si>
    <t>AMOXIL 100ML</t>
  </si>
  <si>
    <t>125mg/mL</t>
  </si>
  <si>
    <t>AMPICILLIN 250MG CAPS 10</t>
  </si>
  <si>
    <t>AMPICILLIN</t>
  </si>
  <si>
    <t>AMPICILLIN/CLOXACILLIN 500MG CAPS X10</t>
  </si>
  <si>
    <t>AMPICILLIN/CLOAXILLIN</t>
  </si>
  <si>
    <t>AMPICILLIN/CLOXACILLIN</t>
  </si>
  <si>
    <t>AMPICLOX CAPS 500MG X10</t>
  </si>
  <si>
    <t>AMPICILLIN , CLOXACILLIN</t>
  </si>
  <si>
    <t>AMPICLOX BEECHAM</t>
  </si>
  <si>
    <t>AMPICLOX NEONATAL DROP</t>
  </si>
  <si>
    <t>AMPICILLIN CLOXACILLIN</t>
  </si>
  <si>
    <t>90mg/0.6ml</t>
  </si>
  <si>
    <t>AMPICLOX SYRUP X100ML</t>
  </si>
  <si>
    <t>AMPICLOX</t>
  </si>
  <si>
    <t>250MG/5ML-100ML</t>
  </si>
  <si>
    <t>ANAFRANIL 25MG</t>
  </si>
  <si>
    <t>CLOMIPRAMINE</t>
  </si>
  <si>
    <t>ANAFRANIL SR</t>
  </si>
  <si>
    <t>75mg</t>
  </si>
  <si>
    <t>ANAFRANIL SR 75MG TABS X20</t>
  </si>
  <si>
    <t>ANASTRAZOLE 1MG TABS X28</t>
  </si>
  <si>
    <t>ANASTRAZOLE</t>
  </si>
  <si>
    <t>Anastrazole 1mg X30</t>
  </si>
  <si>
    <t>ANDREWS LIVER SALT</t>
  </si>
  <si>
    <t>ANTACID</t>
  </si>
  <si>
    <t>ANDREWS LIVER SALTS</t>
  </si>
  <si>
    <t>5MG</t>
  </si>
  <si>
    <t>GASTROINTESTINAL</t>
  </si>
  <si>
    <t>ANGIZAAR 100MG TABS X30</t>
  </si>
  <si>
    <t>LOSARTAN</t>
  </si>
  <si>
    <t>ANGIZAAR</t>
  </si>
  <si>
    <t>ANGIZAAR 25MG TABS X30</t>
  </si>
  <si>
    <t>ANGIZAAR 50MG TABS X30</t>
  </si>
  <si>
    <t>ANGIZAAR H 50/12.5MG TABS X30</t>
  </si>
  <si>
    <t>LOSARTAN/HYDROCHLROTHIAZIDE</t>
  </si>
  <si>
    <t>ANGIZAAR-H</t>
  </si>
  <si>
    <t>50/12.5mg</t>
  </si>
  <si>
    <t>ANKLE BRACE</t>
  </si>
  <si>
    <t>MEDICAL AID</t>
  </si>
  <si>
    <t>ANOROL TABS 10</t>
  </si>
  <si>
    <t>ORPHENADRINE/ PARACETAMOL CITRATE</t>
  </si>
  <si>
    <t>ANOROL</t>
  </si>
  <si>
    <t>450/35mg</t>
  </si>
  <si>
    <t>ANTALLERGE EYEDROP</t>
  </si>
  <si>
    <t>Antazoline</t>
  </si>
  <si>
    <t>ANTALLERGE</t>
  </si>
  <si>
    <t>ANTHISAN CREAM 25G</t>
  </si>
  <si>
    <t>MEPYRAMINE MALEATE</t>
  </si>
  <si>
    <t>ANTHISAN 25G</t>
  </si>
  <si>
    <t>ANTIFUNGAL POWDER SPRAY 100G</t>
  </si>
  <si>
    <t>POWDER SPRAY</t>
  </si>
  <si>
    <t>TOLNAFTATE</t>
  </si>
  <si>
    <t>ANTIMAL TABS X3</t>
  </si>
  <si>
    <t>SULPHADOXINE/PYRIMETHAMINE</t>
  </si>
  <si>
    <t>ANTIMAL</t>
  </si>
  <si>
    <t>ANUSOL GEL</t>
  </si>
  <si>
    <t>Zinc Oxide/Bismuth</t>
  </si>
  <si>
    <t>ANUSOL</t>
  </si>
  <si>
    <t>ANUSOL OINTMENT PLAIN 25G</t>
  </si>
  <si>
    <t>ANUSOL PLUS HC OINTMENT 15G</t>
  </si>
  <si>
    <t>ZINC OXIDE/BENZYL BENZOATE/HYDROCORTISONE</t>
  </si>
  <si>
    <t>ANUSOL PLUS HC 15G</t>
  </si>
  <si>
    <t>ANUSOL PLUS HC OINTMENT 30G</t>
  </si>
  <si>
    <t>ANUSOL PLUS HC 30G</t>
  </si>
  <si>
    <t>ANUSOL PLUS HC SUPPOSITORY X12</t>
  </si>
  <si>
    <t>ANUSOL SUPPOSITORY PLAIN X12</t>
  </si>
  <si>
    <t>ZINC OXIDE/ BISMUTH SUBGALLATE/ BALSAM PERU/ BISMUTH OXIDE</t>
  </si>
  <si>
    <t>ANUSOL PLAIN</t>
  </si>
  <si>
    <t>296mg/ 59mg/ 49mg/ 24mg</t>
  </si>
  <si>
    <t>APCALIS-SX 10MG (TADALAFIL) X4</t>
  </si>
  <si>
    <t>TADALAFIL</t>
  </si>
  <si>
    <t>APCALIS-SX</t>
  </si>
  <si>
    <t>APCALIS-SX 20 (TADALIS) X4</t>
  </si>
  <si>
    <t>APCALIS</t>
  </si>
  <si>
    <t>Apetamin Syrup</t>
  </si>
  <si>
    <t>Cyproheptadine</t>
  </si>
  <si>
    <t>APETAMIN</t>
  </si>
  <si>
    <t>2mg/5ml</t>
  </si>
  <si>
    <t>Apidra penfil 100iu/mi(Insulin glulisine)</t>
  </si>
  <si>
    <t>Insulin glulisine</t>
  </si>
  <si>
    <t>Apidra penfil 100iu/mi</t>
  </si>
  <si>
    <t>100iu/mi</t>
  </si>
  <si>
    <t>APIXABAN 5MG (GENERIC)</t>
  </si>
  <si>
    <t>APIXABAN</t>
  </si>
  <si>
    <t>APROSTAN EYE DROP</t>
  </si>
  <si>
    <t>LATANOPROST</t>
  </si>
  <si>
    <t>APROSTAN</t>
  </si>
  <si>
    <t>APROSTAN EYE OINT</t>
  </si>
  <si>
    <t>APROSTAN EYE</t>
  </si>
  <si>
    <t>APROVASC 150/10MG TABS X28</t>
  </si>
  <si>
    <t>IRBESARTAN/ AMLODIPINE</t>
  </si>
  <si>
    <t>APROVASC</t>
  </si>
  <si>
    <t>150mg10mg</t>
  </si>
  <si>
    <t>APROVASC 150/5MG TABS X28</t>
  </si>
  <si>
    <t>150/5mg</t>
  </si>
  <si>
    <t>APROVASC 300/10MG TABS X28</t>
  </si>
  <si>
    <t>300mg/10mg</t>
  </si>
  <si>
    <t>APROVASC 300/5MG TABS X28</t>
  </si>
  <si>
    <t>300mg/5mg</t>
  </si>
  <si>
    <t>APROVEL 150MG TAB X28</t>
  </si>
  <si>
    <t>IRBESARTAN</t>
  </si>
  <si>
    <t>APROVEL</t>
  </si>
  <si>
    <t>150mg</t>
  </si>
  <si>
    <t>APROVEL 300MG X 28</t>
  </si>
  <si>
    <t>AQUA TEARS EYE DROP</t>
  </si>
  <si>
    <t>ARTIFICIAL TEARS</t>
  </si>
  <si>
    <t>AQUA TEARS</t>
  </si>
  <si>
    <t>AQUACLAV 228.5MG SUSPENSION 100ML</t>
  </si>
  <si>
    <t>AQUACLAV 100ML</t>
  </si>
  <si>
    <t>200mg/28.5mg</t>
  </si>
  <si>
    <t>AQUACLAV 625MG TABS X14</t>
  </si>
  <si>
    <t>AQUACLAV</t>
  </si>
  <si>
    <t>500mg/ 125mg</t>
  </si>
  <si>
    <t>ARBITEL 40MG TABS X30</t>
  </si>
  <si>
    <t>TELMISARTAN</t>
  </si>
  <si>
    <t>ARBITEL</t>
  </si>
  <si>
    <t>40mg</t>
  </si>
  <si>
    <t>ARBITEL 80MG TABS X30</t>
  </si>
  <si>
    <t>80mg</t>
  </si>
  <si>
    <t>ARBITEL H 40/12.5MG TABS X30</t>
  </si>
  <si>
    <t>TELMISARTAN/HYDROCHLOROTHIAZIDE</t>
  </si>
  <si>
    <t>ARBITEL-H</t>
  </si>
  <si>
    <t>40/12.5mg</t>
  </si>
  <si>
    <t>ARBITEL H 80/12.5MG TABS X30</t>
  </si>
  <si>
    <t>80/12.5mg</t>
  </si>
  <si>
    <t>ARBITEL-AM TABS X30</t>
  </si>
  <si>
    <t>TELMISARTAN/AMLODIPINE</t>
  </si>
  <si>
    <t>ARBITEL-AM</t>
  </si>
  <si>
    <t>40/5MG</t>
  </si>
  <si>
    <t>ARIMIDEX TAB</t>
  </si>
  <si>
    <t>ANASTROZOLE</t>
  </si>
  <si>
    <t>ARIMIDEX</t>
  </si>
  <si>
    <t>CHEMOTHERAPEUTIC</t>
  </si>
  <si>
    <t>ARIPIPRAZOLE 10MG TABS X28</t>
  </si>
  <si>
    <t>ARIPIPRAZOLE</t>
  </si>
  <si>
    <t>ARIPIPRAZOLE 5MG TABS X28</t>
  </si>
  <si>
    <t>ARISTOBET-N EYE DROP</t>
  </si>
  <si>
    <t>BETAMETHASONE/NEOMYCIN</t>
  </si>
  <si>
    <t>ARISTOBET-N</t>
  </si>
  <si>
    <t>0.1%/0.5%</t>
  </si>
  <si>
    <t>ARISTOBET-N EYE OINTMENT</t>
  </si>
  <si>
    <t>ARISTOCROM EYE DROP</t>
  </si>
  <si>
    <t>SODIUM CROMOGLICATE</t>
  </si>
  <si>
    <t>ARISTOCROM</t>
  </si>
  <si>
    <t>ARTANE TABS X30</t>
  </si>
  <si>
    <t>BENZHEXOL</t>
  </si>
  <si>
    <t>ARTANE</t>
  </si>
  <si>
    <t>ARTEMEF TABS DSX6</t>
  </si>
  <si>
    <t>ARTEMEF DS</t>
  </si>
  <si>
    <t>ARTEMETHER 80MG INJECTION X6</t>
  </si>
  <si>
    <t>ARTEMETHER</t>
  </si>
  <si>
    <t>ARTEQUICK TABS X4</t>
  </si>
  <si>
    <t>ARTEMISIN/ PIPERAQUINE</t>
  </si>
  <si>
    <t>ARTEQUICK</t>
  </si>
  <si>
    <t>62.5mg/375mg</t>
  </si>
  <si>
    <t>ARTEQUIN LACTAB 300/375</t>
  </si>
  <si>
    <t>ARTESUNATE/ MEFLOQUINE</t>
  </si>
  <si>
    <t>ARTEQUIN PAED</t>
  </si>
  <si>
    <t>100mg/ 125mg</t>
  </si>
  <si>
    <t>ARTEQUIN LACTAB 600/750</t>
  </si>
  <si>
    <t>Artesunate / Mefloquin</t>
  </si>
  <si>
    <t>ARTEQUIN LAC600/750</t>
  </si>
  <si>
    <t>600mg/750mg</t>
  </si>
  <si>
    <t>ARTEQUIN PAED 150/375</t>
  </si>
  <si>
    <t>ARTESUN 120MG INJECTION</t>
  </si>
  <si>
    <t>ARTESUNATE</t>
  </si>
  <si>
    <t>ARTESUN</t>
  </si>
  <si>
    <t>120mg</t>
  </si>
  <si>
    <t>ARTESUN 30MG INJECTION</t>
  </si>
  <si>
    <t>30mg</t>
  </si>
  <si>
    <t>ARTESUN 60MG INJECTION</t>
  </si>
  <si>
    <t>60mg</t>
  </si>
  <si>
    <t>ARTESUN PLUS TABS 1-5YRS</t>
  </si>
  <si>
    <t>ARTESUN PLUS 1-5YRS</t>
  </si>
  <si>
    <t>ARTESUNAT INJECTION</t>
  </si>
  <si>
    <t>ARTESUNAT PLUS TABS</t>
  </si>
  <si>
    <t>ARTESUNATE/ AMODIAQUINE</t>
  </si>
  <si>
    <t>ARTESUNAT PLUS</t>
  </si>
  <si>
    <t>50mg/ 200mg</t>
  </si>
  <si>
    <t>ARTESUNAT SYRUP</t>
  </si>
  <si>
    <t>80mg/5ml</t>
  </si>
  <si>
    <t>ARTESUNAT TABS X12</t>
  </si>
  <si>
    <t>ARTESUNAT</t>
  </si>
  <si>
    <t>ARTHEGET EZ TABS X6</t>
  </si>
  <si>
    <t>ARTHEGET EZ</t>
  </si>
  <si>
    <t>80mg/480mg</t>
  </si>
  <si>
    <t>ARTHEGET JUNIOR SUSPENSION 90ML</t>
  </si>
  <si>
    <t>ARTHEGET JUNIOR 90ML</t>
  </si>
  <si>
    <t>ARTHOCARE CAPS X30</t>
  </si>
  <si>
    <t>CHONDROITIN/ GLUCOSAMINE</t>
  </si>
  <si>
    <t>ARTHOCARE</t>
  </si>
  <si>
    <t>250mg/ 200mg</t>
  </si>
  <si>
    <t>ARTHOCARE FORTE CAPS</t>
  </si>
  <si>
    <t>GLUCOSAMIN/CHONDROITIN</t>
  </si>
  <si>
    <t>ARTHOCARE FORTE</t>
  </si>
  <si>
    <t>ARTHRITIS FORTE CAPLETS X30</t>
  </si>
  <si>
    <t>GLUCOSAMINE/ CHONDROITIN/ METHYL SULFONYL METHANE</t>
  </si>
  <si>
    <t>ARTHRITIS FORTE</t>
  </si>
  <si>
    <t>ARTHROTEC 75MG TABS X10</t>
  </si>
  <si>
    <t>Dilofenac/Misoprostol</t>
  </si>
  <si>
    <t>ARTHROTEC</t>
  </si>
  <si>
    <t>ASCO-J SYRUP 100ML</t>
  </si>
  <si>
    <t>ASCORBIC ACID</t>
  </si>
  <si>
    <t>ASCO-J 100ML</t>
  </si>
  <si>
    <t>ASCOBION C SYRUP X100ML</t>
  </si>
  <si>
    <t>ASCOBION C 100ML</t>
  </si>
  <si>
    <t>300mg/5mL</t>
  </si>
  <si>
    <t>ASCOCHEW SYRUP 100ML</t>
  </si>
  <si>
    <t>ASCOCHEW 100ML</t>
  </si>
  <si>
    <t>300MG/5mL</t>
  </si>
  <si>
    <t>ASCOCHEW VIT C TABS X100</t>
  </si>
  <si>
    <t>ASCOCHEW VIT C</t>
  </si>
  <si>
    <t>ASCOREX SYRUP 100ML</t>
  </si>
  <si>
    <t>SALBUTAMOL/ BROMOHEXINE HCL/ GUAIFENESIN/ MENTHOL</t>
  </si>
  <si>
    <t>ASCOREX 100ML</t>
  </si>
  <si>
    <t>2mg/ 4mg/ 100mg/ 1mg</t>
  </si>
  <si>
    <t>ASMALYN SYRUP</t>
  </si>
  <si>
    <t>Salbutamol</t>
  </si>
  <si>
    <t>ASMALYN (SALBUTAMOL)</t>
  </si>
  <si>
    <t>ASMALYN TABS X100</t>
  </si>
  <si>
    <t>ASMALYN</t>
  </si>
  <si>
    <t>ASOMEX 2.5MG</t>
  </si>
  <si>
    <t>S-AMLODIPINE</t>
  </si>
  <si>
    <t>ASOMEX</t>
  </si>
  <si>
    <t>2.5mg</t>
  </si>
  <si>
    <t>ASOMEX 5MG</t>
  </si>
  <si>
    <t>ASPIRIN 75MG (BRISTOL) X30</t>
  </si>
  <si>
    <t>ACETYLSALICYLIC ACID</t>
  </si>
  <si>
    <t>ASPIRIN BRISTOL</t>
  </si>
  <si>
    <t>75MG</t>
  </si>
  <si>
    <t>Aspirin 75mg X10</t>
  </si>
  <si>
    <t>ASPIRIN</t>
  </si>
  <si>
    <t>ASPIRIN CARDIO 100MG TABS X30</t>
  </si>
  <si>
    <t>ASPIRIN CARDIO</t>
  </si>
  <si>
    <t>ASPIRIN DISPERSIBLE 75MG</t>
  </si>
  <si>
    <t>BRISTOL</t>
  </si>
  <si>
    <t>ASPIRIN TABS 300MG X32</t>
  </si>
  <si>
    <t>ASTYFER CAPS X20</t>
  </si>
  <si>
    <t>MULTIVITAMIN (AMINO ACID)</t>
  </si>
  <si>
    <t>ASTYFER</t>
  </si>
  <si>
    <t>ASTYFER LIQUID X250ML</t>
  </si>
  <si>
    <t>MULTIVITAMIN (IRON/ VIT B12)</t>
  </si>
  <si>
    <t>ASTYFER LIQUID 250ML</t>
  </si>
  <si>
    <t>275mg</t>
  </si>
  <si>
    <t>ASTYMIN CAPS X20</t>
  </si>
  <si>
    <t>MULTIVITAMIN(AMINO ACID)</t>
  </si>
  <si>
    <t>ASTYMIN</t>
  </si>
  <si>
    <t>ASTYMIN G DROPS</t>
  </si>
  <si>
    <t>ASTYMIN INJ/INFUSION</t>
  </si>
  <si>
    <t>10MG/8MG</t>
  </si>
  <si>
    <t>ASTYMIN LIQUID 250ML</t>
  </si>
  <si>
    <t>ATACAND 16MG TABS X28</t>
  </si>
  <si>
    <t>ATACAND</t>
  </si>
  <si>
    <t>ATACAND 32MG TABS X28</t>
  </si>
  <si>
    <t>32mg</t>
  </si>
  <si>
    <t>ATACAND 8MG TABS X28</t>
  </si>
  <si>
    <t>ATACAND PLUS 16/12.5MG TABS</t>
  </si>
  <si>
    <t>Candesartan / HCTZ</t>
  </si>
  <si>
    <t>ATACAND PLUS</t>
  </si>
  <si>
    <t>16mg/12.5mg</t>
  </si>
  <si>
    <t>ATACAND PLUS 32/12.5MG TABS</t>
  </si>
  <si>
    <t>32mg/12.5mg</t>
  </si>
  <si>
    <t>ATACAND PLUS 32/25MG TABS X28</t>
  </si>
  <si>
    <t>32/25MG</t>
  </si>
  <si>
    <t>ATADYN SYRUP 100ML</t>
  </si>
  <si>
    <t>LORATIDINE</t>
  </si>
  <si>
    <t>ATADYN</t>
  </si>
  <si>
    <t>5mg/5mL</t>
  </si>
  <si>
    <t>ATADYN TABS X10</t>
  </si>
  <si>
    <t>Atenolol 50mg (Teva) X28</t>
  </si>
  <si>
    <t>ATENOLOL</t>
  </si>
  <si>
    <t>Atenolol Teva</t>
  </si>
  <si>
    <t>ATENOLOL TABS 100MG X 28</t>
  </si>
  <si>
    <t>ATENOLOL TABS 25MG X 28</t>
  </si>
  <si>
    <t>ATENOLOL TABS 50MG X 28</t>
  </si>
  <si>
    <t>ATORVASTATIN 10MG X 28</t>
  </si>
  <si>
    <t>ATORVASTATIN</t>
  </si>
  <si>
    <t>Atorvastatin 20mg (Teva) X28</t>
  </si>
  <si>
    <t>ATROPINE EYE DROP</t>
  </si>
  <si>
    <t>ATROPINE</t>
  </si>
  <si>
    <t>ATROPINE INJECTION</t>
  </si>
  <si>
    <t>600mcg/mL</t>
  </si>
  <si>
    <t>ATROVENT INHALER</t>
  </si>
  <si>
    <t>IPRATROPIUM BROMIDE</t>
  </si>
  <si>
    <t>ATROVENT</t>
  </si>
  <si>
    <t>20mcg</t>
  </si>
  <si>
    <t>AUGLOCEF TABS 625MG</t>
  </si>
  <si>
    <t>Amoxicilliin / Clavulanate</t>
  </si>
  <si>
    <t>AUGLOCEF</t>
  </si>
  <si>
    <t>AUGMENTIN 375MG X15</t>
  </si>
  <si>
    <t>AUGMENTIN</t>
  </si>
  <si>
    <t>AUGMENTIN ES 642.9MG SUSPENSION 100ML</t>
  </si>
  <si>
    <t>AUGMENTIN ES 100ML</t>
  </si>
  <si>
    <t>642.9mg/5ml</t>
  </si>
  <si>
    <t>AUGMENTIN INFANT DROP 62.5MG</t>
  </si>
  <si>
    <t>AUGMENTIN INFANT DROP</t>
  </si>
  <si>
    <t>62.5MG</t>
  </si>
  <si>
    <t>AUGMENTIN INJ 1.2G X 1 VIAL</t>
  </si>
  <si>
    <t>1.2G</t>
  </si>
  <si>
    <t>AUGMENTIN INJ 600MG X1VIAL</t>
  </si>
  <si>
    <t>600mg</t>
  </si>
  <si>
    <t>AUGMENTIN SR TABS 1000/62.5MG X28</t>
  </si>
  <si>
    <t>AUGMENTIN SR</t>
  </si>
  <si>
    <t>1000/62.5mg</t>
  </si>
  <si>
    <t>AUGMENTIN SYRUP 228MG X70ML</t>
  </si>
  <si>
    <t>228mg</t>
  </si>
  <si>
    <t>AUGMENTIN SYRUP 457MG X70ML</t>
  </si>
  <si>
    <t>457mg</t>
  </si>
  <si>
    <t>AUGMENTIN TABS 1G X14</t>
  </si>
  <si>
    <t>AUGMENTIN TABS 625MG X 14</t>
  </si>
  <si>
    <t>AVAMYS NASAL SPRAY</t>
  </si>
  <si>
    <t>NASAL SPRAY</t>
  </si>
  <si>
    <t>FLUTICASONE</t>
  </si>
  <si>
    <t>27.5MCG</t>
  </si>
  <si>
    <t>AVICEF INJECTION</t>
  </si>
  <si>
    <t>CEFTRIAXONE</t>
  </si>
  <si>
    <t>AVICEF</t>
  </si>
  <si>
    <t>1g</t>
  </si>
  <si>
    <t>AVIPOL SUSPENSION X60ML</t>
  </si>
  <si>
    <t>AVIPOL</t>
  </si>
  <si>
    <t>120mg/5ml</t>
  </si>
  <si>
    <t>AVOCA COMPLETE WART TREATMENT</t>
  </si>
  <si>
    <t>SOLUTION</t>
  </si>
  <si>
    <t>SILVER NITRATE</t>
  </si>
  <si>
    <t>95%w/w</t>
  </si>
  <si>
    <t>AVODART TABS</t>
  </si>
  <si>
    <t>DUTASTERIDE</t>
  </si>
  <si>
    <t>AVODART</t>
  </si>
  <si>
    <t>0.5mg</t>
  </si>
  <si>
    <t>AVOMINE TABS X10</t>
  </si>
  <si>
    <t>PROMETHAZINE</t>
  </si>
  <si>
    <t>AVOMINE</t>
  </si>
  <si>
    <t>AVRO C DROPS</t>
  </si>
  <si>
    <t>100mg/mL</t>
  </si>
  <si>
    <t>AZATHIOPRINE TABS 50MG X56</t>
  </si>
  <si>
    <t>AZATHIOPRINE</t>
  </si>
  <si>
    <t>AZITHROMYCIN 250MG CAPS</t>
  </si>
  <si>
    <t>Azithromycin</t>
  </si>
  <si>
    <t>ZOLON AZITHROMYCIN</t>
  </si>
  <si>
    <t>AZITHROMYCIN 500MG CAPS SEABORNE X6</t>
  </si>
  <si>
    <t>AZITHROMYCIN</t>
  </si>
  <si>
    <t>AZITHROMYCIN (SUITROX)</t>
  </si>
  <si>
    <t>AZITHROMYCIN 500MG CETROXOL X3</t>
  </si>
  <si>
    <t>CETROXOL</t>
  </si>
  <si>
    <t>AZITHROMYCIN CAPSULE 500MG CAPS X6</t>
  </si>
  <si>
    <t>AZITHROMYCIN SUSPENSION</t>
  </si>
  <si>
    <t>SUITROX</t>
  </si>
  <si>
    <t>200mg/5mL</t>
  </si>
  <si>
    <t>AZOPT EYE DROP</t>
  </si>
  <si>
    <t>BRINZOLAMIDE</t>
  </si>
  <si>
    <t>AZOPT</t>
  </si>
  <si>
    <t>B-COR 10MG TABS X30</t>
  </si>
  <si>
    <t>BISOPROLOL</t>
  </si>
  <si>
    <t>B-COR</t>
  </si>
  <si>
    <t>B-COR 2.5MG TABS X30</t>
  </si>
  <si>
    <t>B-COR 5MG TABS X30</t>
  </si>
  <si>
    <t>BABY GRIPE WATER 100ML</t>
  </si>
  <si>
    <t>GINGER/FENNEL EXTRACT</t>
  </si>
  <si>
    <t>5mg/5mg</t>
  </si>
  <si>
    <t>BACLOFEN TABS 10MG X56</t>
  </si>
  <si>
    <t>BACLOFEN</t>
  </si>
  <si>
    <t>BACTROBAN CREAM</t>
  </si>
  <si>
    <t>MUPIROCIN</t>
  </si>
  <si>
    <t>BACTROBAN</t>
  </si>
  <si>
    <t>BACTROBAN OINTMENT 15GM</t>
  </si>
  <si>
    <t>BACTROBAN 15GM</t>
  </si>
  <si>
    <t>BAROLE CAPS X30</t>
  </si>
  <si>
    <t>RABEPRAZOLE BAROLE</t>
  </si>
  <si>
    <t>BAROLE</t>
  </si>
  <si>
    <t>ANTI-ULCER</t>
  </si>
  <si>
    <t xml:space="preserve">BECLOMETHASONE NASAL SPRAY (BECONASE ) </t>
  </si>
  <si>
    <t>SPRAY</t>
  </si>
  <si>
    <t xml:space="preserve">BECLOMETHASONE NASAL SPRAY  </t>
  </si>
  <si>
    <t>BECONASE  NASAL SPRAY</t>
  </si>
  <si>
    <t>50MCG</t>
  </si>
  <si>
    <t>BECOMBION SYRUP S/S 150ML</t>
  </si>
  <si>
    <t>VITAMIN B COMPLEX</t>
  </si>
  <si>
    <t>BECOMBION S/S 150ML</t>
  </si>
  <si>
    <t>150ml</t>
  </si>
  <si>
    <t>BECOMPLEX SYRUP 100ML</t>
  </si>
  <si>
    <t>MULTIVITAMINS (VIT B1/ VIT B12/ VIT B6)</t>
  </si>
  <si>
    <t>BECOMPLEX 100ML</t>
  </si>
  <si>
    <t>1.5mg</t>
  </si>
  <si>
    <t>BEEHIVE BALSAM SYRUP</t>
  </si>
  <si>
    <t>GLYCERIN/HONEY</t>
  </si>
  <si>
    <t>BEEHIVE BALSAM</t>
  </si>
  <si>
    <t>BENDROFLUAZIDE TABS 2.5MG X28</t>
  </si>
  <si>
    <t>BENDROFLUAZIDE</t>
  </si>
  <si>
    <t>BENDROFLUAZIDE TABS 5MG X28</t>
  </si>
  <si>
    <t>BENYLIN EXPECTORANT 100MLS</t>
  </si>
  <si>
    <t xml:space="preserve">Diphenhydramine hydrochloride </t>
  </si>
  <si>
    <t>100ML</t>
  </si>
  <si>
    <t>BENYLIN FOR CHILDREN 100MLS</t>
  </si>
  <si>
    <t>Benzhexol 2mg x30</t>
  </si>
  <si>
    <t>TRIEHEXYLPHENIDYL</t>
  </si>
  <si>
    <t>BEOPTIC N EYE DROP</t>
  </si>
  <si>
    <t>BEOPTIC-N</t>
  </si>
  <si>
    <t>BEOPTIC N OINTMENT</t>
  </si>
  <si>
    <t>BETADRONE N EYE/EAR OINT</t>
  </si>
  <si>
    <t>BETAMETHASONE/ NEOMYCIN</t>
  </si>
  <si>
    <t>0.1%/ 0.5%</t>
  </si>
  <si>
    <t>BETAFIL 100MG TABS X28</t>
  </si>
  <si>
    <t>BETAFIL</t>
  </si>
  <si>
    <t>BETAFIL 50MG TABS X28</t>
  </si>
  <si>
    <t>BETAHISTINE 16MG TABS X 60</t>
  </si>
  <si>
    <t>Betahistidine</t>
  </si>
  <si>
    <t>Betahistine</t>
  </si>
  <si>
    <t>ANTI-INFLAMMATORY</t>
  </si>
  <si>
    <t>BETAHISTINE 8MG TABS X 60</t>
  </si>
  <si>
    <t>BETALOC ZOK 100MG TABS X30</t>
  </si>
  <si>
    <t>METOPROLOL</t>
  </si>
  <si>
    <t>BETALOC ZOK</t>
  </si>
  <si>
    <t>BETALOC ZOK 25MG TABS X14</t>
  </si>
  <si>
    <t>Metoprolol</t>
  </si>
  <si>
    <t>BETALOC ZOK 50MG TABS X30</t>
  </si>
  <si>
    <t>BETAMETHASONE CREAM</t>
  </si>
  <si>
    <t>BETAMETHASONE</t>
  </si>
  <si>
    <t>BETAMETHASONE NEOMYCIN DROP 10ML FIDSON</t>
  </si>
  <si>
    <t>BETAMETHASONE NEOMYCIN DROP</t>
  </si>
  <si>
    <t>BETAMETHASONE-N-CREAM 20G</t>
  </si>
  <si>
    <t>BETAMETHASONE-N- 20G</t>
  </si>
  <si>
    <t>BETNOVATE OINTMENT 30G</t>
  </si>
  <si>
    <t>BETAMETHASONE /NEOMYCIN</t>
  </si>
  <si>
    <t>BETNOVATE 30G</t>
  </si>
  <si>
    <t>BETOPTIC EYE DROP</t>
  </si>
  <si>
    <t>BETAXOLOL</t>
  </si>
  <si>
    <t>BETOPTIC</t>
  </si>
  <si>
    <t xml:space="preserve">BEXITROL </t>
  </si>
  <si>
    <t>(Salmeterol Xinafoate/Fluticasone Propionate 25/125mcg) INHALER</t>
  </si>
  <si>
    <t>BEXITROL</t>
  </si>
  <si>
    <t>25/125MG</t>
  </si>
  <si>
    <t>BICALUTAMIDE 150MG TABS X28</t>
  </si>
  <si>
    <t>BICALUTAMIDE</t>
  </si>
  <si>
    <t>UROLOGIC</t>
  </si>
  <si>
    <t>BICALUTAMIDE 50MG TABS X28</t>
  </si>
  <si>
    <t>Big Plaster</t>
  </si>
  <si>
    <t>BIG PLASTER</t>
  </si>
  <si>
    <t>BIOBETIC TABS X30</t>
  </si>
  <si>
    <t>SUPPLEMENT (ALPHA LIPOID ACID/ METHYLCOBALAMIN)</t>
  </si>
  <si>
    <t>BIOBETIC</t>
  </si>
  <si>
    <t>300mg/ 1500mcg</t>
  </si>
  <si>
    <t>BIOCINE CAPS X20(LINCOMYCIN)</t>
  </si>
  <si>
    <t>LINCOMYCIN</t>
  </si>
  <si>
    <t>BIOCINE</t>
  </si>
  <si>
    <t>BIOCINE SYRUP(LINCOMYCIN)</t>
  </si>
  <si>
    <t>250mg/5mL</t>
  </si>
  <si>
    <t>BIOCOTEN CREAM 20G</t>
  </si>
  <si>
    <t>Clotrimazole / Dexamethasone / Gentamycin</t>
  </si>
  <si>
    <t>BIOCOTEN 20G</t>
  </si>
  <si>
    <t>BIOPENTIN TABS - NT X30</t>
  </si>
  <si>
    <t>Gabapentin/Methylcobalamin/Nortriptyline</t>
  </si>
  <si>
    <t>BIOPENTIN NT</t>
  </si>
  <si>
    <t>300/10mg</t>
  </si>
  <si>
    <t>BIOPENTIN TABS X30</t>
  </si>
  <si>
    <t>Gabapentin / Methylcobalamin</t>
  </si>
  <si>
    <t>BIOPENTIN</t>
  </si>
  <si>
    <t>300mg/500mg</t>
  </si>
  <si>
    <t>BIOSPAN SYRUP 100ML</t>
  </si>
  <si>
    <t>HYOSCINE N-BUTYLBROMIDE</t>
  </si>
  <si>
    <t>BIOSPAN 100ML</t>
  </si>
  <si>
    <t>BIOXIME CAPS</t>
  </si>
  <si>
    <t>CEFIXIME</t>
  </si>
  <si>
    <t>BIOXIME</t>
  </si>
  <si>
    <t>BIOXIME P GRANULES 50MG X12</t>
  </si>
  <si>
    <t>BIOXIME P GRANULES</t>
  </si>
  <si>
    <t>BISACODYL 5MG</t>
  </si>
  <si>
    <t>BISACODYL</t>
  </si>
  <si>
    <t>BEELAX</t>
  </si>
  <si>
    <t>Bismuth citrate 200mg Bottle</t>
  </si>
  <si>
    <t xml:space="preserve">Bismuth citrate </t>
  </si>
  <si>
    <t xml:space="preserve"> 200mg</t>
  </si>
  <si>
    <t xml:space="preserve">GASTROINTESTINAL </t>
  </si>
  <si>
    <t>Bisoprolol Fumarate Sandoz X30</t>
  </si>
  <si>
    <t>BISOPROLOL SANDOZ</t>
  </si>
  <si>
    <t>BISOPROLOL TABS 10MG X28</t>
  </si>
  <si>
    <t>BISOPROLOL TABS 2.5MG X28</t>
  </si>
  <si>
    <t>BISOPROLOL TABS 5MG X28</t>
  </si>
  <si>
    <t>BLOOD GIVING SET</t>
  </si>
  <si>
    <t>BLOOD PRESSURE MONITOR (B.WELL PRO 35)</t>
  </si>
  <si>
    <t>Blood pressure monitor</t>
  </si>
  <si>
    <t>B.Well PRO 35</t>
  </si>
  <si>
    <t>MEDICAL DEVICE</t>
  </si>
  <si>
    <t>BONABABE SYRUP X60ML</t>
  </si>
  <si>
    <t>PARACETAMOL/ DIPHENHYDRAMINE/ CONC. DILL WATER</t>
  </si>
  <si>
    <t>BONABABE</t>
  </si>
  <si>
    <t>120mg/6.25mg/0.05mL/5mL</t>
  </si>
  <si>
    <t>BONDOMET 250MG TABS X100</t>
  </si>
  <si>
    <t>BONDOMET</t>
  </si>
  <si>
    <t>BONDURETIC TABS X100</t>
  </si>
  <si>
    <t>AMILORIDE HYDROCHLOROTHIAZIDE</t>
  </si>
  <si>
    <t>BONDURETIC</t>
  </si>
  <si>
    <t>5/50mg</t>
  </si>
  <si>
    <t>BONEFLEX CAPS X30</t>
  </si>
  <si>
    <t>BONEFLEX</t>
  </si>
  <si>
    <t>BONJELA COOLMINT GEL</t>
  </si>
  <si>
    <t>GEL</t>
  </si>
  <si>
    <t>CHOLINE SALICYLATE/ CETALKONIUM CHLORIDE</t>
  </si>
  <si>
    <t>8.714%/ 0.01%</t>
  </si>
  <si>
    <t>BONJELA TEETHING GEL (UK)</t>
  </si>
  <si>
    <t>Bonjela Teething Gel</t>
  </si>
  <si>
    <t>BRIMONIDINE EYE DROP(HESS)</t>
  </si>
  <si>
    <t>BRIMONIDINE (HESS)</t>
  </si>
  <si>
    <t>BRIMOPRESS EYE DROP</t>
  </si>
  <si>
    <t>BRIMOPRESS</t>
  </si>
  <si>
    <t>BRINERDIN TABS X30</t>
  </si>
  <si>
    <t>DIHYDROERGOCRISTIN/ CLOPAMIDE/ RESPERIDINE</t>
  </si>
  <si>
    <t>BRINERDIN</t>
  </si>
  <si>
    <t>0.5mg/5mg/0.1mg</t>
  </si>
  <si>
    <t>Brinzolamide eye drop</t>
  </si>
  <si>
    <t>EYE DROPS</t>
  </si>
  <si>
    <t xml:space="preserve">Brinzolamide </t>
  </si>
  <si>
    <t>10 mg/1 mL</t>
  </si>
  <si>
    <t>BROMATAN 1.5MG TAB X30</t>
  </si>
  <si>
    <t>BROMAZEPAM</t>
  </si>
  <si>
    <t>BROMATAN</t>
  </si>
  <si>
    <t>BROMATAN 3MG TABS X30</t>
  </si>
  <si>
    <t>3mg</t>
  </si>
  <si>
    <t>BROMERGON TABS X 30</t>
  </si>
  <si>
    <t>BROMOCRIPTIN</t>
  </si>
  <si>
    <t>BROMERGON</t>
  </si>
  <si>
    <t>BRONCHICUM ELIXIR X100ML</t>
  </si>
  <si>
    <t>THYME LIQUID/ PRIMULA ROOT LIQUID</t>
  </si>
  <si>
    <t>5g/2.5g</t>
  </si>
  <si>
    <t>BRONCHOLYTE SYR X100ML</t>
  </si>
  <si>
    <t>Bromhexine</t>
  </si>
  <si>
    <t>BRONCHIOLYTE</t>
  </si>
  <si>
    <t>4mg/5ml</t>
  </si>
  <si>
    <t>BRUSTAN-N 400MG</t>
  </si>
  <si>
    <t>Ibuprofen</t>
  </si>
  <si>
    <t>BRUSTAN-N</t>
  </si>
  <si>
    <t>BRUSTAN-N SUSPENSION 60ML</t>
  </si>
  <si>
    <t>BRUSTAN-N 60ML</t>
  </si>
  <si>
    <t>BRUSTAN-N SYR 100ML</t>
  </si>
  <si>
    <t>Budenoside (Pulmicort) 0.25mg/ml Nebules</t>
  </si>
  <si>
    <t>NEBULES</t>
  </si>
  <si>
    <t>Pulmicort</t>
  </si>
  <si>
    <t xml:space="preserve"> 0.25mg/ml</t>
  </si>
  <si>
    <t>Budesonide 0.5mg Injection</t>
  </si>
  <si>
    <t xml:space="preserve">Budesonide </t>
  </si>
  <si>
    <t xml:space="preserve"> 0.5mg</t>
  </si>
  <si>
    <t>BUMETANIDE TABS 1MG</t>
  </si>
  <si>
    <t>BUMETANIDE</t>
  </si>
  <si>
    <t>BUMETANIDE TABS 5MG</t>
  </si>
  <si>
    <t>BUNTO CAPS X30</t>
  </si>
  <si>
    <t>MULTIVITAMIN (VIT A/ VIT B/ MYCOCOBALAMIN/ VIT D3/ALOE VERA)</t>
  </si>
  <si>
    <t>BUNTO</t>
  </si>
  <si>
    <t>2000IU/ 13mg/ 15mg/ 200IU/ 5mg</t>
  </si>
  <si>
    <t>BUNTO LIQUID B/S</t>
  </si>
  <si>
    <t>MULTIVITAMIN (IRON/ B12/ B COMPLEX/ ZINC)</t>
  </si>
  <si>
    <t>1000mL</t>
  </si>
  <si>
    <t>BUSCOPAN TABS 10MG X 10</t>
  </si>
  <si>
    <t>HYOSCINE BUTYL-BROMIDE</t>
  </si>
  <si>
    <t>10mg/5ml</t>
  </si>
  <si>
    <t>CA-C 1000 EFF TAB X10</t>
  </si>
  <si>
    <t>Calcium / Vitamin C</t>
  </si>
  <si>
    <t>CAC-1000</t>
  </si>
  <si>
    <t>260mg/1000mg</t>
  </si>
  <si>
    <t>CACIT EFFER TABS</t>
  </si>
  <si>
    <t>CALCIUM EFFERVESCENT TABLETS</t>
  </si>
  <si>
    <t>CACIT EFFERVESCENT</t>
  </si>
  <si>
    <t>CADUET 10MG/10MG x 30</t>
  </si>
  <si>
    <t>AMLODIPLINE/ATORASTATIN</t>
  </si>
  <si>
    <t>CADUET</t>
  </si>
  <si>
    <t>10mg/10mg</t>
  </si>
  <si>
    <t>CADUET 5MG/10MG</t>
  </si>
  <si>
    <t>Amlodipine / Artovastatin</t>
  </si>
  <si>
    <t>5mg/10mg</t>
  </si>
  <si>
    <t>CAFERGOT TABS X30</t>
  </si>
  <si>
    <t>ERGOTAMINE</t>
  </si>
  <si>
    <t>CAFEGOT</t>
  </si>
  <si>
    <t>CALAMINE LOTION 100ML SKG</t>
  </si>
  <si>
    <t>LOTION</t>
  </si>
  <si>
    <t>CALAMINE</t>
  </si>
  <si>
    <t>100mL</t>
  </si>
  <si>
    <t>CALCI CARE LIQUID 200ML</t>
  </si>
  <si>
    <t>CALCIUM/ MAGNESIUM/ ZINC/ VIT D</t>
  </si>
  <si>
    <t>250mg/75mg/2mg/5mcg/5mL</t>
  </si>
  <si>
    <t>CALCICARE</t>
  </si>
  <si>
    <t>TABLET</t>
  </si>
  <si>
    <t>CALCIUM/MAGNESIUM/ZINC (CALCICARE)</t>
  </si>
  <si>
    <t>CALCICHEW D3 FORTE TABS</t>
  </si>
  <si>
    <t>CALCIUM/ VIT D3</t>
  </si>
  <si>
    <t>CALCICHEW D3 FORTES</t>
  </si>
  <si>
    <t>500mg/400IU</t>
  </si>
  <si>
    <t>CALCIMAX SUSPENSION</t>
  </si>
  <si>
    <t>CALCiUM/ MAGNESIUM</t>
  </si>
  <si>
    <t>CALCIMAX</t>
  </si>
  <si>
    <t>300mg/75mg</t>
  </si>
  <si>
    <t>CALCIMAX TABS X30</t>
  </si>
  <si>
    <t>CALCIUM</t>
  </si>
  <si>
    <t>CALCITONE TAB X100</t>
  </si>
  <si>
    <t>CALCIUM LACTATE</t>
  </si>
  <si>
    <t>CALCITONE</t>
  </si>
  <si>
    <t xml:space="preserve">CALCITROL 0.25MG TAB </t>
  </si>
  <si>
    <t>CAPSULE</t>
  </si>
  <si>
    <t>0.25MG</t>
  </si>
  <si>
    <t>CALCIUM AND VITAMIN D 600MG/400 I.U TAB</t>
  </si>
  <si>
    <t>NATURES FIELD CALCIUM/VIT D3</t>
  </si>
  <si>
    <t>600/40IU</t>
  </si>
  <si>
    <t>CAMOSUNATE ADULT</t>
  </si>
  <si>
    <t>ARTESUNATE AMODIAQUINE</t>
  </si>
  <si>
    <t>CAMOSUNATE</t>
  </si>
  <si>
    <t>300/100mg</t>
  </si>
  <si>
    <t>CAMOSUNATE CHILDREN</t>
  </si>
  <si>
    <t>Artesunate / Amodiaquine</t>
  </si>
  <si>
    <t>CAMOSUNATE 7-13</t>
  </si>
  <si>
    <t>100mg/300mg</t>
  </si>
  <si>
    <t>CAMOSUNATE JUNIOR</t>
  </si>
  <si>
    <t>CAMOSUNATE 1-6</t>
  </si>
  <si>
    <t>50mg/150mg</t>
  </si>
  <si>
    <t>CAMOSUNATE PAEDIATRICS</t>
  </si>
  <si>
    <t>CAMOSUNATE POWDER</t>
  </si>
  <si>
    <t>75/25mg</t>
  </si>
  <si>
    <t>CANDESARTAN (TEVA) 4MG</t>
  </si>
  <si>
    <t>TEVA CANDESARTAN</t>
  </si>
  <si>
    <t>4MG</t>
  </si>
  <si>
    <t>CANDESARTAN 16MG TABS X30</t>
  </si>
  <si>
    <t>CANDESARTAN</t>
  </si>
  <si>
    <t>CANDESARTAN 8MG TABS X30</t>
  </si>
  <si>
    <t>CANDESARTAN HCT 16/12.5MG TABS X30</t>
  </si>
  <si>
    <t>CANDESARTAN HYDROCHLOROTHIAZIDE</t>
  </si>
  <si>
    <t>CANDESARTAN HCT</t>
  </si>
  <si>
    <t>CANDESARTAN HCT 8/12.5MG TABS X98</t>
  </si>
  <si>
    <t>8/12.5mg</t>
  </si>
  <si>
    <t>CANDID V6 TAB X6</t>
  </si>
  <si>
    <t>CLOTRIMAZOLE</t>
  </si>
  <si>
    <t>CANDID V6</t>
  </si>
  <si>
    <t>CANDIDERM CREAM 20G</t>
  </si>
  <si>
    <t>BECLOMETASONE/ CLOTRIMAZOLE/ GENTAMICIN</t>
  </si>
  <si>
    <t>CANDIDERM 20G</t>
  </si>
  <si>
    <t>20g</t>
  </si>
  <si>
    <t>CANESTEN VAG TABS 500MG OTC</t>
  </si>
  <si>
    <t>Clotimazole</t>
  </si>
  <si>
    <t>CANESTEN VAG OTC</t>
  </si>
  <si>
    <t xml:space="preserve">CAPS NORMAGUT Capsules </t>
  </si>
  <si>
    <t xml:space="preserve">NORMAGUT </t>
  </si>
  <si>
    <t>CAPTOPRIL 25MG TABS X56</t>
  </si>
  <si>
    <t>CAPTOPRIL</t>
  </si>
  <si>
    <t>CAPTOPRIL 25MG</t>
  </si>
  <si>
    <t>CAPTOPRIL 50MG TABS X56</t>
  </si>
  <si>
    <t>CARBAMAL 400MG CR TABS X100</t>
  </si>
  <si>
    <t>CARBAMAZEPINE</t>
  </si>
  <si>
    <t>CARBAMAL CR</t>
  </si>
  <si>
    <t>Carbetocin Injection</t>
  </si>
  <si>
    <t>Carbetocin</t>
  </si>
  <si>
    <t>100MG/ML</t>
  </si>
  <si>
    <t>CARBIMAZOLE 5MG TABS X100</t>
  </si>
  <si>
    <t>CARBIMAZOLE</t>
  </si>
  <si>
    <t>CARBIROID TABS X100</t>
  </si>
  <si>
    <t>CABRIMAZOLE</t>
  </si>
  <si>
    <t>CARBIROID</t>
  </si>
  <si>
    <t>Carbomer Eye gel</t>
  </si>
  <si>
    <t>CARDIOACE CAPSULES X30</t>
  </si>
  <si>
    <t>SUPPLEMENT (L-CARNITINE TARTRATE/ CO-Q10/ NATURAL MIXED CAROTENOIDS/ FLAXSEED OIL/GARLIC EXTRACT)</t>
  </si>
  <si>
    <t>CARDIOACE</t>
  </si>
  <si>
    <t>20mg/ 3mg/ 4mg/ 100mg/ 200mg</t>
  </si>
  <si>
    <t>CARDIOVASC 20MG X 50</t>
  </si>
  <si>
    <t>CARDIOVASC</t>
  </si>
  <si>
    <t>CARDIOVASC XL 30MG X 30</t>
  </si>
  <si>
    <t>CARDOVASC XL</t>
  </si>
  <si>
    <t>CARDURA XL 4MG X 28</t>
  </si>
  <si>
    <t>DOXAZOSIN</t>
  </si>
  <si>
    <t>CARDURA XL</t>
  </si>
  <si>
    <t>CARTINEX 500MG X 30</t>
  </si>
  <si>
    <t>Ranolazine</t>
  </si>
  <si>
    <t>CARTINEX</t>
  </si>
  <si>
    <t>CARVEDILOL TABS 12.5MG X28</t>
  </si>
  <si>
    <t>CARVEDILOL</t>
  </si>
  <si>
    <t>12.5mg</t>
  </si>
  <si>
    <t>CARVEDILOL TABS 25MG X28</t>
  </si>
  <si>
    <t>CARVEDILOL TABS 3.125MG X28</t>
  </si>
  <si>
    <t>3.125mg</t>
  </si>
  <si>
    <t>CARVEDILOL TABS 6.25MG X28</t>
  </si>
  <si>
    <t>6.25mg</t>
  </si>
  <si>
    <t>CARZEPINE 200MG X100</t>
  </si>
  <si>
    <t>CARZEPINE</t>
  </si>
  <si>
    <t>CASODEX TAB 150MG X28</t>
  </si>
  <si>
    <t>CASODEX</t>
  </si>
  <si>
    <t>CASODEX TABS 50MG X28</t>
  </si>
  <si>
    <t>Bicalutamide</t>
  </si>
  <si>
    <t>CATAFLAM TABS X10</t>
  </si>
  <si>
    <t>Diclofenac pottasium</t>
  </si>
  <si>
    <t>Cataflam</t>
  </si>
  <si>
    <t>CATALINE EYE DROP</t>
  </si>
  <si>
    <t>CATALINE</t>
  </si>
  <si>
    <t>CATAREST EYE DROP</t>
  </si>
  <si>
    <t>POTASSSIUM IODIDE/SODIUM CHLORIDE/CALCIUM CHLORIDE</t>
  </si>
  <si>
    <t>CATAREST</t>
  </si>
  <si>
    <t>CAVERJECT 10MCG</t>
  </si>
  <si>
    <t>ALPROSTADIL</t>
  </si>
  <si>
    <t>CAVERJECT</t>
  </si>
  <si>
    <t>10mcg</t>
  </si>
  <si>
    <t>CEFEPIME 1G INJ (NOVAPIME)</t>
  </si>
  <si>
    <t xml:space="preserve">CEFEPIME 1G INJ </t>
  </si>
  <si>
    <t>NOVAPIME INJ</t>
  </si>
  <si>
    <t>CEFIXIME 200MG DISPERSIBLE TABS</t>
  </si>
  <si>
    <t>CEFIXIME 400MG X 10</t>
  </si>
  <si>
    <t>CEFLONAC SP TABS X10</t>
  </si>
  <si>
    <t>CEFLONAC SP</t>
  </si>
  <si>
    <t>CEFPODOXIME 100MG TAB - Generic</t>
  </si>
  <si>
    <t xml:space="preserve">CEFPODOXIME 100MG </t>
  </si>
  <si>
    <t>CEFPODEM</t>
  </si>
  <si>
    <t>100MG</t>
  </si>
  <si>
    <t>CEFPODOXIME 200MG TAB - Generic</t>
  </si>
  <si>
    <t>CEFPODOXIME 200MG TAB</t>
  </si>
  <si>
    <t>200MG</t>
  </si>
  <si>
    <t>CEFTAZIDIME 1G INJECTION</t>
  </si>
  <si>
    <t>CEFTAZIDIME</t>
  </si>
  <si>
    <t>CEFTRIAXONE INJECTION</t>
  </si>
  <si>
    <t>CEFTRIAXONE/SULBACTAM(1G/500MG)</t>
  </si>
  <si>
    <t>CEFTRIAXONE/SULBACTAM</t>
  </si>
  <si>
    <t>1G/500MG</t>
  </si>
  <si>
    <t>CEFUNAT TABS 500MG X 10</t>
  </si>
  <si>
    <t>CEFUNAT</t>
  </si>
  <si>
    <t>CEFUROXIME FIDSON</t>
  </si>
  <si>
    <t>125mg/5ml</t>
  </si>
  <si>
    <t>CEFUROXIME 250MG</t>
  </si>
  <si>
    <t xml:space="preserve">CEFUROXIME </t>
  </si>
  <si>
    <t>CEFUROXIME (GENERIC)</t>
  </si>
  <si>
    <t>CEFUROXIME 500MG TABS(FIDSON) X10</t>
  </si>
  <si>
    <t>CEFUROXIME (FIDSON)</t>
  </si>
  <si>
    <t>CEFUROXIME 750MG INJECTION</t>
  </si>
  <si>
    <t>750mg</t>
  </si>
  <si>
    <t>CELEBREX CAPS 200MG X 10</t>
  </si>
  <si>
    <t>CELEBREX</t>
  </si>
  <si>
    <t>CELECOXIB 200MG CAPS SANDOZ X20</t>
  </si>
  <si>
    <t>CELECOXIB</t>
  </si>
  <si>
    <t>CELECOXIB SANDOZ</t>
  </si>
  <si>
    <t>CELECOXIB KINBREX 200mg X 20</t>
  </si>
  <si>
    <t>KINBREX</t>
  </si>
  <si>
    <t>CENOX TABS X14</t>
  </si>
  <si>
    <t>CIPROFLOXACIN</t>
  </si>
  <si>
    <t>CENOX</t>
  </si>
  <si>
    <t>CEPHALEXIN (SUSPENSION)</t>
  </si>
  <si>
    <t xml:space="preserve">CEPHALEXIN </t>
  </si>
  <si>
    <t>12mg/5ml</t>
  </si>
  <si>
    <t>CEPHALEXIN SUSP 125MG</t>
  </si>
  <si>
    <t>CEPHALEXIN</t>
  </si>
  <si>
    <t>125mg/ 5mL</t>
  </si>
  <si>
    <t>CERUMOL EAR DROP 11ML</t>
  </si>
  <si>
    <t>EAR DROP</t>
  </si>
  <si>
    <t>ARACHIS OIL/ CHLOROBUTANOL</t>
  </si>
  <si>
    <t>CERUMOL 11ML</t>
  </si>
  <si>
    <t>57%/5%</t>
  </si>
  <si>
    <t xml:space="preserve">CERUMOL EARDROP Bottles </t>
  </si>
  <si>
    <t xml:space="preserve">CERUMOL </t>
  </si>
  <si>
    <t>15ml</t>
  </si>
  <si>
    <t>Cervical Pillow (Ajer Memory Pillow)</t>
  </si>
  <si>
    <t>CERVICAL PILLOW</t>
  </si>
  <si>
    <t>AJER MEMORY PILLOW</t>
  </si>
  <si>
    <t>CET-Z 10 TABS X30</t>
  </si>
  <si>
    <t>CETIRIZINE</t>
  </si>
  <si>
    <t>CET-Z</t>
  </si>
  <si>
    <t>CET-Z SYRUP 60ML</t>
  </si>
  <si>
    <t>CET-Z 60ML</t>
  </si>
  <si>
    <t>CETIDYN -L SYRUP</t>
  </si>
  <si>
    <t>LEVOCETIRIZINE</t>
  </si>
  <si>
    <t>CETIDYN -L</t>
  </si>
  <si>
    <t>CETIDYN-L TABS X10</t>
  </si>
  <si>
    <t>CETIDYN-L</t>
  </si>
  <si>
    <t>CETRIZINE 10MG TABS X30</t>
  </si>
  <si>
    <t>Cetirizine</t>
  </si>
  <si>
    <t>CHLORAMPHEMICOL 1G INJ</t>
  </si>
  <si>
    <t>CHLORAMPHENICOL 250MG CAP</t>
  </si>
  <si>
    <t>CHLORAMPHENICOL</t>
  </si>
  <si>
    <t>CHLORAMPHENICOL EAR DROP</t>
  </si>
  <si>
    <t>CHLORAMPHENICOL EYE DROP 10ML FIDSON</t>
  </si>
  <si>
    <t>CHLORAMPHENICOL FIDSON</t>
  </si>
  <si>
    <t>CHLORAMPHENICOL OINT D/FIELD</t>
  </si>
  <si>
    <t>CHLORAMPHENICOL DRUGFIELD</t>
  </si>
  <si>
    <t>Chlorhexidine Cream</t>
  </si>
  <si>
    <t>CHLORHEXIDENE</t>
  </si>
  <si>
    <t>CHLORPROMAZINE 100MG TABS X28</t>
  </si>
  <si>
    <t>CHLORPROMAZINE</t>
  </si>
  <si>
    <t>CHLORPROMAZINE 25MG TABS X28</t>
  </si>
  <si>
    <t>CHLORPROMAZINE 50MG TABS X28</t>
  </si>
  <si>
    <t>Choline Salicylate+Cetalkonium, 10g cream Child</t>
  </si>
  <si>
    <t>BONJELA</t>
  </si>
  <si>
    <t>CHYMORAL FORTE X 30</t>
  </si>
  <si>
    <t>TRYPSIN AND CHYMOTYPSIN</t>
  </si>
  <si>
    <t>CHYMORAL FORTE</t>
  </si>
  <si>
    <t>CHYMOTRYPSIN TAB X10</t>
  </si>
  <si>
    <t>CHYMOTRYPSIN</t>
  </si>
  <si>
    <t>CIALIS 20MG TABS X2</t>
  </si>
  <si>
    <t>CIALIS</t>
  </si>
  <si>
    <t>CIFRAN TAB</t>
  </si>
  <si>
    <t>Ciprofloxacin</t>
  </si>
  <si>
    <t>CIFRAN</t>
  </si>
  <si>
    <t>CILEST TABS 3X21</t>
  </si>
  <si>
    <t>ETHINYLESTRADIOL/ NORGESTIMATE</t>
  </si>
  <si>
    <t>CILEST 3</t>
  </si>
  <si>
    <t>35mg/250mg</t>
  </si>
  <si>
    <t>CILOSTAZOLE 50MG TAB</t>
  </si>
  <si>
    <t>50MG</t>
  </si>
  <si>
    <t>ANTIPLATELET</t>
  </si>
  <si>
    <t>CILOXAN EYE DROP</t>
  </si>
  <si>
    <t>CILOXAN</t>
  </si>
  <si>
    <t>Cimetidine 200mg IV</t>
  </si>
  <si>
    <t>IV Cimetidine 200mg</t>
  </si>
  <si>
    <t xml:space="preserve">Cimetidine </t>
  </si>
  <si>
    <t>CIMETIDINE TABLETS200MG</t>
  </si>
  <si>
    <t>TAGAMET</t>
  </si>
  <si>
    <t>CIMETIDINE TABS 400MG X20</t>
  </si>
  <si>
    <t>CIMETIDINE</t>
  </si>
  <si>
    <t>CIPRO 500MG M&amp;B X10</t>
  </si>
  <si>
    <t>CIPRO (M&amp;B)</t>
  </si>
  <si>
    <t>CIPRO 500MG TABS (AFRAB) X10</t>
  </si>
  <si>
    <t>CIPRO (AFRAB)</t>
  </si>
  <si>
    <t>CIPRO INFUSION 100ML</t>
  </si>
  <si>
    <t>ALPHA CIPRO INFUSION 100ML</t>
  </si>
  <si>
    <t>200mg/100mL</t>
  </si>
  <si>
    <t>CIPROFLOXACIN 500MG UK X10</t>
  </si>
  <si>
    <t>CIPROFLOXACIN EYE DROP</t>
  </si>
  <si>
    <t>CILOXAN (CIPROFLOXACIN)</t>
  </si>
  <si>
    <t>FIDSON CIPROFLOXACIN</t>
  </si>
  <si>
    <t>CIPROFLOXACIN INFUSION</t>
  </si>
  <si>
    <t>CIPROTAB 500MG X 10</t>
  </si>
  <si>
    <t>CIPROTAB</t>
  </si>
  <si>
    <t>CIPROTAB INFUSION 100ML</t>
  </si>
  <si>
    <t>CIPROTAB TN 500/600MG TABS X10</t>
  </si>
  <si>
    <t>CIPROFLOXACIN/ TINIDAZOLE</t>
  </si>
  <si>
    <t>CIPRO TN</t>
  </si>
  <si>
    <t>500mg/600mg</t>
  </si>
  <si>
    <t>CIPROTABS 500MG X 14</t>
  </si>
  <si>
    <t>CITALOPRAM TABS 10MG X10</t>
  </si>
  <si>
    <t>CITALOPRAM</t>
  </si>
  <si>
    <t>CITALOPRAM TABS 20MG X10</t>
  </si>
  <si>
    <t>CITALOPRAM TABS 40MG X10</t>
  </si>
  <si>
    <t>Citicoline 500 mg Tab</t>
  </si>
  <si>
    <t>500MG</t>
  </si>
  <si>
    <t>CITRAMIN SYRUP 100ML</t>
  </si>
  <si>
    <t>CITRAMIN 100ML</t>
  </si>
  <si>
    <t>CIVODEX(Ciprofloxacin +Dexamethasone) ear/eye drops</t>
  </si>
  <si>
    <t>DROP</t>
  </si>
  <si>
    <t>Ciprofloxacin +Dexamethasone</t>
  </si>
  <si>
    <t>CIVODEX ear/eye drops</t>
  </si>
  <si>
    <t>15ML</t>
  </si>
  <si>
    <t>CLABETIC TABS X100</t>
  </si>
  <si>
    <t>METFORMIN/ GLIBENCLAMIDE</t>
  </si>
  <si>
    <t>CLABETIC</t>
  </si>
  <si>
    <t>500mg/ 5mg</t>
  </si>
  <si>
    <t>CLABETIC TABS X30</t>
  </si>
  <si>
    <t>CLARANTA 500MG TABS (CLARITHROMYCIN) X14</t>
  </si>
  <si>
    <t>CLARITHROMYCIN</t>
  </si>
  <si>
    <t>CLARANTA</t>
  </si>
  <si>
    <t>CLARIDEX 500MG CAPS X10</t>
  </si>
  <si>
    <t>Clarithromycin</t>
  </si>
  <si>
    <t>CLARIDEX</t>
  </si>
  <si>
    <t>CLARIDEX SUSPENSION</t>
  </si>
  <si>
    <t>125mg/5mL</t>
  </si>
  <si>
    <t>CLARITEK 500MG TABS X10</t>
  </si>
  <si>
    <t>CLARITEK</t>
  </si>
  <si>
    <t>CLARITHRMAX 500MG TABS</t>
  </si>
  <si>
    <t>CLARITHRMAX</t>
  </si>
  <si>
    <t>CLARITHRMAX SUSPENSION</t>
  </si>
  <si>
    <t>CLARITHROMYCIN 125MG SUSP 70ML</t>
  </si>
  <si>
    <t>CLARITHROMYCIN 70ML</t>
  </si>
  <si>
    <t>CLARITHROMYCIN 500MG TABS UK X14</t>
  </si>
  <si>
    <t>CLARITHROMYCIN INJECTION</t>
  </si>
  <si>
    <t>CLARITHROMYCIN TABLET 250MG</t>
  </si>
  <si>
    <t>CLARITIN 10MG X30</t>
  </si>
  <si>
    <t>LORATADINE</t>
  </si>
  <si>
    <t>CLARITIN</t>
  </si>
  <si>
    <t>CLARITYN ALLERGY SYR 100ML</t>
  </si>
  <si>
    <t>1mg/mL</t>
  </si>
  <si>
    <t>CLAVULIN 228MG SUSPENSION</t>
  </si>
  <si>
    <t>CLAVULIN</t>
  </si>
  <si>
    <t>228.5mg/5mL</t>
  </si>
  <si>
    <t>CLAVULIN TABS 1G X14</t>
  </si>
  <si>
    <t>875mg/125mg</t>
  </si>
  <si>
    <t>CLAVULIN TABS 625MG X14</t>
  </si>
  <si>
    <t>CLENIL MODULITE 200MCG/DOSE INHALATION</t>
  </si>
  <si>
    <t xml:space="preserve">CLENIL MODULITE </t>
  </si>
  <si>
    <t>200MCG</t>
  </si>
  <si>
    <t>CLEXANE INJECTION 0.4ML</t>
  </si>
  <si>
    <t>Enoxaparin</t>
  </si>
  <si>
    <t>Clexane</t>
  </si>
  <si>
    <t>0.4mg</t>
  </si>
  <si>
    <t>CLINDAMYCIN 150MG CAP</t>
  </si>
  <si>
    <t>Capsule</t>
  </si>
  <si>
    <t>Clindamycin</t>
  </si>
  <si>
    <t>DALACIN C</t>
  </si>
  <si>
    <t>150MG</t>
  </si>
  <si>
    <t>CLINDAMYCIN 300MG CAPS X10</t>
  </si>
  <si>
    <t>CLINDACIN</t>
  </si>
  <si>
    <t>Clindamycin Pessary</t>
  </si>
  <si>
    <t>PESSARY</t>
  </si>
  <si>
    <t>100 mg</t>
  </si>
  <si>
    <t>CLOFENAC TABS 50MG X10</t>
  </si>
  <si>
    <t>DICLOFENAC</t>
  </si>
  <si>
    <t>CLOFENAC</t>
  </si>
  <si>
    <t>CLOFENAC TABS SR X 10</t>
  </si>
  <si>
    <t>CLOFENAC SR</t>
  </si>
  <si>
    <t>CLOMID TABS 50MG X10</t>
  </si>
  <si>
    <t>CLOMIPHENE</t>
  </si>
  <si>
    <t>CLOMID</t>
  </si>
  <si>
    <t>CLONAZEPAM 2MG TABS X100</t>
  </si>
  <si>
    <t>CLONAZEPAM</t>
  </si>
  <si>
    <t>CLOPIDOGREL 75MG TABS X30</t>
  </si>
  <si>
    <t>CLOPIDOGREL</t>
  </si>
  <si>
    <t>CLOTRIMAZOLE VAG PESSARIES X6</t>
  </si>
  <si>
    <t>Clotrimazole Vag</t>
  </si>
  <si>
    <t>CLOVIGAL TAB</t>
  </si>
  <si>
    <t>CLOVIGAL</t>
  </si>
  <si>
    <t>Clozapine 100mg Pack</t>
  </si>
  <si>
    <t>Tab Clozapine 100mg Pack</t>
  </si>
  <si>
    <t>Clozapine</t>
  </si>
  <si>
    <t>CO-AMOXICLAV 625MG TABS NEIMETH</t>
  </si>
  <si>
    <t>CO-AMOXICLAV</t>
  </si>
  <si>
    <t>500mg/125mg</t>
  </si>
  <si>
    <t>CO-APROVEL 150/12.5MG TABS X28</t>
  </si>
  <si>
    <t>IRBESARTAN/ HYDROCHLOROTHIAZIDE</t>
  </si>
  <si>
    <t>CO-APROVEL</t>
  </si>
  <si>
    <t>150mg/12.5mg</t>
  </si>
  <si>
    <t>CO-APROVEL 300/12.5MG TABS X28</t>
  </si>
  <si>
    <t>300mg/12.5mg</t>
  </si>
  <si>
    <t>CO-CODAMOL TABS 30/500 X10</t>
  </si>
  <si>
    <t>Paracetamol/Dihydrocodeine</t>
  </si>
  <si>
    <t>CO-CODAMOL</t>
  </si>
  <si>
    <t>500mg/30mg</t>
  </si>
  <si>
    <t>CO-CODAMOL TABS 8/500MG X10</t>
  </si>
  <si>
    <t>500mg/8mg</t>
  </si>
  <si>
    <t>CO-DILOPRIL TABS X30</t>
  </si>
  <si>
    <t>AMLODIPINE/ LISINOPRIL</t>
  </si>
  <si>
    <t>CO-DILOPRIL</t>
  </si>
  <si>
    <t>CO-MEPIRYL 2/500MG TABS</t>
  </si>
  <si>
    <t>Glimepiride / Metformin</t>
  </si>
  <si>
    <t>CO-MEPIRYL</t>
  </si>
  <si>
    <t>2mg/500mg</t>
  </si>
  <si>
    <t>CO-MEPIRYL FORTE TAB X30</t>
  </si>
  <si>
    <t>METFORMIN/ GLIMEPIRIDE</t>
  </si>
  <si>
    <t>CO-MEPIRYL FORTE</t>
  </si>
  <si>
    <t>1000mg/ 2mg</t>
  </si>
  <si>
    <t xml:space="preserve">CO-MICARDIS 40/12.5MG </t>
  </si>
  <si>
    <t xml:space="preserve">TAB CO-MICARDIS 40/12.5MG </t>
  </si>
  <si>
    <t>CO-MICARDIS</t>
  </si>
  <si>
    <t xml:space="preserve">40/12.5MG </t>
  </si>
  <si>
    <t>ANTIHYPERTENSIVE</t>
  </si>
  <si>
    <t>CO-MICARDIS 80/12.5MG TABS X28</t>
  </si>
  <si>
    <t>COARTEM DISPERSIBLE TABS X6</t>
  </si>
  <si>
    <t>COARTEM D 1</t>
  </si>
  <si>
    <t>COARTEM DS 80/480 TABS X6</t>
  </si>
  <si>
    <t>COARTEM</t>
  </si>
  <si>
    <t>80/480</t>
  </si>
  <si>
    <t>COARTEM TABS X12</t>
  </si>
  <si>
    <t>COARTEM TABS X18</t>
  </si>
  <si>
    <t>20mg/120mg</t>
  </si>
  <si>
    <t>COARTEM TABS X24</t>
  </si>
  <si>
    <t>COD LIVER OIL SYRUP</t>
  </si>
  <si>
    <t>COD LIVER OIL</t>
  </si>
  <si>
    <t>CODIOVAN 160/12.5MG X28</t>
  </si>
  <si>
    <t>CODIOVAN</t>
  </si>
  <si>
    <t>160/12.5mg</t>
  </si>
  <si>
    <t>CODIOVAN 160/25MG TABS</t>
  </si>
  <si>
    <t>Valsartan / HCTZ</t>
  </si>
  <si>
    <t>CODIOVAN 160/25MG</t>
  </si>
  <si>
    <t>160mg/25mg</t>
  </si>
  <si>
    <t>CODIOVAN 320/12.5MG TABS X28</t>
  </si>
  <si>
    <t>VALSARTAN/ HYDROCHLOROTHIAZIDE</t>
  </si>
  <si>
    <t>320/12.5mg</t>
  </si>
  <si>
    <t>CODIOVAN 320/25MG TABS X28</t>
  </si>
  <si>
    <t>320/25mg</t>
  </si>
  <si>
    <t>CODIOVAN 80/12.5MG X 28</t>
  </si>
  <si>
    <t>COFLAX SYRUP CHILD</t>
  </si>
  <si>
    <t>DIPHENHYDRAMIDE HCL/ SODIUM CITRATE/ AMMONIUM CHLORIDE/ MENTHOL</t>
  </si>
  <si>
    <t>COFLAX CHILD</t>
  </si>
  <si>
    <t>7mg/28.5mg/65mg/0.6mg/5mL</t>
  </si>
  <si>
    <t>COFLIN EXPECTORANT SYRUP X100ML</t>
  </si>
  <si>
    <t>COFLIN EXPECTORANT 100ML</t>
  </si>
  <si>
    <t>14mg/57mg/135mg/1.1mg/5mL</t>
  </si>
  <si>
    <t>COFLIN SYRUP X100ML</t>
  </si>
  <si>
    <t>CHLORPHENIRAMINE/ AMMONIUM CHLORIDE/ SODIUM CITRATE/ EPHEDRINE HCL/ MENTHOL</t>
  </si>
  <si>
    <t>COFLIN 100ML</t>
  </si>
  <si>
    <t>2mg/80mg/40mg/6mg/2mg/5mL</t>
  </si>
  <si>
    <t>COFTA 60ML SYR</t>
  </si>
  <si>
    <t>COFTA 60ML</t>
  </si>
  <si>
    <t>COFTA COUGH</t>
  </si>
  <si>
    <t>COLD AND COUGH</t>
  </si>
  <si>
    <t>COGNITOL TABS X20</t>
  </si>
  <si>
    <t>VINPOCETINE</t>
  </si>
  <si>
    <t>COGNITOL</t>
  </si>
  <si>
    <t>COLCHICINE 1 MG INJECTION</t>
  </si>
  <si>
    <t>DRUGS - INJECTION COLCHICINE PER 1 MG</t>
  </si>
  <si>
    <t xml:space="preserve">COLCHICINE </t>
  </si>
  <si>
    <t>1MG/ML</t>
  </si>
  <si>
    <t>COLCHICINE TABS X100</t>
  </si>
  <si>
    <t>COLCHICINE</t>
  </si>
  <si>
    <t>0.6mg</t>
  </si>
  <si>
    <t>COLESTRIM TABS</t>
  </si>
  <si>
    <t>Fenofibrate</t>
  </si>
  <si>
    <t>COLESTRIM</t>
  </si>
  <si>
    <t>160mg</t>
  </si>
  <si>
    <t>COLIPAN SYRUP 60ML</t>
  </si>
  <si>
    <t>HYOSCINE BUTYLBROMIDE</t>
  </si>
  <si>
    <t>COLIPAN 60ML</t>
  </si>
  <si>
    <t>COLIPAN SYRUP X100ML</t>
  </si>
  <si>
    <t>COLIPAN 100ML</t>
  </si>
  <si>
    <t>Coloprep bowel preparation kit</t>
  </si>
  <si>
    <t>Coloprep</t>
  </si>
  <si>
    <t>COLOSEAL CAPS X10</t>
  </si>
  <si>
    <t>LOPERAMIDE</t>
  </si>
  <si>
    <t>LOPERAMIDE (COLOSEAL BRAND)</t>
  </si>
  <si>
    <t>COLOSTOMY BAG x30</t>
  </si>
  <si>
    <t>COLOSTOMY BAG</t>
  </si>
  <si>
    <t>COMBIGAN EYE DROP</t>
  </si>
  <si>
    <t>BRIMONIDINE/ TIMOLOL</t>
  </si>
  <si>
    <t>COMBIGAN</t>
  </si>
  <si>
    <t>0.2%/0.5%</t>
  </si>
  <si>
    <t>COMBILIPID 1440ML INJ</t>
  </si>
  <si>
    <t>COMBILIPID 1440ML</t>
  </si>
  <si>
    <t>1440ML</t>
  </si>
  <si>
    <t>COMBINATION 3 TABS X25</t>
  </si>
  <si>
    <t>ETHINYLESTRADIOL/ LEVONORGESTREL/ FERROUS FUMERATE</t>
  </si>
  <si>
    <t>COMBINATION 3</t>
  </si>
  <si>
    <t>0.03mg/ 0.15mg/ 75mg</t>
  </si>
  <si>
    <t>COMBIPRES EYE DROP</t>
  </si>
  <si>
    <t>COMBIPRESS</t>
  </si>
  <si>
    <t>0.2%/ 0.5%</t>
  </si>
  <si>
    <t>COMBISUNATE DISPERSIBLE X12</t>
  </si>
  <si>
    <t>COMBISUNATE DISPERSIBLE</t>
  </si>
  <si>
    <t>20mg/ 120mg</t>
  </si>
  <si>
    <t>COMBISUNATE DISPERSIBLE X6</t>
  </si>
  <si>
    <t>COMBISUNATE DS 80/480 TABS X6</t>
  </si>
  <si>
    <t>COMBISUNATE</t>
  </si>
  <si>
    <t>Concerta 18mg</t>
  </si>
  <si>
    <t>METHYLPHENIDATE</t>
  </si>
  <si>
    <t>CONCERTA</t>
  </si>
  <si>
    <t>18mg</t>
  </si>
  <si>
    <t>Concor 10mg X30</t>
  </si>
  <si>
    <t>CONCOR</t>
  </si>
  <si>
    <t>CONCOR 2.5MG X 28</t>
  </si>
  <si>
    <t>CONCOR 5MG X 30</t>
  </si>
  <si>
    <t>Concor-AM (Bisoprolol/Amlodipine) 5mg/10mg</t>
  </si>
  <si>
    <t>Concor-AM</t>
  </si>
  <si>
    <t>Concor-AM (Bisoprolol/Amlodipine) 5mg/5mg</t>
  </si>
  <si>
    <t>CONTAC CAPS X 18</t>
  </si>
  <si>
    <t>PARACETAMOL / PSEUDOEPHEDRINE</t>
  </si>
  <si>
    <t>CONTAC</t>
  </si>
  <si>
    <t>CONTIFLO OD X28</t>
  </si>
  <si>
    <t>Tamsulosin</t>
  </si>
  <si>
    <t>CONTIFLO OD</t>
  </si>
  <si>
    <t>COSAMID PLUS CAPS X100</t>
  </si>
  <si>
    <t>COSAMID PLUS</t>
  </si>
  <si>
    <t>250mg/200mg</t>
  </si>
  <si>
    <t>COSAMINE TABS X 100</t>
  </si>
  <si>
    <t>GLUCOSAMINE</t>
  </si>
  <si>
    <t>COSAMINE</t>
  </si>
  <si>
    <t>COSCOPIN LINCTUS</t>
  </si>
  <si>
    <t>NOSCAPINE/ AMMONIUM CHLORIDE/ SODIUM CITRARE</t>
  </si>
  <si>
    <t>7mg/25mg/3.25mg/5mL</t>
  </si>
  <si>
    <t>COSCOPIN PAEDIATRIC LINCTUS</t>
  </si>
  <si>
    <t>1.83mg/0.67mg/7mg/mL</t>
  </si>
  <si>
    <t>COSMIN GEL 10G(ISORETINOIN)</t>
  </si>
  <si>
    <t>ISORETINOIN</t>
  </si>
  <si>
    <t>COSMIN GEL 10G</t>
  </si>
  <si>
    <t>COSOPT EYE DROPS</t>
  </si>
  <si>
    <t>Dorzolamide / timolol</t>
  </si>
  <si>
    <t>COSOPT /BOTT (TURKISH)</t>
  </si>
  <si>
    <t>2%/0.5%</t>
  </si>
  <si>
    <t>COTILAM DERMAL CREAM</t>
  </si>
  <si>
    <t>TRIPLE ACTION CREAM</t>
  </si>
  <si>
    <t>COTILAM</t>
  </si>
  <si>
    <t>COTOZAL TZ TABS</t>
  </si>
  <si>
    <t>FLUCONAZOLE/TINIDAZOLE/AZITHROMYCIN</t>
  </si>
  <si>
    <t>COTOZAL TZ</t>
  </si>
  <si>
    <t>COTRIMOXAZOLE TABLETS</t>
  </si>
  <si>
    <t>TRIMETHOPRIM/SULPHAMETHOXAZOLE</t>
  </si>
  <si>
    <t>EMTRIM</t>
  </si>
  <si>
    <t>480 mg</t>
  </si>
  <si>
    <t>Cotton Wool</t>
  </si>
  <si>
    <t>COTTON WOOL</t>
  </si>
  <si>
    <t>COVERAM 10/10MG ORANGE X30</t>
  </si>
  <si>
    <t>PERINDOPRIL / AMLODIPINE</t>
  </si>
  <si>
    <t>COVERAM</t>
  </si>
  <si>
    <t>COVERAM 10/5MG YELLOW X30</t>
  </si>
  <si>
    <t>10mg/5mg</t>
  </si>
  <si>
    <t>COVERAM 5/10MG TABS PURPLE X30</t>
  </si>
  <si>
    <t>COVERAM 5/5MG TABS PINK X30</t>
  </si>
  <si>
    <t>COVERAM PLUS 10/2.5/10 X 30</t>
  </si>
  <si>
    <t>PERINDOPRIL/INDAPAMID/AMLODIPINE</t>
  </si>
  <si>
    <t>COVERAM PLUS</t>
  </si>
  <si>
    <t>10mg/2.5mg/10mg</t>
  </si>
  <si>
    <t>COVERAM PLUS 5/1.25/10MG</t>
  </si>
  <si>
    <t>5mg/1.25mg/10mg</t>
  </si>
  <si>
    <t>COVERSYL PLUS 5/1.25MG TABS X30</t>
  </si>
  <si>
    <t>PERINDOPRIL</t>
  </si>
  <si>
    <t>COVERSYL PLUS</t>
  </si>
  <si>
    <t>5mg/1.25mg</t>
  </si>
  <si>
    <t>COVERSYL PLUS TABS 10MG/2.5MG X30</t>
  </si>
  <si>
    <t>Perindopril / Indapamide</t>
  </si>
  <si>
    <t>10mg/2.5mg</t>
  </si>
  <si>
    <t>COVERSYL TABS 10MG X30</t>
  </si>
  <si>
    <t>COVERSYL</t>
  </si>
  <si>
    <t>COVERSYL TABS 5MG X30</t>
  </si>
  <si>
    <t>Crepe Bandage 3 Inches, Becton</t>
  </si>
  <si>
    <t>CREPE BANDAGE</t>
  </si>
  <si>
    <t>CRESTOR TAB 10MG X28</t>
  </si>
  <si>
    <t>ROSUVASTATIN</t>
  </si>
  <si>
    <t>CRESTOR</t>
  </si>
  <si>
    <t>CRESTOR TAB 20MG</t>
  </si>
  <si>
    <t>Rosuvastatin</t>
  </si>
  <si>
    <t>CRESTOR TAB 40MG</t>
  </si>
  <si>
    <t>CRESTOR TAB 5MG X28</t>
  </si>
  <si>
    <t>CROMAX-4 EYE DROP</t>
  </si>
  <si>
    <t>CROMOLYN SODIUM</t>
  </si>
  <si>
    <t>CROMAX-4</t>
  </si>
  <si>
    <t>40mg/mL</t>
  </si>
  <si>
    <t>CRUTCHES XL</t>
  </si>
  <si>
    <t>CRUTCHES</t>
  </si>
  <si>
    <t>CUSIMOLOL EYE DROP</t>
  </si>
  <si>
    <t>TIMOLOL</t>
  </si>
  <si>
    <t>CUSIMOLOL</t>
  </si>
  <si>
    <t>CYANOCOBALAMIN (B12)TABLET0.05 MG</t>
  </si>
  <si>
    <t>VITAMIN B12</t>
  </si>
  <si>
    <t>0.05MG</t>
  </si>
  <si>
    <t>CYCLOGEST 200MG PESSARY X15</t>
  </si>
  <si>
    <t>Progesterone</t>
  </si>
  <si>
    <t>CYCLOGEST PESSARY</t>
  </si>
  <si>
    <t>CYCLOGEST 400MG PESSARY X28</t>
  </si>
  <si>
    <t>CYCLOGEST</t>
  </si>
  <si>
    <t>CYCLOSPORIN EYE DROP(HESS)</t>
  </si>
  <si>
    <t>CYCLOSPORIN</t>
  </si>
  <si>
    <t>CYCLOSPORIN (HESS)</t>
  </si>
  <si>
    <t>IMMUNOLOGICAL</t>
  </si>
  <si>
    <t>CYMBALTA 30MG CAPS X28</t>
  </si>
  <si>
    <t>DULOXETINE</t>
  </si>
  <si>
    <t>CYMBALTA</t>
  </si>
  <si>
    <t>CYMBALTA 60MG CAPS X28</t>
  </si>
  <si>
    <t>CYPLOX TABS 500MG</t>
  </si>
  <si>
    <t>CYPLOX</t>
  </si>
  <si>
    <t>D-ARTEPP 40/320MG TABS X9</t>
  </si>
  <si>
    <t>DIHYDROARTEMISININ/ PIPERAQUINE</t>
  </si>
  <si>
    <t>D-ARTEPP 40/320</t>
  </si>
  <si>
    <t>40mg/320mg</t>
  </si>
  <si>
    <t>D-KOFF 100ML</t>
  </si>
  <si>
    <t>DIPHENHYDRAMIDE/ AMMONIUM CHLORIDE/ BROMOHEXINE/ SODIUM CITRATE/ MENTHOL</t>
  </si>
  <si>
    <t>10mg/138mg/4mg/58mg/1.5mg/5mL</t>
  </si>
  <si>
    <t>DABIC 15MG TABS</t>
  </si>
  <si>
    <t>Meloxicam</t>
  </si>
  <si>
    <t>DABIC</t>
  </si>
  <si>
    <t>15mg</t>
  </si>
  <si>
    <t>DABIC 7.5MG TABS</t>
  </si>
  <si>
    <t>7.5mg</t>
  </si>
  <si>
    <t>DAFLON TABS X20</t>
  </si>
  <si>
    <t>Diosmin / hesperidin</t>
  </si>
  <si>
    <t>DAFLON</t>
  </si>
  <si>
    <t>DAKTACORT CREAM 20MG 15GM</t>
  </si>
  <si>
    <t>HYDROCORTISONE/ MICONAZOLE</t>
  </si>
  <si>
    <t>DAKTACORT 15G</t>
  </si>
  <si>
    <t>1%/ 2%</t>
  </si>
  <si>
    <t>DAKTARIN CREAM 20GM</t>
  </si>
  <si>
    <t>MICONAZOLE</t>
  </si>
  <si>
    <t>DAKTARIN 20G</t>
  </si>
  <si>
    <t>DAKTARIN ORAL GEL UK</t>
  </si>
  <si>
    <t>DAKTARIN POWDER 20G</t>
  </si>
  <si>
    <t>MIconazole</t>
  </si>
  <si>
    <t>DAKTARIN</t>
  </si>
  <si>
    <t>DALACIN C 300MG CAPS X16</t>
  </si>
  <si>
    <t>CLINDAMYCIN</t>
  </si>
  <si>
    <t>DALACIN C 300MG INJECTION X1VIAL</t>
  </si>
  <si>
    <t>DALACIN T SOLUTION 30ML</t>
  </si>
  <si>
    <t>DANACID TABS X96</t>
  </si>
  <si>
    <t>MAGNESIUM TRISILICATE</t>
  </si>
  <si>
    <t>DANACID</t>
  </si>
  <si>
    <t>DAONIL TABS 5MG X 30</t>
  </si>
  <si>
    <t>Gilbenclamide</t>
  </si>
  <si>
    <t>Daonil</t>
  </si>
  <si>
    <t>DAPAGLIFLOZIN 10MG TABS X28</t>
  </si>
  <si>
    <t>Dapaglifozin</t>
  </si>
  <si>
    <t>DAPAGLIFLOZIN 10MG TABS X28 Gen</t>
  </si>
  <si>
    <t>DAPZIN</t>
  </si>
  <si>
    <t>DARAVIT WOMAN X 30</t>
  </si>
  <si>
    <t>Women Multiitamin</t>
  </si>
  <si>
    <t>Daravit Woman</t>
  </si>
  <si>
    <t>DARROWS HALF STRENGTH</t>
  </si>
  <si>
    <t>POTASSIUM CHLORIDE/ SODIUN CHLORIDE/ SODIUM CITRATE/ GLUCOSE</t>
  </si>
  <si>
    <t>IV FLUIDS</t>
  </si>
  <si>
    <t>DAZEL KIT</t>
  </si>
  <si>
    <t>FLUCONAZOLE/ AZITHROMYCIN/ DECNIDAZOLE</t>
  </si>
  <si>
    <t>150mg/ 1g/1g</t>
  </si>
  <si>
    <t>DE-DEONS B 12 B/S</t>
  </si>
  <si>
    <t>SUPPLEMENT (CYANOCOBALAMIN/ HEMOGLOBIN/ LIVER EXTRACT0</t>
  </si>
  <si>
    <t>DE-DEONS B 12 S/S</t>
  </si>
  <si>
    <t>280ml</t>
  </si>
  <si>
    <t>DEEP HEAT RUB</t>
  </si>
  <si>
    <t>METHYL SALICYLATE</t>
  </si>
  <si>
    <t>Deep Heat Rub</t>
  </si>
  <si>
    <t>DEEP HEAT SPRAY</t>
  </si>
  <si>
    <t>METHYL NICOTINATE/ GLYCOL SALICYLATE/ METHYL SALICYLATE/ ETHYL SALICYLATE</t>
  </si>
  <si>
    <t>DEEP RELIEF 50G UK</t>
  </si>
  <si>
    <t>LEVOMENTHOL/ IBUPROFEN</t>
  </si>
  <si>
    <t>3%/5%</t>
  </si>
  <si>
    <t>DEFAL 30MG</t>
  </si>
  <si>
    <t>DEFLAZACORT</t>
  </si>
  <si>
    <t>DEFAL</t>
  </si>
  <si>
    <t>30MG</t>
  </si>
  <si>
    <t>STEROID</t>
  </si>
  <si>
    <t>DEPIXOL 20MG/ML INJECTION X10</t>
  </si>
  <si>
    <t>FLUPENTHIXOL</t>
  </si>
  <si>
    <t>DEPIXOL</t>
  </si>
  <si>
    <t>DEPIXOL 40MG INJECTION</t>
  </si>
  <si>
    <t>DEPO PROVERA INJECTION</t>
  </si>
  <si>
    <t>MEDROXYPROGESTERONE</t>
  </si>
  <si>
    <t>DEPO PROVERA (MEDROXYPROGESTERONE)</t>
  </si>
  <si>
    <t>DEQUACAINE LOZENGES X24</t>
  </si>
  <si>
    <t>BENZOCAINE/ DEQUALINIUM CHLORIE</t>
  </si>
  <si>
    <t>DEQUACAINE LOZENGES</t>
  </si>
  <si>
    <t>10mg/0.25mg</t>
  </si>
  <si>
    <t>DERMAZIN CREAM 25G</t>
  </si>
  <si>
    <t>SILVER SULFADIAZINE</t>
  </si>
  <si>
    <t>DERMAZIN 25G</t>
  </si>
  <si>
    <t>DERMAZIN CREAM 50G</t>
  </si>
  <si>
    <t>DERMAZIN 50G</t>
  </si>
  <si>
    <t>DERMOVATE CREAM 20G</t>
  </si>
  <si>
    <t>Clobetasol</t>
  </si>
  <si>
    <t>DERMOVATE</t>
  </si>
  <si>
    <t>DESLORATIDINE 5MG TABS X30</t>
  </si>
  <si>
    <t>DESLORATIDINE</t>
  </si>
  <si>
    <t>DESMOPRESSIN 0.2MG TABS X30</t>
  </si>
  <si>
    <t>VASOPRESSIN</t>
  </si>
  <si>
    <t>DESMOPRESSIN</t>
  </si>
  <si>
    <t>0.2mg</t>
  </si>
  <si>
    <t>DESMOPRESSIN SPRAY 6ML</t>
  </si>
  <si>
    <t>10mcg/0.1mL</t>
  </si>
  <si>
    <t>Dexamethasone 0.5mg X10</t>
  </si>
  <si>
    <t>DEXAMETHASONE</t>
  </si>
  <si>
    <t>DEXAMETHAZONE</t>
  </si>
  <si>
    <t>Dexamethasone 1mg X10</t>
  </si>
  <si>
    <t>DEXAMETHASONE NEOMYCIN DROP 10ML FIDSON</t>
  </si>
  <si>
    <t>DEXAMETHASONE/ NEOMYCIN</t>
  </si>
  <si>
    <t>DEXAMETHASONE NEOMYCIN DROp</t>
  </si>
  <si>
    <t>DEXAMETHAZONE 4MG INJECTION X10</t>
  </si>
  <si>
    <t>Dexketoprofen cream (2.5%/50G Topical)</t>
  </si>
  <si>
    <t xml:space="preserve">Dexketoprofen cream </t>
  </si>
  <si>
    <t>2.5%/50G</t>
  </si>
  <si>
    <t>DEXTROSE SALINE 4.3% 500ML</t>
  </si>
  <si>
    <t>DEXTROSE SALINE</t>
  </si>
  <si>
    <t>DEXTROSE SALINE 5% 500ML</t>
  </si>
  <si>
    <t>DEXTROSE SALINE 500ML</t>
  </si>
  <si>
    <t>DEXTROSE WATER 10% 500ML</t>
  </si>
  <si>
    <t>DEXTROSE WATER</t>
  </si>
  <si>
    <t>DEXTROSE WATER 5% 500ML</t>
  </si>
  <si>
    <t>DIABETMIN TABS X100</t>
  </si>
  <si>
    <t>DIABETMIN</t>
  </si>
  <si>
    <t>DIAMET TAB X30</t>
  </si>
  <si>
    <t>METFORMIN</t>
  </si>
  <si>
    <t>DIAMET</t>
  </si>
  <si>
    <t>DIAMICRON 30MG TABS MR X30</t>
  </si>
  <si>
    <t>GLICLAZIDE</t>
  </si>
  <si>
    <t>DIAMICRON MR</t>
  </si>
  <si>
    <t>DIAMICRON 60MG TABS X30</t>
  </si>
  <si>
    <t>DIAMICRON</t>
  </si>
  <si>
    <t>DIAMICRON TABS 80MG X 60</t>
  </si>
  <si>
    <t>GLICAZIDE</t>
  </si>
  <si>
    <t>DIANE 35 X 21</t>
  </si>
  <si>
    <t>ETHINYLESTRADIOL/CYPROTERONE ACETATE</t>
  </si>
  <si>
    <t>DIANE 35</t>
  </si>
  <si>
    <t>LIGHT KAOLIN</t>
  </si>
  <si>
    <t>DIASTOP</t>
  </si>
  <si>
    <t>DIATAB TAB</t>
  </si>
  <si>
    <t>GLIBENCLAMIDE</t>
  </si>
  <si>
    <t>DIATAB</t>
  </si>
  <si>
    <t>DIAZEPAM INJECTION X10</t>
  </si>
  <si>
    <t>DIAZEPAM</t>
  </si>
  <si>
    <t>DIAZEPAM TABS X10</t>
  </si>
  <si>
    <t>DIAZEPAM 5MG</t>
  </si>
  <si>
    <t>DICLOFENAC EYE DROP</t>
  </si>
  <si>
    <t>DICLOFENAC GEL 30G DRUGFIELD</t>
  </si>
  <si>
    <t>DICLOFENAC GEL DRUGFIELD 30G</t>
  </si>
  <si>
    <t>DICLOFENAC POTASSIUM TABS X12</t>
  </si>
  <si>
    <t>DICLOFENAC POTASSIUM</t>
  </si>
  <si>
    <t>DICLOFENAC SODIUM + MISOPROSTOL TABLET 75MG/200MCG</t>
  </si>
  <si>
    <t>DICLOFENAC SODIUM + MISOPROSTOL TABLET 50MG/200MCG  GENERIC</t>
  </si>
  <si>
    <t>ARTHROTEC 75</t>
  </si>
  <si>
    <t>50MG/200MCG</t>
  </si>
  <si>
    <t>Diclofenac sodium 0.1% (Voltarol) Eye Drops</t>
  </si>
  <si>
    <t>Diclofenac sodium Drops</t>
  </si>
  <si>
    <t>Voltarol Eye Drops</t>
  </si>
  <si>
    <t>DICLOFENAC SODIUM 50MG (DEXEL) X100</t>
  </si>
  <si>
    <t>DICLOFENAC SODIUM</t>
  </si>
  <si>
    <t>DICLOFENAC SODIUM (DEXEL)</t>
  </si>
  <si>
    <t>DICLOFENAC SODIUM INJ X10</t>
  </si>
  <si>
    <t xml:space="preserve">DICLOFENAC SUPP </t>
  </si>
  <si>
    <t>Diclofenac Suppository 50mg (BRANDED)</t>
  </si>
  <si>
    <t xml:space="preserve">Diclofenac Suppository 50mg </t>
  </si>
  <si>
    <t>DICLOMOL GEL 30G</t>
  </si>
  <si>
    <t>30g</t>
  </si>
  <si>
    <t>DICLOMOL TABS X20</t>
  </si>
  <si>
    <t>DICLOMOL</t>
  </si>
  <si>
    <t>DICLOSUM EYE DROP</t>
  </si>
  <si>
    <t>DICLOSUM</t>
  </si>
  <si>
    <t>DICLOSUM GUTT</t>
  </si>
  <si>
    <t>DIFLUCAN 150MG X3</t>
  </si>
  <si>
    <t>FLUCONAZOLE</t>
  </si>
  <si>
    <t>DIFLUCAN</t>
  </si>
  <si>
    <t>DIGOXIN TABS 125MCG X28</t>
  </si>
  <si>
    <t>DIGOXIN</t>
  </si>
  <si>
    <t>125mcg</t>
  </si>
  <si>
    <t>DIGOXIN TABS 250MCG X28</t>
  </si>
  <si>
    <t>250mcg</t>
  </si>
  <si>
    <t>DIHYDROCODIENE 30MG X 10</t>
  </si>
  <si>
    <t>Dihydrocodeine</t>
  </si>
  <si>
    <t>DIOSMIN 150MG X 30</t>
  </si>
  <si>
    <t>Diosmin</t>
  </si>
  <si>
    <t>DIOVAN 320MG TABS X28</t>
  </si>
  <si>
    <t>VALSARTAN</t>
  </si>
  <si>
    <t>DIOVAN</t>
  </si>
  <si>
    <t>320mg</t>
  </si>
  <si>
    <t>DIOVAN TABS 160MG X 28</t>
  </si>
  <si>
    <t>DIOVAN TABS 80MG X 28</t>
  </si>
  <si>
    <t>DIPROSALIC CREAM 15G</t>
  </si>
  <si>
    <t>BETAMETHASONE/ SALICYLIC ACID</t>
  </si>
  <si>
    <t>DIPROSALIC 15G</t>
  </si>
  <si>
    <t>0.05%/3%</t>
  </si>
  <si>
    <t>DITROPAN TAB (OXYBUTYNIN)</t>
  </si>
  <si>
    <t>OXYBUTYNIN</t>
  </si>
  <si>
    <t>DITROPAN</t>
  </si>
  <si>
    <t>10MG</t>
  </si>
  <si>
    <t>DOLO-META B FORT TABS X100</t>
  </si>
  <si>
    <t>DICLOFENAC/VITAMIN B1/ B6/ B12</t>
  </si>
  <si>
    <t>DOLO-META B FORT</t>
  </si>
  <si>
    <t>DOLO-META B X10</t>
  </si>
  <si>
    <t>DICLOFENAC/VITAMIN B1, B6, B12</t>
  </si>
  <si>
    <t>DOLO-META B</t>
  </si>
  <si>
    <t>DOLONEUROBION TAB</t>
  </si>
  <si>
    <t>DICLOFENAC/BCOMPLEX</t>
  </si>
  <si>
    <t>DOLONEUROBION</t>
  </si>
  <si>
    <t>DOLVIRAN TABS X30</t>
  </si>
  <si>
    <t>CODEINE</t>
  </si>
  <si>
    <t>DOLVIRAN</t>
  </si>
  <si>
    <t>DOMPERIDONE 10MG TAB  (MOTILIUM)</t>
  </si>
  <si>
    <t>MOTILINUM</t>
  </si>
  <si>
    <t>DOMPERIDONE 10MG TAB  (PERIDON)</t>
  </si>
  <si>
    <t xml:space="preserve">DOMPERIDONE 10MG </t>
  </si>
  <si>
    <t>PERIDON</t>
  </si>
  <si>
    <t>DONEPEZIL 10MG TABS</t>
  </si>
  <si>
    <t>DONEPEZIL</t>
  </si>
  <si>
    <t>DONEPEZIL 5MG TABS</t>
  </si>
  <si>
    <t>Donepezil HCl 5mg (MilPharm)</t>
  </si>
  <si>
    <t>DONEPEZIL HCL</t>
  </si>
  <si>
    <t>MILPHARM</t>
  </si>
  <si>
    <t>DOPA TABS X 100</t>
  </si>
  <si>
    <t>DOPATAB</t>
  </si>
  <si>
    <t>DOPAMINE INJECTION 200MG/5ML X10</t>
  </si>
  <si>
    <t>DOPAMINE</t>
  </si>
  <si>
    <t>DORZOLAMIDE EYE DROP</t>
  </si>
  <si>
    <t>DORZOLAMIDE</t>
  </si>
  <si>
    <t>DORZOLAMIDE/TIMOLOL EYE DROP 5ML</t>
  </si>
  <si>
    <t>DORZOLAMIDE/TIMOLOL</t>
  </si>
  <si>
    <t>DORZOLAMIDE/TIMOLOL 5ML</t>
  </si>
  <si>
    <t>DOSTINEX TABS 0.5MG X8</t>
  </si>
  <si>
    <t>Carbegoline</t>
  </si>
  <si>
    <t>DOSTINEX 0.25MG</t>
  </si>
  <si>
    <t>Dovebet cream (Generic)</t>
  </si>
  <si>
    <t>DOVEBET</t>
  </si>
  <si>
    <t>DOXAZOSIN TABS 2MG X28</t>
  </si>
  <si>
    <t>DOXAZOSIN TABS 4MG X28</t>
  </si>
  <si>
    <t>DOXYCAP X 20</t>
  </si>
  <si>
    <t>Doxycycline</t>
  </si>
  <si>
    <t>Doxycap</t>
  </si>
  <si>
    <t>DREZ POWDER</t>
  </si>
  <si>
    <t xml:space="preserve">DREZ </t>
  </si>
  <si>
    <t xml:space="preserve"> 5.0% w/w </t>
  </si>
  <si>
    <t>DREZ-V GEL (30G)</t>
  </si>
  <si>
    <t xml:space="preserve">DREZ-V </t>
  </si>
  <si>
    <t>DROVID 200MG TABS X10</t>
  </si>
  <si>
    <t>OFLOXACIN</t>
  </si>
  <si>
    <t>DROVID</t>
  </si>
  <si>
    <t>DROVID 400MG TABS X10</t>
  </si>
  <si>
    <t>DRUJELA GEL 10G</t>
  </si>
  <si>
    <t>CHOLINE SALICYLATE</t>
  </si>
  <si>
    <t>10G</t>
  </si>
  <si>
    <t>DULCOLAX 5MG TABS X10</t>
  </si>
  <si>
    <t>DULCOLAX</t>
  </si>
  <si>
    <t>DULCOLAX SUPP 10MG X12</t>
  </si>
  <si>
    <t>Duo Trav Eye Drop 1 bottle</t>
  </si>
  <si>
    <t>Duo Trav</t>
  </si>
  <si>
    <t>40mcg</t>
  </si>
  <si>
    <t>DUO-COTEXCIN TABS</t>
  </si>
  <si>
    <t>Dihydroartemisinin / Piperaquine</t>
  </si>
  <si>
    <t>DUO-COTEXCIN</t>
  </si>
  <si>
    <t>DUOCAL MCT 400MG</t>
  </si>
  <si>
    <t>DUOCAL MCT</t>
  </si>
  <si>
    <t>DUODART 0.5/0.4MG CAPS X30</t>
  </si>
  <si>
    <t>DUODART</t>
  </si>
  <si>
    <t>Duosopt eye drop</t>
  </si>
  <si>
    <t>Dorzolamide/Timolol</t>
  </si>
  <si>
    <t>5ML</t>
  </si>
  <si>
    <t>DUOSTAM 0.4/0.5MG X 30</t>
  </si>
  <si>
    <t>TAMSULOSIN/DUTASTERIDE</t>
  </si>
  <si>
    <t>DUOSTAM</t>
  </si>
  <si>
    <t>0.4/0.5mg</t>
  </si>
  <si>
    <t>DUOTRAV EYE DROP</t>
  </si>
  <si>
    <t>TRAVOPROST/ TIMOLOL</t>
  </si>
  <si>
    <t>DUOTRAV</t>
  </si>
  <si>
    <t>DUPHASTON 10MG TABS X20</t>
  </si>
  <si>
    <t>DYDROGESTERONE</t>
  </si>
  <si>
    <t>DUPHASTON</t>
  </si>
  <si>
    <t>DUSPATALIN TAB</t>
  </si>
  <si>
    <t>MEBEVERINE</t>
  </si>
  <si>
    <t>t</t>
  </si>
  <si>
    <t>DUSPATALIN</t>
  </si>
  <si>
    <t>135MG</t>
  </si>
  <si>
    <t>DYNAMOGEN SOLUTION</t>
  </si>
  <si>
    <t>GLUTODINE/ ARGININE</t>
  </si>
  <si>
    <t>3mg/1000mg/10m L</t>
  </si>
  <si>
    <t>ECOSLIM CAPS X21</t>
  </si>
  <si>
    <t>ORLISTAT</t>
  </si>
  <si>
    <t>ECOSLIM</t>
  </si>
  <si>
    <t>EFAMOL EPO 500MG X 90</t>
  </si>
  <si>
    <t>EVENING PRIMROSE OIL</t>
  </si>
  <si>
    <t>EFAMOL EPO</t>
  </si>
  <si>
    <t>EFAVIRENZ 600MG TABS X30</t>
  </si>
  <si>
    <t>EFAVIRENZ</t>
  </si>
  <si>
    <t>EFEMOLINE EYE DROP 5ML</t>
  </si>
  <si>
    <t>FLUOROMETHOLONE/ TETRYZOLINE</t>
  </si>
  <si>
    <t>EFEMOLINE 5ML</t>
  </si>
  <si>
    <t>0.1%/0.025%</t>
  </si>
  <si>
    <t>ELICORID TABS X42</t>
  </si>
  <si>
    <t>Clarithromycin / Rabeprazole / Amoxicillin</t>
  </si>
  <si>
    <t>ELICORID</t>
  </si>
  <si>
    <t>500mg/1000mg/200mg</t>
  </si>
  <si>
    <t>ELISCA EAR DROPS</t>
  </si>
  <si>
    <t>ELISCA</t>
  </si>
  <si>
    <t>ELISCA EYE DROPS</t>
  </si>
  <si>
    <t>EM B PLEX SYRUP 100ML</t>
  </si>
  <si>
    <t>VITAMIN B-COMPLEX</t>
  </si>
  <si>
    <t>EM-B-PLEX</t>
  </si>
  <si>
    <t>EMAL 150MG INJECTION X3</t>
  </si>
  <si>
    <t>Artheether</t>
  </si>
  <si>
    <t>EMAL</t>
  </si>
  <si>
    <t>EMAL 75MG INJECTION</t>
  </si>
  <si>
    <t>ARTEETHER</t>
  </si>
  <si>
    <t>EMGYL 200MG X 10</t>
  </si>
  <si>
    <t>METRONIDAZOLE</t>
  </si>
  <si>
    <t>EMGYL</t>
  </si>
  <si>
    <t>EMGYL SUSPENSION 60ML</t>
  </si>
  <si>
    <t>EMGYL TAB 400MG X10</t>
  </si>
  <si>
    <t>EMMOX CAPS 500MG X10</t>
  </si>
  <si>
    <t>EMMOX</t>
  </si>
  <si>
    <t>EMMOX SUSPENSION</t>
  </si>
  <si>
    <t>Amoxicillin</t>
  </si>
  <si>
    <t>EMMOX 100ML (AMOXYCILLIN - 100ML)</t>
  </si>
  <si>
    <t>EMPIRIN 75MG TAB X10</t>
  </si>
  <si>
    <t>EMPIRIN</t>
  </si>
  <si>
    <t>EMPROFEN 200MG x10</t>
  </si>
  <si>
    <t>EMPROFEN</t>
  </si>
  <si>
    <t>EMPROFEN 400MG S/G CAPS X10</t>
  </si>
  <si>
    <t>EMPROFEN SOFT GEL 1*10 (IBUPROFEN - 1X10'S)</t>
  </si>
  <si>
    <t>EMPROFLOX EYE DROP</t>
  </si>
  <si>
    <t>EMPROFLOX</t>
  </si>
  <si>
    <t>EMTRIM FORTE TABS</t>
  </si>
  <si>
    <t>SULFAMETHOXAZOLE/TRIMETHOPRIM</t>
  </si>
  <si>
    <t>EMTRIM FORTE</t>
  </si>
  <si>
    <t>800mg/160mg</t>
  </si>
  <si>
    <t>EMTRIM SYRUP 60ML</t>
  </si>
  <si>
    <t>TRIMETHOPRIM/SULFAMETHOXAZOLE</t>
  </si>
  <si>
    <t>240mg/5ml</t>
  </si>
  <si>
    <t>EMTRIM TAB X 1000</t>
  </si>
  <si>
    <t>COTRIMOXAZOLE</t>
  </si>
  <si>
    <t>EMTRIM TAB X10</t>
  </si>
  <si>
    <t>400/81mg</t>
  </si>
  <si>
    <t>EMTRISIL SUSPENSION 200ML</t>
  </si>
  <si>
    <t>Aluminuim silicate / Magnesium trisilicate / Simeticone</t>
  </si>
  <si>
    <t>EMTRISIL 200ML</t>
  </si>
  <si>
    <t>250mg/250mg</t>
  </si>
  <si>
    <t>EMVIT C DROP</t>
  </si>
  <si>
    <t>Vitamin C</t>
  </si>
  <si>
    <t>EM-VIT-C DROPS 100MG/5ML (ASCORBIC ACID - 15ML)</t>
  </si>
  <si>
    <t>100mg/5ml</t>
  </si>
  <si>
    <t>EMVIT C SYRUP 100ML</t>
  </si>
  <si>
    <t>EM-VIT-C 100MG/5ML (ASCORBIC ACID - 100ML)</t>
  </si>
  <si>
    <t>EMVIT C TABS X 100 CHEW</t>
  </si>
  <si>
    <t>EM-VIT-C LETS (WHITE) *100 (ASCORBIC ACID - 100'S)</t>
  </si>
  <si>
    <t>EMVIT C TABS X 100 WHITE</t>
  </si>
  <si>
    <t>EMVITE SYRUP 100ML</t>
  </si>
  <si>
    <t>EMVITE MULTIVITAMIN</t>
  </si>
  <si>
    <t>EMZOCLOX SUSP 100ML</t>
  </si>
  <si>
    <t>Ampicillin / Cloxacillin</t>
  </si>
  <si>
    <t>EMZOCLOX</t>
  </si>
  <si>
    <t>250mg/5ml</t>
  </si>
  <si>
    <t>EMZOLYN SUSP CHILDREN 100ML</t>
  </si>
  <si>
    <t>DIPHENHYDRAMIDE/ MENTHOL</t>
  </si>
  <si>
    <t>EMZOLYN CHILDREN 100ML</t>
  </si>
  <si>
    <t>7mg/0.55mg/5mL</t>
  </si>
  <si>
    <t>EMZOLYN WITH CODEINE SYRUP</t>
  </si>
  <si>
    <t>DIPHENHYDRAMIDE/ SODIUM CITRATE/ CODEINE/ MENTHOL</t>
  </si>
  <si>
    <t>EMZOLYN WITH CODEINE</t>
  </si>
  <si>
    <t>14mg/57mg/10.9mg/1.1mg/5mL</t>
  </si>
  <si>
    <t>EMZOR ERYTHRO SUSPENSION</t>
  </si>
  <si>
    <t>ERYTHROMYCIN</t>
  </si>
  <si>
    <t>EMZOR ERYTHRO</t>
  </si>
  <si>
    <t>EMZOR EVENING PRIMROSE 1000MG X30</t>
  </si>
  <si>
    <t>EMZOR EVENING PRIMROSE</t>
  </si>
  <si>
    <t>EMZOR EVENING PRIMROSE 500MG CAPS X30</t>
  </si>
  <si>
    <t>EMZOR FOLIC ACID X 100</t>
  </si>
  <si>
    <t>FOLIC ACID</t>
  </si>
  <si>
    <t>EMZOR FOLIC ACID</t>
  </si>
  <si>
    <t>EMZOR FOLIC ACID X1000</t>
  </si>
  <si>
    <t>EMZOR FRESH SEAS CLO 1000MG x 10</t>
  </si>
  <si>
    <t>Fresh Seas</t>
  </si>
  <si>
    <t>Emzor Fresh Seas</t>
  </si>
  <si>
    <t>EMZOR FRESH SEAS CLO 300MG x 10</t>
  </si>
  <si>
    <t>1001mg</t>
  </si>
  <si>
    <t>EMZOR MALDOX SUSPENSION</t>
  </si>
  <si>
    <t>SULFADOXINE/ PYRIMETHAMINE</t>
  </si>
  <si>
    <t>EMZOR MALDOX</t>
  </si>
  <si>
    <t>500mg/25mg/5mL</t>
  </si>
  <si>
    <t>EMZOR MALDOX TABS</t>
  </si>
  <si>
    <t>SULFADOXINE/PYRIMETHAMINE</t>
  </si>
  <si>
    <t>MALDOX</t>
  </si>
  <si>
    <t>500/25mg</t>
  </si>
  <si>
    <t>EMZOR METFORMIN 500MG TABS X100</t>
  </si>
  <si>
    <t>EMZOR METFORMIN</t>
  </si>
  <si>
    <t>EMZOR PARA 1000MG CAPLETS X10</t>
  </si>
  <si>
    <t>EMZOR PARA 1000</t>
  </si>
  <si>
    <t>EMZOR PARACETAMOL DROP</t>
  </si>
  <si>
    <t>Paracetamol</t>
  </si>
  <si>
    <t>EMZOR PARACETAMOL DROP 100MG/1ML (PARACETAMOL - 15ML)</t>
  </si>
  <si>
    <t>100mg/ml</t>
  </si>
  <si>
    <t>ANTIPYRETIC</t>
  </si>
  <si>
    <t>EMZOR PARACETAMOL SYRUP 60ML</t>
  </si>
  <si>
    <t>EMZOR PARACETAMOL</t>
  </si>
  <si>
    <t>EMZOR PARACETAMOL X 96</t>
  </si>
  <si>
    <t>EMZOR ULSAKIT CAPS</t>
  </si>
  <si>
    <t>Clarithromycin / Amoxicillin / Omeprazole</t>
  </si>
  <si>
    <t>EMZOR ULSAKITS/PK</t>
  </si>
  <si>
    <t>500mg/1000mg/20mg</t>
  </si>
  <si>
    <t>EMZOR VIT B CO X 100</t>
  </si>
  <si>
    <t>EMZOR VIT B CO</t>
  </si>
  <si>
    <t>EMZOR VIT B CO X1000</t>
  </si>
  <si>
    <t>EMZOR VIT E 1000IU X30</t>
  </si>
  <si>
    <t>VITAMIN E (TOCOPHEROL)</t>
  </si>
  <si>
    <t>EMZOR VIT E 1000IU</t>
  </si>
  <si>
    <t>1000IU</t>
  </si>
  <si>
    <t>EMZOR VIT E 400IU X30</t>
  </si>
  <si>
    <t>EMZOR VIT E 400IU</t>
  </si>
  <si>
    <t>400IU</t>
  </si>
  <si>
    <t>EMZOR ZOLAT CAPLETS</t>
  </si>
  <si>
    <t>ZOLAT</t>
  </si>
  <si>
    <t>ANTHELMINTIC</t>
  </si>
  <si>
    <t>EMZOR ZOLAT SUSPENSION</t>
  </si>
  <si>
    <t>ENALAPRIL TABS 10MG +HCZ X 28</t>
  </si>
  <si>
    <t>ENALAPRIL / HYDROCHLOROTHHIAZIDE</t>
  </si>
  <si>
    <t>ENALAPRIL +HCZ</t>
  </si>
  <si>
    <t>10mg/12.5mg</t>
  </si>
  <si>
    <t>ENALAPRIL TABS 10MG X 28</t>
  </si>
  <si>
    <t>ENALAPRIL</t>
  </si>
  <si>
    <t>ENALAPRIL TABS 20MG +HCZ X 28</t>
  </si>
  <si>
    <t>20mg/12.5mg</t>
  </si>
  <si>
    <t>ENALAPRIL TABS 20MG X 28</t>
  </si>
  <si>
    <t>ENALAPRIL TABS TABS 5MG x30</t>
  </si>
  <si>
    <t>ENCEPHABOL 100MG TABS X20</t>
  </si>
  <si>
    <t>PYRITINOL DIHYDROCHLORIDE</t>
  </si>
  <si>
    <t>ENCEPHABOL</t>
  </si>
  <si>
    <t>ENCEPHABOL 200ML SYR</t>
  </si>
  <si>
    <t>PyritinoL Syrup</t>
  </si>
  <si>
    <t>200ML</t>
  </si>
  <si>
    <t>ENCEPHABOL SYRUP</t>
  </si>
  <si>
    <t>PIRITINOL</t>
  </si>
  <si>
    <t>80.5mg/5ml</t>
  </si>
  <si>
    <t>ENCIFER INJECTION (IRON SUCROSE) 5ML X5</t>
  </si>
  <si>
    <t>IRON SUCROSE</t>
  </si>
  <si>
    <t>ENCIFER (IRON SUCROSE) 5ML</t>
  </si>
  <si>
    <t>5mL</t>
  </si>
  <si>
    <t>ENCORATE CHRONO 500MG X 60</t>
  </si>
  <si>
    <t>Sodium Valproate</t>
  </si>
  <si>
    <t>ENCORATE CHRONO</t>
  </si>
  <si>
    <t>ENDIX G CREAM 20MG</t>
  </si>
  <si>
    <t>ECONAZOLE/ TRIAMCINOLONE/GENTAMICIN</t>
  </si>
  <si>
    <t>ENDIX G 20MG</t>
  </si>
  <si>
    <t>0.1%/1%0.1%</t>
  </si>
  <si>
    <t>ENTECAVIR 0.5MG X 30</t>
  </si>
  <si>
    <t>ENTECAVIR</t>
  </si>
  <si>
    <t>ENTEROGERMINA ORAL SOLUTION X10</t>
  </si>
  <si>
    <t>BACILLUS CLAUSII</t>
  </si>
  <si>
    <t>ENTEROGERMINA ORAL SOLUTION</t>
  </si>
  <si>
    <t>2 billion/5mL</t>
  </si>
  <si>
    <t>Enzalutamide 40mg Tab X28</t>
  </si>
  <si>
    <t>ENALUTAMIDE</t>
  </si>
  <si>
    <t>EPHEDRINE INJECTION</t>
  </si>
  <si>
    <t>EPHEDRINE</t>
  </si>
  <si>
    <t>5mg/mL</t>
  </si>
  <si>
    <t>EPIDERM CREAM</t>
  </si>
  <si>
    <t>BETAMETHASONE, GENTAMYCIN, TOLNAFTATE ETC</t>
  </si>
  <si>
    <t>EPIDERM</t>
  </si>
  <si>
    <t>EPIDERM LOTION</t>
  </si>
  <si>
    <t>BETHAMETHASONE/ GENTAMICIN/ TOLNAFTATE/ IODOCHLORHYDROXYQUININE</t>
  </si>
  <si>
    <t>0.643mg/1mg/10mg/10mg/</t>
  </si>
  <si>
    <t>EPILIM 200MG X10</t>
  </si>
  <si>
    <t>EPILIM</t>
  </si>
  <si>
    <t>EPILIM CHRONO 500MG X10</t>
  </si>
  <si>
    <t>EPILIM CHRONO</t>
  </si>
  <si>
    <t>EPILIM SYRUP 300ML</t>
  </si>
  <si>
    <t>Eplerenone 50mg Tab</t>
  </si>
  <si>
    <t xml:space="preserve">EPLERENOL 50MG </t>
  </si>
  <si>
    <t>EPROXEN 500MG TABS X32</t>
  </si>
  <si>
    <t>NAPROXEN</t>
  </si>
  <si>
    <t>EPROXEN</t>
  </si>
  <si>
    <t>EPSOM SALTS 100G</t>
  </si>
  <si>
    <t>GRANULES</t>
  </si>
  <si>
    <t>MAGNESIUM SULPHATE</t>
  </si>
  <si>
    <t>100g</t>
  </si>
  <si>
    <t>ERYTHREAL SUSPENSION 250MG X100ML</t>
  </si>
  <si>
    <t>ERYTHREAL 100ML</t>
  </si>
  <si>
    <t>ERYTHROKID SUSPENSION</t>
  </si>
  <si>
    <t>ERYTHROKID</t>
  </si>
  <si>
    <t>ERYTHROMAX 125MG SUSPENSION</t>
  </si>
  <si>
    <t>ERYTHROMAX</t>
  </si>
  <si>
    <t>ERYTHROMYCIN 250MG CAP</t>
  </si>
  <si>
    <t>SOFTHEALTH ERYTHROMYCIN</t>
  </si>
  <si>
    <t>ERYTHROMYCIN 500MG TABS X10</t>
  </si>
  <si>
    <t>Erythromycin Eye Ointment</t>
  </si>
  <si>
    <t>ERYTHROMYCIN SUSP 125MG X100ML</t>
  </si>
  <si>
    <t>ERYTHROPOIETIN INJECTION</t>
  </si>
  <si>
    <t>ERYTHROPOIETIN</t>
  </si>
  <si>
    <t>10ML</t>
  </si>
  <si>
    <t>ESCITALOPRAM 20MG X 28</t>
  </si>
  <si>
    <t>ESCITALOPRAM</t>
  </si>
  <si>
    <t>ESCITALOPRAM 5MG TAB (LEXAPRO)</t>
  </si>
  <si>
    <t>ESIDREX TABS SWISS X20</t>
  </si>
  <si>
    <t>Hydrochlorothiazide</t>
  </si>
  <si>
    <t>ESIDREX</t>
  </si>
  <si>
    <t>ESMYA 5MG TABS X28</t>
  </si>
  <si>
    <t>ULIPRISTAL ACETATE</t>
  </si>
  <si>
    <t>ESMYA</t>
  </si>
  <si>
    <t>ESOFAG 40MG TABS</t>
  </si>
  <si>
    <t>Esomeprazole</t>
  </si>
  <si>
    <t>ESOFAG</t>
  </si>
  <si>
    <t>ESOFAG KIT</t>
  </si>
  <si>
    <t>ESOMEPRAZOLE/ AMOXICILLIN/ CLARITHROMYCIN</t>
  </si>
  <si>
    <t>20/1000/500mg</t>
  </si>
  <si>
    <t>Esomeprazole 20MG Tab-Generic</t>
  </si>
  <si>
    <t>20MG</t>
  </si>
  <si>
    <t>EURAX CREAM 30G</t>
  </si>
  <si>
    <t>CROTAMITION</t>
  </si>
  <si>
    <t>EURAX 30G</t>
  </si>
  <si>
    <t>ANTI-PARASITIC</t>
  </si>
  <si>
    <t>Evolve Eyedrop</t>
  </si>
  <si>
    <t>HYPROMELLOSE</t>
  </si>
  <si>
    <t>EVOLVE</t>
  </si>
  <si>
    <t>EXFORGE 10/160MG TABS X28</t>
  </si>
  <si>
    <t>AMLODIPINE/ VALSARTAN</t>
  </si>
  <si>
    <t>EXFORGE</t>
  </si>
  <si>
    <t>10mg/160mg</t>
  </si>
  <si>
    <t>EXFORGE 10/320MG TABS X28</t>
  </si>
  <si>
    <t>10mg/320mg</t>
  </si>
  <si>
    <t>EXFORGE 5/160MG TABS X28</t>
  </si>
  <si>
    <t>5mg160mg</t>
  </si>
  <si>
    <t>EXFORGE HCT 10/320/25MG TABS X28</t>
  </si>
  <si>
    <t>Amlodipine / Valsartan / HCTZ</t>
  </si>
  <si>
    <t>EXFORGE HCT</t>
  </si>
  <si>
    <t>10mg/320mg/12.5mg</t>
  </si>
  <si>
    <t>EXFORGE HCT 10MG/160/12.5MG TABS X28</t>
  </si>
  <si>
    <t>AMLODIPINE / VALSARTAN / HCT</t>
  </si>
  <si>
    <t>AMLODIPINE/VALSARTAN HCT</t>
  </si>
  <si>
    <t>10mg/160mg/12.5mg</t>
  </si>
  <si>
    <t>EXFORGE HCT 10MG/160/25MG TABS X28</t>
  </si>
  <si>
    <t>10mg/160mg/25mg</t>
  </si>
  <si>
    <t>EXFORGE HCT 5MG/160/12.5MG TABS X28</t>
  </si>
  <si>
    <t>5mg/160mg/12.5mg</t>
  </si>
  <si>
    <t>EXFORGE HCT 5MG/160/25MG TABS X28</t>
  </si>
  <si>
    <t>AMLODIPINE/ VALSARTAN/ HYDROCHLOROTHIAZIDE/</t>
  </si>
  <si>
    <t>5mg/160mg/25mg</t>
  </si>
  <si>
    <t>EYE ANTIOXIDANT CAPS X60</t>
  </si>
  <si>
    <t>SUPPLEMENT( LUTEIN/ ZEXANTHIN)</t>
  </si>
  <si>
    <t>EYE ANTIOXIDANT</t>
  </si>
  <si>
    <t>10mg/1000mcg</t>
  </si>
  <si>
    <t>EYE ANTIOXIDANT SYRUP</t>
  </si>
  <si>
    <t>125ml</t>
  </si>
  <si>
    <t>EYETREOLENT EYE DROP</t>
  </si>
  <si>
    <t>POTASSIUM IODIDE/ SODIUM IODIDE</t>
  </si>
  <si>
    <t>EYETREOLENT</t>
  </si>
  <si>
    <t>0.3%/ 0.3%</t>
  </si>
  <si>
    <t>EZETAMIDE TABS 10MG</t>
  </si>
  <si>
    <t>EZETIMIBE</t>
  </si>
  <si>
    <t>EZETIMIBE 10MG TABS</t>
  </si>
  <si>
    <t>Face Mask (Pack of 100)</t>
  </si>
  <si>
    <t>FACE MASK</t>
  </si>
  <si>
    <t>FANSIDAAR TABS</t>
  </si>
  <si>
    <t>FANSIDAR</t>
  </si>
  <si>
    <t>FASTUM GEL 50G</t>
  </si>
  <si>
    <t>KETOPROFEN</t>
  </si>
  <si>
    <t>FASTUM GEL DISPENSER TUBE 100G</t>
  </si>
  <si>
    <t>FEBO-G 40MG TABS X20</t>
  </si>
  <si>
    <t>FEBUXOSTAT</t>
  </si>
  <si>
    <t>FEBO-G</t>
  </si>
  <si>
    <t>FEBO-G 80MG TABS X20</t>
  </si>
  <si>
    <t>FELDENE 20MG CAP X20</t>
  </si>
  <si>
    <t>PIROXICAM</t>
  </si>
  <si>
    <t>FELDENE</t>
  </si>
  <si>
    <t>FELVIN CAPS X100</t>
  </si>
  <si>
    <t>Piroxicam</t>
  </si>
  <si>
    <t>FELVIN</t>
  </si>
  <si>
    <t>FENOFIBRATE CAPS 160MG X28</t>
  </si>
  <si>
    <t>FENOFIBRATE</t>
  </si>
  <si>
    <t>FENOFIBRATE CAPS 200MG X28</t>
  </si>
  <si>
    <t>FEROBIN BLOOD TONIC 200ML</t>
  </si>
  <si>
    <t>MULTIVITAMIN( IRON/FOLIC ACID)</t>
  </si>
  <si>
    <t>FEROBIN PLUS CAPS X10</t>
  </si>
  <si>
    <t>FEROBIN PLUS</t>
  </si>
  <si>
    <t>FEROBIN PLUS TONIC 200ML</t>
  </si>
  <si>
    <t>MULTIVITAMIN (FERRIC AMMONIUM CITRATE/ FOLIC ACID/ VIT B1/ VIT B2)</t>
  </si>
  <si>
    <t>200mg/0.5mg/2mg/1mg/10ml</t>
  </si>
  <si>
    <t>FEROGLOBIN CAPS 30</t>
  </si>
  <si>
    <t>AMINO ACIDS/ IRON ETC</t>
  </si>
  <si>
    <t>FEROGLOBIN</t>
  </si>
  <si>
    <t>FEROGLOBIN LIQ 200ML</t>
  </si>
  <si>
    <t>MULTIVITAMIN (VITAMINS/ AMINO ACIDS/ MINERALS)</t>
  </si>
  <si>
    <t>250mg/10ml</t>
  </si>
  <si>
    <t>FERROTONE CAPS X50</t>
  </si>
  <si>
    <t>FERROUS FUMARATE/ FOLIC ACID/ VIT B12</t>
  </si>
  <si>
    <t>FERROTONE</t>
  </si>
  <si>
    <t>162mg/0.75mg/7.5mcg</t>
  </si>
  <si>
    <t>FERROUS SULPHATE 200MG TABS X28</t>
  </si>
  <si>
    <t>FERROUS SULPHATE</t>
  </si>
  <si>
    <t>fersolate 200mg X100</t>
  </si>
  <si>
    <t>Fesolate</t>
  </si>
  <si>
    <t>FERTILAID FOR MEN CAPS X90</t>
  </si>
  <si>
    <t>SUPPLEMENT (MACA ROOT/ GRAPE SEED EXTRACT/ GINSENG EXTRACT/ VITAMINS/ MAGNESIUM)</t>
  </si>
  <si>
    <t>FERTILAID FOR MEN</t>
  </si>
  <si>
    <t>SUPPLEMENT (RED CLOVER EXTRACT/ PABA. CHASE TREE BERRY)</t>
  </si>
  <si>
    <t>FERTILAID FOR WOMEN</t>
  </si>
  <si>
    <t>FESULF TAB BLISTER X100</t>
  </si>
  <si>
    <t>IRON</t>
  </si>
  <si>
    <t>FESULF BLISTER</t>
  </si>
  <si>
    <t>FEXET 120MG TABS X14</t>
  </si>
  <si>
    <t>FEXOFENADINE</t>
  </si>
  <si>
    <t>FEXET</t>
  </si>
  <si>
    <t>FEXET 180MG TABS X14</t>
  </si>
  <si>
    <t>180mg</t>
  </si>
  <si>
    <t>FEXOFENADINE 120MG TAB</t>
  </si>
  <si>
    <t>FEXOFENADINE 180MG TABS</t>
  </si>
  <si>
    <t>FIDSON B.COMPLEX SYRUP 100ML</t>
  </si>
  <si>
    <t>VITAMIN B.COMPLEX</t>
  </si>
  <si>
    <t>FIDSON B.COMPLEX 100ML</t>
  </si>
  <si>
    <t>5mg/2mg/2mg/20mg/10ml</t>
  </si>
  <si>
    <t>FIDSON MIST MAG TRISILICATE SUSP 200ML</t>
  </si>
  <si>
    <t>MAGNESIUM TRISILICATE/ LIGHT MAGNESIUM CARBONATE/ SODIUM CARBONATE</t>
  </si>
  <si>
    <t>FIDSON MIST MAG TRISILICATE 200ML</t>
  </si>
  <si>
    <t>250mg/250mg/250mg/5mL</t>
  </si>
  <si>
    <t>FIDSON MULTIVITAMIN SYRUP 100ML</t>
  </si>
  <si>
    <t>FIDSON MULTIVITAMIN 100ML</t>
  </si>
  <si>
    <t>3000IU/2mg/2mg/2mg/10mg/400IU/5ml</t>
  </si>
  <si>
    <t>FIDSON PARACETAMOL SYRUP</t>
  </si>
  <si>
    <t>FIDSON PARACETAMOL</t>
  </si>
  <si>
    <t>FIDSON PARACETAMOL TAB X96</t>
  </si>
  <si>
    <t>FIDSON VITAMIN C SYRUP 100ML</t>
  </si>
  <si>
    <t>FIDSON VITAMIN C 100ML</t>
  </si>
  <si>
    <t>FINASTERIDE TABS 5MG X28</t>
  </si>
  <si>
    <t>Finasteride</t>
  </si>
  <si>
    <t>FINSTAL 5MG X28</t>
  </si>
  <si>
    <t>Finastride</t>
  </si>
  <si>
    <t>FINSTAL</t>
  </si>
  <si>
    <t>FINSTAM CAPS X30</t>
  </si>
  <si>
    <t>FINASTERIDE/TAMSULOSIN</t>
  </si>
  <si>
    <t>FINSTAM</t>
  </si>
  <si>
    <t>5mg/0.4mg</t>
  </si>
  <si>
    <t>FLAGENTYL TABS 500MG X4</t>
  </si>
  <si>
    <t>SECNIDAZOLE</t>
  </si>
  <si>
    <t>FLAGENTYL</t>
  </si>
  <si>
    <t>FLAGYL 200MG X10</t>
  </si>
  <si>
    <t>FLAGYL</t>
  </si>
  <si>
    <t>FLAGYL 400MG X10</t>
  </si>
  <si>
    <t>FLAGYL SUSPENSION 60ML</t>
  </si>
  <si>
    <t>FLEMING 1G TABS</t>
  </si>
  <si>
    <t>Amoxicillin / Clavulanic acid`</t>
  </si>
  <si>
    <t>FLEMING</t>
  </si>
  <si>
    <t>FLEMING 228MG SYRUP 100ML</t>
  </si>
  <si>
    <t>228.5mg</t>
  </si>
  <si>
    <t>FLEMING 457MG SYRUP 100ML</t>
  </si>
  <si>
    <t>FLEMING 625MG TABS</t>
  </si>
  <si>
    <t>FLEXAID 15MG TABS X20</t>
  </si>
  <si>
    <t>MELOXICAM</t>
  </si>
  <si>
    <t>FLEXAID</t>
  </si>
  <si>
    <t>FLEXAID 7.5MG TABS X20</t>
  </si>
  <si>
    <t>FLEXSA 150MG CAPS X30</t>
  </si>
  <si>
    <t>Glucosamine</t>
  </si>
  <si>
    <t>FLEXSA</t>
  </si>
  <si>
    <t>FLIXONASE SPRAY 60DOSES</t>
  </si>
  <si>
    <t>PIRINASE</t>
  </si>
  <si>
    <t>FLIXOTIDE INHALER</t>
  </si>
  <si>
    <t>FLUTICASONE PROPRIONATE</t>
  </si>
  <si>
    <t>FLIXOTIDE</t>
  </si>
  <si>
    <t>50mcg</t>
  </si>
  <si>
    <t>FLOBOID DX EYE DROP</t>
  </si>
  <si>
    <t>DEXAMETHASONE/ OFLAXACIN</t>
  </si>
  <si>
    <t>FLOBOID DX</t>
  </si>
  <si>
    <t>0.1%/0.3%</t>
  </si>
  <si>
    <t>FLOBOID EYE DROP</t>
  </si>
  <si>
    <t>FLOBOID</t>
  </si>
  <si>
    <t>FLORANORM SATCHETS X10</t>
  </si>
  <si>
    <t>SACCHAROMYCES BOULARDI</t>
  </si>
  <si>
    <t>FLORA NORM</t>
  </si>
  <si>
    <t>FLOTAC CAPS 75MG X20</t>
  </si>
  <si>
    <t>Diclofenac / Cholestyramine</t>
  </si>
  <si>
    <t>FLOTAC</t>
  </si>
  <si>
    <t>FLOWEL PLUS X30</t>
  </si>
  <si>
    <t>FLOWEL PLUS</t>
  </si>
  <si>
    <t>FLUCAMED 200MG CAPS X10</t>
  </si>
  <si>
    <t>Fluconazole</t>
  </si>
  <si>
    <t>FLUCAMED</t>
  </si>
  <si>
    <t>FLUCAMED 50MG CAPS X10</t>
  </si>
  <si>
    <t>FLUCAMED 50MG CAPS X3</t>
  </si>
  <si>
    <t>FLUCAMED EAR DROP</t>
  </si>
  <si>
    <t>FLUCONAZOLE CREAM</t>
  </si>
  <si>
    <t>FLUCAMED EYE DROP</t>
  </si>
  <si>
    <t>FLUCAMED SYRUP</t>
  </si>
  <si>
    <t>50mg/5ml</t>
  </si>
  <si>
    <t>FLUCAP 50MG CAPS X10</t>
  </si>
  <si>
    <t>FLU50MG</t>
  </si>
  <si>
    <t>FLUCLOXACILLIN 125/5MG SUSP</t>
  </si>
  <si>
    <t>FLUCLOXACILLIN SUSP</t>
  </si>
  <si>
    <t>125/5MG</t>
  </si>
  <si>
    <t>FLUCLOXACILLIN 250MG CAP (FLOXAPEN)</t>
  </si>
  <si>
    <t xml:space="preserve">FLUCLOXACILLIN 250MG CAP </t>
  </si>
  <si>
    <t>FLOXAPEN FLUCLOXACILLIN</t>
  </si>
  <si>
    <t>FLUCLOXACILLIN INJ</t>
  </si>
  <si>
    <t>FLUCONAZOLE  150MG TAB</t>
  </si>
  <si>
    <t>FLUCAMED  150MG TAB</t>
  </si>
  <si>
    <t>ANTI FUNGAL</t>
  </si>
  <si>
    <t>FLUCONAZOLE EAR DROP</t>
  </si>
  <si>
    <t>FLUCOR DAY CAPS</t>
  </si>
  <si>
    <t>Paracetamol / Dextromethorphan / Pseudoephedrin</t>
  </si>
  <si>
    <t>FLUCOR DAY</t>
  </si>
  <si>
    <t>250mg/10mg/30mg</t>
  </si>
  <si>
    <t>FLUMOX Suspension ( Amoxicillin + Flucloxacillin)</t>
  </si>
  <si>
    <t>Amoxicillin + Flucloxacillin</t>
  </si>
  <si>
    <t>Fluorometholone + Tetrahydrozoline AFMT eye drop</t>
  </si>
  <si>
    <t xml:space="preserve">AFMT </t>
  </si>
  <si>
    <t>1mg/0.25mg</t>
  </si>
  <si>
    <t>FLUOXETINE TABS</t>
  </si>
  <si>
    <t>FLUOXETINE</t>
  </si>
  <si>
    <t>FLURBIPROFEN EYE DROP 5ML</t>
  </si>
  <si>
    <t>FLUTEX 20MG CAPS X30</t>
  </si>
  <si>
    <t>FLUTEX</t>
  </si>
  <si>
    <t>FLUVASTATIN 20MG CAPS</t>
  </si>
  <si>
    <t>FLUVASTATIN</t>
  </si>
  <si>
    <t>FLUVASTATIN 40MG CAPS</t>
  </si>
  <si>
    <t>FLUVASTATINS</t>
  </si>
  <si>
    <t>FLUZOLE 50MG CAPS (FLUCONAZOLE) X10</t>
  </si>
  <si>
    <t>FLUZOLE</t>
  </si>
  <si>
    <t>FOLIC ACID SYRUP</t>
  </si>
  <si>
    <t>FOLIC ACID TABS X28</t>
  </si>
  <si>
    <t>FORTIDE INHALER</t>
  </si>
  <si>
    <t>FORTIDE</t>
  </si>
  <si>
    <t>206MCG</t>
  </si>
  <si>
    <t>FORTUM INJECTION</t>
  </si>
  <si>
    <t>FORTUM</t>
  </si>
  <si>
    <t>FORTWIN INJECTION x10</t>
  </si>
  <si>
    <t>FORTWIN</t>
  </si>
  <si>
    <t>FORXIGA 10MG TABS X28</t>
  </si>
  <si>
    <t>DAPAGLIFLOXIN</t>
  </si>
  <si>
    <t>FORXIGA</t>
  </si>
  <si>
    <t>FOSAMAX ONCE WEEKLY TABS 70MG X4</t>
  </si>
  <si>
    <t>FOSAMAX</t>
  </si>
  <si>
    <t>FRUSEMIDE INJECTION 10MG/ML X10</t>
  </si>
  <si>
    <t>FRUSEMIDE</t>
  </si>
  <si>
    <t>FRUSEMIDE 10MG/ML</t>
  </si>
  <si>
    <t>10mg/ml</t>
  </si>
  <si>
    <t>FRUSEMIDE TABS 20MG X28</t>
  </si>
  <si>
    <t>FRUSEMIDE TABS 40MG X28</t>
  </si>
  <si>
    <t>FUCIDIN OINTMENT 30G</t>
  </si>
  <si>
    <t>FUSIDIC ACID</t>
  </si>
  <si>
    <t>FUCIDIN 30G</t>
  </si>
  <si>
    <t>20mg/g</t>
  </si>
  <si>
    <t>FUNBACT A CREAM</t>
  </si>
  <si>
    <t>Betamethasone / Clotrimazole / Neomycin</t>
  </si>
  <si>
    <t>FUNBACT-A</t>
  </si>
  <si>
    <t>FUNGRAL TAB</t>
  </si>
  <si>
    <t>KETOCONAZOLE</t>
  </si>
  <si>
    <t>FUNGRAL</t>
  </si>
  <si>
    <t>FUNGUSOL CREAM</t>
  </si>
  <si>
    <t>FUNGUSOL</t>
  </si>
  <si>
    <t>FUNGUSOL LOTION</t>
  </si>
  <si>
    <t>FUNGUSOL POWDER</t>
  </si>
  <si>
    <t>FUNTOL TAB(FLUCONAZOLE)</t>
  </si>
  <si>
    <t>FUNTOL(FLUCONAZOLE)</t>
  </si>
  <si>
    <t>FUROXETIL SUSPENSION</t>
  </si>
  <si>
    <t>FUROXETIL</t>
  </si>
  <si>
    <t>FUROXETIL TAB</t>
  </si>
  <si>
    <t>FUROXETIL (CEFUROXIME)</t>
  </si>
  <si>
    <t>FUSIDIC ACID 2% CREAM 30G</t>
  </si>
  <si>
    <t>FUSIDIC ACID 30G</t>
  </si>
  <si>
    <t>ISPAGHULA HUSK</t>
  </si>
  <si>
    <t>FYBOGEL ORANGE</t>
  </si>
  <si>
    <t>GABAPENTIN</t>
  </si>
  <si>
    <t>GALCIPRO 500MG TABS X10</t>
  </si>
  <si>
    <t>GALCIPRO</t>
  </si>
  <si>
    <t>GALCIPRO TN TABS X10</t>
  </si>
  <si>
    <t>GALCIPRO TN</t>
  </si>
  <si>
    <t>500mg/ 600mg</t>
  </si>
  <si>
    <t>GALVUS 50MG TABS X28</t>
  </si>
  <si>
    <t>VILDAGLIPTIN</t>
  </si>
  <si>
    <t>GALVUS</t>
  </si>
  <si>
    <t>GALVUS MET 50MG/1000MG TABS X60</t>
  </si>
  <si>
    <t>VIDAGLIPTIN/METFORMIN</t>
  </si>
  <si>
    <t>GALVUS MET</t>
  </si>
  <si>
    <t>50/1000mg</t>
  </si>
  <si>
    <t>GALVUS MET 50MG/500MG TABS X60</t>
  </si>
  <si>
    <t>GALVUS MET 50MG/850MG TABS X60</t>
  </si>
  <si>
    <t>VILDAGLIPTIN/ METFORMIN</t>
  </si>
  <si>
    <t>50mg/850mg</t>
  </si>
  <si>
    <t>GANFORT EYE DROP</t>
  </si>
  <si>
    <t>BIMATOPROST/ TIMOLOL</t>
  </si>
  <si>
    <t>GANFORT</t>
  </si>
  <si>
    <t>0.3mg/5mg/mL</t>
  </si>
  <si>
    <t>GARLIC OIL CAPS (CLARION) X100</t>
  </si>
  <si>
    <t>GARLIC OIL</t>
  </si>
  <si>
    <t>GARLIC OIL (CLARION)</t>
  </si>
  <si>
    <t>GARLIC OIL CAPS X100</t>
  </si>
  <si>
    <t>5g</t>
  </si>
  <si>
    <t>GASCOL CHEWABLE TABS X6</t>
  </si>
  <si>
    <t>CALCIUM CARBONATE/ SODIUM CARBONATE/ SODIUM CALGINATE</t>
  </si>
  <si>
    <t>GASCOL CHEWABLE</t>
  </si>
  <si>
    <t>80mg/133.5mg/250mg</t>
  </si>
  <si>
    <t>GASCOL SUSPENSION</t>
  </si>
  <si>
    <t>Magaldrate / Simethicone</t>
  </si>
  <si>
    <t>GASCOL 100ML</t>
  </si>
  <si>
    <t>Gauze (1 Roll)</t>
  </si>
  <si>
    <t>GAUZE</t>
  </si>
  <si>
    <t>GAVISCON 200ML SYRUP</t>
  </si>
  <si>
    <t>ALUMINIUM HYDROXIDE</t>
  </si>
  <si>
    <t>GAVISCON 200ML</t>
  </si>
  <si>
    <t>GAVISCON DOUBLE ACTION SYR 150ML</t>
  </si>
  <si>
    <t>SODIUM ALGINATE/ SODIUM BICARBONATE</t>
  </si>
  <si>
    <t>GAVISCON DOUBLE ACTION 150ML</t>
  </si>
  <si>
    <t>GAVISCON TABS 250MG X 16</t>
  </si>
  <si>
    <t>ALUMINIUM HYDROXIDE/ MAGNESIUM CARBONATE</t>
  </si>
  <si>
    <t>GAVISCON</t>
  </si>
  <si>
    <t xml:space="preserve">GAZGO (Simethicone) 200mg Drops </t>
  </si>
  <si>
    <t xml:space="preserve">GAZGO </t>
  </si>
  <si>
    <t xml:space="preserve">200mg </t>
  </si>
  <si>
    <t>GBOMORO SYRUP</t>
  </si>
  <si>
    <t>PARACETAMOL/ COMPOUND OIL TINCTURE</t>
  </si>
  <si>
    <t>GBOMORO</t>
  </si>
  <si>
    <t>100ml</t>
  </si>
  <si>
    <t>GENTALEK EYE DROPS</t>
  </si>
  <si>
    <t>GENTAMICIN</t>
  </si>
  <si>
    <t>GENTALEK S</t>
  </si>
  <si>
    <t>GENTALEK INJECTION 80MG x10</t>
  </si>
  <si>
    <t>GENTAMYCIN</t>
  </si>
  <si>
    <t>GENTALEK</t>
  </si>
  <si>
    <t>GENTAMYCIN 80MG/AMP INJ</t>
  </si>
  <si>
    <t>GENTAMYCIN 80MG</t>
  </si>
  <si>
    <t>GENTAMYCIN 80MG INJ</t>
  </si>
  <si>
    <t>80MG</t>
  </si>
  <si>
    <t>GENTAMYCIN EYE DROP</t>
  </si>
  <si>
    <t>GENTAMYCIN EYE/EAR DROP 10ML FIDSON</t>
  </si>
  <si>
    <t>GENTAMYCIN OINTMENT</t>
  </si>
  <si>
    <t>GENTINO-B 300MG TABS X30(TENOFOVIR)</t>
  </si>
  <si>
    <t>TENOFOVIR</t>
  </si>
  <si>
    <t>GENTINO-B</t>
  </si>
  <si>
    <t>GESTID 100ML SUSP</t>
  </si>
  <si>
    <t>ALUMINIUM HYDROXIDE/MAGNESIUM TRISILICATE/MAGNESIUM HYDROXIDE</t>
  </si>
  <si>
    <t>GESTID SUSP</t>
  </si>
  <si>
    <t>GESTID SUSPENSION 200ML B/S</t>
  </si>
  <si>
    <t>ALUMINIUM HYDROXIDE, MAGNESIUM HYDROXIDE ETC</t>
  </si>
  <si>
    <t>GESTID</t>
  </si>
  <si>
    <t>200ml</t>
  </si>
  <si>
    <t>GESTID TABS X30</t>
  </si>
  <si>
    <t>ALUMINUM HYDROXIDE, MAGNESIUM HYDROXIDE</t>
  </si>
  <si>
    <t>200mls</t>
  </si>
  <si>
    <t>GESTOMIL CAPS X20</t>
  </si>
  <si>
    <t>ENZYMES (CELLULOSE/ DIASTASE/ PANCREATIN/ PANCRELIPASE/ PAPAIN/ PEPSIN)</t>
  </si>
  <si>
    <t>GESTOMIL</t>
  </si>
  <si>
    <t>GESTONE 100MG INJ</t>
  </si>
  <si>
    <t>GESTONE 50MG/2ML X1AMP</t>
  </si>
  <si>
    <t>PROGESTERONE</t>
  </si>
  <si>
    <t>GESTONE 50MG/2ML</t>
  </si>
  <si>
    <t>50mg/2mL</t>
  </si>
  <si>
    <t>GETRYL 1MG TABS X20</t>
  </si>
  <si>
    <t>GETRYL</t>
  </si>
  <si>
    <t>GETRYL 2MG TABS X20</t>
  </si>
  <si>
    <t>GETRYL 4MG TABS X20</t>
  </si>
  <si>
    <t>GETZOME 20MG CAPS X14</t>
  </si>
  <si>
    <t>OMEPRAZOLE</t>
  </si>
  <si>
    <t>GETZOME</t>
  </si>
  <si>
    <t>GETZOME 40MG CAPS X14</t>
  </si>
  <si>
    <t>GETZOME INSTA 20MG SATCHET X10</t>
  </si>
  <si>
    <t>OMEPRAZOLE/SODIUM BICARBONATE</t>
  </si>
  <si>
    <t>GETZOME INSTA</t>
  </si>
  <si>
    <t>GFLOX 400MG X10</t>
  </si>
  <si>
    <t>GFLOX</t>
  </si>
  <si>
    <t>GINKLAT CAPS X6</t>
  </si>
  <si>
    <t>SUPPLEMENT ( GINSENG/ VIT E/ ZINC SULPHATE)</t>
  </si>
  <si>
    <t>GINKLAT</t>
  </si>
  <si>
    <t>0.125mg/0.025mg/0.85mg</t>
  </si>
  <si>
    <t>GINSOMIN CAPS X 30</t>
  </si>
  <si>
    <t>GINSENG EXTRACT</t>
  </si>
  <si>
    <t>GINSOMIN</t>
  </si>
  <si>
    <t>GLANIL TABS X100</t>
  </si>
  <si>
    <t>GLANIL</t>
  </si>
  <si>
    <t>GLARGINE INSULIN - 100IU/ML</t>
  </si>
  <si>
    <t>GLARGINE INSULIN</t>
  </si>
  <si>
    <t>GLAVAMET 1000MG SR TABS X 30</t>
  </si>
  <si>
    <t>GLAVAMET</t>
  </si>
  <si>
    <t>GLAVAMET 500MG SR TABS X 30</t>
  </si>
  <si>
    <t>GLEMAX 2MG TABS X30</t>
  </si>
  <si>
    <t>GLEMAX</t>
  </si>
  <si>
    <t>GLEMAX 4MG TABS X30</t>
  </si>
  <si>
    <t>GLEMONT L TABS</t>
  </si>
  <si>
    <t>GLEMONT L</t>
  </si>
  <si>
    <t>GLIBENCLAMIDE TABS 5MG X100</t>
  </si>
  <si>
    <t>GLICLAZIDE 40MG</t>
  </si>
  <si>
    <t>GLICLAZIDE TABS 30MG MR X30</t>
  </si>
  <si>
    <t>GLICLAZIDE MR</t>
  </si>
  <si>
    <t>GLICLAZIDE TABS 60MG MR X30</t>
  </si>
  <si>
    <t>GLIMAR 1MG TABS X30</t>
  </si>
  <si>
    <t>GLIMAR</t>
  </si>
  <si>
    <t>GLIMAR 2MG TABS X30</t>
  </si>
  <si>
    <t>GLIMAR 3MG TABS X30</t>
  </si>
  <si>
    <t>GLIMEPIRIDE 2MG X 30</t>
  </si>
  <si>
    <t>GLIMEPIRIDE 4MG X 30</t>
  </si>
  <si>
    <t>GLIPIRYL 2MG TABS X30</t>
  </si>
  <si>
    <t>GLIPIRYL</t>
  </si>
  <si>
    <t xml:space="preserve">Glipita M (Sitagliptin/Metformin) 50mg/500mg </t>
  </si>
  <si>
    <t xml:space="preserve">Glipita M </t>
  </si>
  <si>
    <t xml:space="preserve">50mg/500mg </t>
  </si>
  <si>
    <t>ANTIDIABETIC</t>
  </si>
  <si>
    <t>GLIPIZIDE 5MG TABS X28</t>
  </si>
  <si>
    <t>GLIPIZIDE</t>
  </si>
  <si>
    <t>GLIPIZIDE 5MG TABS X56</t>
  </si>
  <si>
    <t>Gloves (Pack of 100)</t>
  </si>
  <si>
    <t>GLOVES</t>
  </si>
  <si>
    <t>GLUCOPHAGE 1000MG SR X30</t>
  </si>
  <si>
    <t>GLUCOPHAGE</t>
  </si>
  <si>
    <t>GLUCOPHAGE 500MG SR TABS X28</t>
  </si>
  <si>
    <t>GLUCOPHAGE SR</t>
  </si>
  <si>
    <t>GLUCOPHAGE 850MG TABS NIG X30</t>
  </si>
  <si>
    <t>850mg</t>
  </si>
  <si>
    <t>GLUCOVANCE 1000/5MG TABS X30</t>
  </si>
  <si>
    <t>GLUCOVANCE</t>
  </si>
  <si>
    <t>1000/5mg</t>
  </si>
  <si>
    <t>GLYCERIN SUPPS 1G INFANT X12</t>
  </si>
  <si>
    <t>GLYCERIN</t>
  </si>
  <si>
    <t>GLYCERIN SUPPS INFANT</t>
  </si>
  <si>
    <t>GLYCERIN SUPPS 4G X12</t>
  </si>
  <si>
    <t>GLYCERIN SUPPS</t>
  </si>
  <si>
    <t>4g</t>
  </si>
  <si>
    <t>Glyceryl Trinitrate  400mcg Spray</t>
  </si>
  <si>
    <t xml:space="preserve">  400mcg </t>
  </si>
  <si>
    <t>GLYCERYL TRINITRATE 0. 5MG</t>
  </si>
  <si>
    <t xml:space="preserve">GLYCERYL TRINITRATE </t>
  </si>
  <si>
    <t xml:space="preserve">GLYCERYL TRINITRATE CREAM </t>
  </si>
  <si>
    <t xml:space="preserve"> 4 mg/g</t>
  </si>
  <si>
    <t>GOSERELIN ACETATE 3.6MG INJ (ZOLADEX)</t>
  </si>
  <si>
    <t>GOSERELIN ACETATE 3.6MG INJ</t>
  </si>
  <si>
    <t>ZOLADEX INJ</t>
  </si>
  <si>
    <t>3.6mg</t>
  </si>
  <si>
    <t>GRAMOCEF O</t>
  </si>
  <si>
    <t>Cefixime</t>
  </si>
  <si>
    <t>GRIPE WATER D/FIELD</t>
  </si>
  <si>
    <t>FENNEL SEED EXTRACT/ GINGER ROOTS ETC</t>
  </si>
  <si>
    <t>GRIPE WATER NIG B/S</t>
  </si>
  <si>
    <t>GRIPE WATER NIG S/S</t>
  </si>
  <si>
    <t>GRISEOFULVIN CREAM</t>
  </si>
  <si>
    <t>GRISEOFULVIN</t>
  </si>
  <si>
    <t>GRISEOFULVIN TABS 500MG X20</t>
  </si>
  <si>
    <t>GUAFENSIN SYRUP 100ML</t>
  </si>
  <si>
    <t>GUAIFENESIN</t>
  </si>
  <si>
    <t>GUAFENSIN 100ML</t>
  </si>
  <si>
    <t>GYNAECOSID</t>
  </si>
  <si>
    <t>METHYLOESTRADIOL/METHYLOESTRENOLONE</t>
  </si>
  <si>
    <t>GYNECOSID</t>
  </si>
  <si>
    <t>GYNOCARE OVULES X12</t>
  </si>
  <si>
    <t>POLYMYCIN/NEOMYCIN/NYSTATIN</t>
  </si>
  <si>
    <t>GYNOCARE OVULES</t>
  </si>
  <si>
    <t>GYNOCARE OVULES X6</t>
  </si>
  <si>
    <t>GYNODAKTARIN 7 OVULES</t>
  </si>
  <si>
    <t>GYNODAKTARIN OVULES</t>
  </si>
  <si>
    <t>GYNODAKTARIN CREAM</t>
  </si>
  <si>
    <t>GYNODARKTARIN</t>
  </si>
  <si>
    <t>GYNODAKTARIN OVULES X3</t>
  </si>
  <si>
    <t>HAEM-F CAPS X30</t>
  </si>
  <si>
    <t>IRON/VITAMIN B12</t>
  </si>
  <si>
    <t>HAEM-F</t>
  </si>
  <si>
    <t>HAEM-F LIQUID 200ML</t>
  </si>
  <si>
    <t>HALIBORANGE CALCIUM VIT D X30</t>
  </si>
  <si>
    <t>MULTIVITAMINS</t>
  </si>
  <si>
    <t>HALIBORANGE CALCIUM VIT D</t>
  </si>
  <si>
    <t>HALIBORANGE EFFER X20</t>
  </si>
  <si>
    <t>VITAMIN C</t>
  </si>
  <si>
    <t>HALIBORANGE EFFERVERSCENT TABLET</t>
  </si>
  <si>
    <t>HALOPERIDOL 10MG TAB</t>
  </si>
  <si>
    <t>HALOPERIDOL</t>
  </si>
  <si>
    <t>HALOPERIDOL 5MG TAB</t>
  </si>
  <si>
    <t>HB 12 PLUS CAPS X30 KRISPINE</t>
  </si>
  <si>
    <t>Iron / Vitamin Complexes</t>
  </si>
  <si>
    <t>HB 12 PLUS (KRISPINE)</t>
  </si>
  <si>
    <t>HC 45 CREAM 1%</t>
  </si>
  <si>
    <t>HYDROCORTISONE</t>
  </si>
  <si>
    <t>HC 45</t>
  </si>
  <si>
    <t>HEALAR OINTMENT</t>
  </si>
  <si>
    <t>HERBAL OINTMENT</t>
  </si>
  <si>
    <t>HEALAR</t>
  </si>
  <si>
    <t>HEALAR SUPPOSITORY</t>
  </si>
  <si>
    <t>HERBAL SUPPOSITORIES</t>
  </si>
  <si>
    <t>Hepatitis B vaccine</t>
  </si>
  <si>
    <t>VACCINE</t>
  </si>
  <si>
    <t>1.0 mL</t>
  </si>
  <si>
    <t>Hexidene mouth wash</t>
  </si>
  <si>
    <t>CHLORHEXIDENE GLUCONATE</t>
  </si>
  <si>
    <t>HEXIDENE MOUTH WASH</t>
  </si>
  <si>
    <t xml:space="preserve">HIDRASEC (Racecadotril) 10mg </t>
  </si>
  <si>
    <t xml:space="preserve">HIDRASEC </t>
  </si>
  <si>
    <t>HOMATROPINE EYE DROPS2%, 1% (HYDROBROMIDE)</t>
  </si>
  <si>
    <t>HYDROBROMIDE</t>
  </si>
  <si>
    <t>HOMATROPINE EYE DROPS</t>
  </si>
  <si>
    <t xml:space="preserve">Homatroprine Methylbromide (Nospamin) x1 Syrup </t>
  </si>
  <si>
    <t>Nospamin</t>
  </si>
  <si>
    <t>HOMTAMIN GINSENG TABS</t>
  </si>
  <si>
    <t>MULTIVITAMIN/GINSENG</t>
  </si>
  <si>
    <t>HOMTAMIN GINSENGS</t>
  </si>
  <si>
    <t>HONNIHIL TABS X4</t>
  </si>
  <si>
    <t>HONNIHIL</t>
  </si>
  <si>
    <t>HOPACE 5MG CAPS (RAMIPRIL) X30</t>
  </si>
  <si>
    <t>RAMIPRIL</t>
  </si>
  <si>
    <t>HOPACE</t>
  </si>
  <si>
    <t>HOPACE H 2.5/12.5MG CAPS (RAMIPRIL HCTZ) X30</t>
  </si>
  <si>
    <t>RAMIPRIL / HYDROCHLOROTHIAZIDE</t>
  </si>
  <si>
    <t>HOPACE H</t>
  </si>
  <si>
    <t>2.5mg/12.5mg</t>
  </si>
  <si>
    <t>HOVID DHA EMULSION 100ML</t>
  </si>
  <si>
    <t>DHA</t>
  </si>
  <si>
    <t>HUMALOG MIX 50 CARTRIDGES X5</t>
  </si>
  <si>
    <t>INSULIN ISOPHANE/REGULAR</t>
  </si>
  <si>
    <t>HUMALOG MIX 50 CARTRIDGES</t>
  </si>
  <si>
    <t>HUMAN ALBUMIN 20% 100ML</t>
  </si>
  <si>
    <t>HUMAN ALBUMIN 100ML</t>
  </si>
  <si>
    <t xml:space="preserve">HUMAN HEP B IMMUNOGLOBULIN INJECTION </t>
  </si>
  <si>
    <t xml:space="preserve">IMMUNOGLOBULIN INJECTION </t>
  </si>
  <si>
    <t>200 IU</t>
  </si>
  <si>
    <t>HUMULIN 70/30 10ML</t>
  </si>
  <si>
    <t>SC INJECTION</t>
  </si>
  <si>
    <t>HUMULIN 70/30</t>
  </si>
  <si>
    <t>HYDRALAZINE 50MG TABS</t>
  </si>
  <si>
    <t>HYDRALAZINE</t>
  </si>
  <si>
    <t>HYDRALAZINE HCL 25MG TAB (APRESOLINE)</t>
  </si>
  <si>
    <t>APRESOLINE (HYDRALAZINE) 25MG TAB</t>
  </si>
  <si>
    <t>25MG</t>
  </si>
  <si>
    <t>HYDRALAZINE INJECTION 20MG</t>
  </si>
  <si>
    <t>HYDRALLAZINE 25MG TABS X56</t>
  </si>
  <si>
    <t>HYDREA CAPS X100</t>
  </si>
  <si>
    <t>HYDROXYUREA</t>
  </si>
  <si>
    <t>HYDREA</t>
  </si>
  <si>
    <t>HYDREX TABS X100</t>
  </si>
  <si>
    <t>HYDROCHLOROTHIAZIDE</t>
  </si>
  <si>
    <t>HYDREX</t>
  </si>
  <si>
    <t>HYDRINE 500MG CAPS X100</t>
  </si>
  <si>
    <t>Hydrochlorothiazide 25mg</t>
  </si>
  <si>
    <t>HYDROCORT INJECTION VIAL</t>
  </si>
  <si>
    <t>HYDROCORTISON CREAM</t>
  </si>
  <si>
    <t>HYDROCORTISONE CREAM 1% 30G UK</t>
  </si>
  <si>
    <t>HYDROCORTISONE 1% 30G UK</t>
  </si>
  <si>
    <t>HYDROCORTISONE CREAM AL-TINEZ</t>
  </si>
  <si>
    <t>HYDROCORTISONE AL-TINEZ</t>
  </si>
  <si>
    <t>HYDROCORTISONE TABLET 10mg</t>
  </si>
  <si>
    <t xml:space="preserve">HYDROCORTISONE </t>
  </si>
  <si>
    <t>HYDROXYCOBALAMIN</t>
  </si>
  <si>
    <t>HYDROXOCOBALAMIN X1ML</t>
  </si>
  <si>
    <t>HYDROXYCHLOROQUINE 200MG TABS</t>
  </si>
  <si>
    <t>HYDROXYCHLOROQUINE</t>
  </si>
  <si>
    <t>Hydroxyurea 250mg cap</t>
  </si>
  <si>
    <t>ANTICANCER</t>
  </si>
  <si>
    <t>Hydroxyurea 500mg Capsule (HYDREA)</t>
  </si>
  <si>
    <t>HYDROXYUREA 500MG X30</t>
  </si>
  <si>
    <t>HYOSCINE 10MG/ML INJECTION X10</t>
  </si>
  <si>
    <t>HYOSCINE</t>
  </si>
  <si>
    <t>HYOSCINE 10MG</t>
  </si>
  <si>
    <t>HYOSCINE TABS X10</t>
  </si>
  <si>
    <t>HYPAMELLOSE EYE DROP(HESS)</t>
  </si>
  <si>
    <t>HYPAMELLOSE (HESS)</t>
  </si>
  <si>
    <t>HYPOMELLOSE EYE DROP</t>
  </si>
  <si>
    <t>HYPOMER GEL</t>
  </si>
  <si>
    <t>Hyponidd tablets</t>
  </si>
  <si>
    <t>HYPONIDD</t>
  </si>
  <si>
    <t>x30</t>
  </si>
  <si>
    <t>HYPONNID TABLETS</t>
  </si>
  <si>
    <t>Hyponnid Herbal Supplement</t>
  </si>
  <si>
    <t>HYPONNID</t>
  </si>
  <si>
    <t>HYPOTEARS GEL 10G</t>
  </si>
  <si>
    <t>10g</t>
  </si>
  <si>
    <t>HYPROMELLOSE (UK)</t>
  </si>
  <si>
    <t>I-GOLD ANTIOXIDANT EYE CAPS X30</t>
  </si>
  <si>
    <t>SUPPLEMENT (VIT C/ VIT E/ ZINC/ LUTEIN/ COPPER)</t>
  </si>
  <si>
    <t>I-GOLD ANTIOXIDANT EYE</t>
  </si>
  <si>
    <t>60mg/30mg/15mg/6mg/2mg</t>
  </si>
  <si>
    <t>IBEX CAPS</t>
  </si>
  <si>
    <t>IBUPROFEN/PARACETAMOL/CAFFEINE</t>
  </si>
  <si>
    <t>IBEX</t>
  </si>
  <si>
    <t>200/325/30mg</t>
  </si>
  <si>
    <t>IBEX CAPS ECOPACK X100</t>
  </si>
  <si>
    <t>IBUPROFEN / CAFFEINE / PARACETAMOL</t>
  </si>
  <si>
    <t>IBEX ECOPACK</t>
  </si>
  <si>
    <t>IBUPAIN TABS X 12</t>
  </si>
  <si>
    <t>IBUPAIN</t>
  </si>
  <si>
    <t>IBUPROFEN 200MG TABS X16</t>
  </si>
  <si>
    <t>IBUPROFEN 400MG TAB</t>
  </si>
  <si>
    <t>400MG</t>
  </si>
  <si>
    <t>IBUPROFEN SUSPENSION</t>
  </si>
  <si>
    <t>IBUPROFEN VPL</t>
  </si>
  <si>
    <t>IKOREL 20MG TABS X60</t>
  </si>
  <si>
    <t>NICORANDIL</t>
  </si>
  <si>
    <t>IKOREL</t>
  </si>
  <si>
    <t>IMIPRAMINE TABS 25MG X28</t>
  </si>
  <si>
    <t>IMIPRAMINE</t>
  </si>
  <si>
    <t>IMIQUINOID CREAM</t>
  </si>
  <si>
    <t>IMIQUINOID</t>
  </si>
  <si>
    <t>ALDARA</t>
  </si>
  <si>
    <t>IMMUN ACE CAPSULES UK</t>
  </si>
  <si>
    <t>ANTIOXIDANT/MULTIVITAMINS/MULTIMINERALS</t>
  </si>
  <si>
    <t>IMMUNACE UK</t>
  </si>
  <si>
    <t>IMMUN ACE EXTRA TABS</t>
  </si>
  <si>
    <t>IMMUN ACE EXTRA</t>
  </si>
  <si>
    <t>IMMUNBOOST VIT C 1000MG EFFER TABS X20</t>
  </si>
  <si>
    <t>SUPPLEMENT (ASCORBIC ACID/ BIOFLAVONOIDS)</t>
  </si>
  <si>
    <t>IMMUNBOOST VIT C EFFER</t>
  </si>
  <si>
    <t>IMMUNOGLOBULIN 10G INJ</t>
  </si>
  <si>
    <t xml:space="preserve">IMMUNOLOGICAL </t>
  </si>
  <si>
    <t>IMODIUM 4MG</t>
  </si>
  <si>
    <t>LOPERAMIDE 4MG TAB</t>
  </si>
  <si>
    <t>IMODIUM</t>
  </si>
  <si>
    <t>IMODIUM LIQUID</t>
  </si>
  <si>
    <t>LOPERAMIDE HYDROCHLORIDE</t>
  </si>
  <si>
    <t>1mg/7.5ml</t>
  </si>
  <si>
    <t>INDAPAMIDE 2.5MG</t>
  </si>
  <si>
    <t>INDAPAMIDE (NICHE)</t>
  </si>
  <si>
    <t>2.5MG</t>
  </si>
  <si>
    <t>INDOMETHACIN</t>
  </si>
  <si>
    <t>INDOMETHACIN CAPS x100</t>
  </si>
  <si>
    <t>INFACOL BABY SUSPENSION</t>
  </si>
  <si>
    <t>Simeticone</t>
  </si>
  <si>
    <t>INFACOL DROP</t>
  </si>
  <si>
    <t>40mg/ml</t>
  </si>
  <si>
    <t>Inflatable Cervical Collar</t>
  </si>
  <si>
    <t>INFLATABLE CERVICAL COLLAR</t>
  </si>
  <si>
    <t>Injection Paracetamol 300mg</t>
  </si>
  <si>
    <t>INJECTION TETANUS TOXOID TO 1 ML</t>
  </si>
  <si>
    <t xml:space="preserve">TETANUS TOXOID </t>
  </si>
  <si>
    <t>INJECTION TETANUS TOXOID 1 ML</t>
  </si>
  <si>
    <t>1ML</t>
  </si>
  <si>
    <t>INSULATARD HM PENFILL</t>
  </si>
  <si>
    <t>INSULATARD PENFILL</t>
  </si>
  <si>
    <t>INSULIN NEEDLE</t>
  </si>
  <si>
    <t>IPRATOPIUM BROMIDE NEBULES</t>
  </si>
  <si>
    <t>INHALATION SOLUTION</t>
  </si>
  <si>
    <t>250MCG</t>
  </si>
  <si>
    <t>IRBESARTAN 150MG</t>
  </si>
  <si>
    <t>IRBESARTAN 150MG  (TEVA)</t>
  </si>
  <si>
    <t>ANTI HYPERTENSIVE</t>
  </si>
  <si>
    <t>IRON DEXTRAN INJECTION</t>
  </si>
  <si>
    <t>IRON DEXTRAN</t>
  </si>
  <si>
    <t>IRON SUCROSE 100MG/5ML*100ML INJ.</t>
  </si>
  <si>
    <t>100MG/5ML</t>
  </si>
  <si>
    <t>ISOSORBIDE DINITRATE 10MG X56</t>
  </si>
  <si>
    <t>ISOSORBIDE DINITRATE</t>
  </si>
  <si>
    <t>ISOSORBIDE DINITRATE 20MG X56</t>
  </si>
  <si>
    <t>ISOSORBIDE MONONITRATE 20MG</t>
  </si>
  <si>
    <t>ISOTRETINOIN</t>
  </si>
  <si>
    <t>ISOSORBIDE MONONITRATE</t>
  </si>
  <si>
    <t>ISOSORBIDE MONONITRATE 60MG (MONOSORB)</t>
  </si>
  <si>
    <t>ISOSORBIDE</t>
  </si>
  <si>
    <t>ISOSORBIDE MONONITRATE (MONOSORB)</t>
  </si>
  <si>
    <t>ISOSORBIDE MONONITRATE 60MG x28</t>
  </si>
  <si>
    <t>ISOTREX GEL 30G</t>
  </si>
  <si>
    <t>ITRACONAZOLE 100MG CAPS UK X15</t>
  </si>
  <si>
    <t>ITRACONAZOLE</t>
  </si>
  <si>
    <t>ITRACONAZOLE UK</t>
  </si>
  <si>
    <t>ITRANOX TABS 100MG x4</t>
  </si>
  <si>
    <t>ITRANOX</t>
  </si>
  <si>
    <t>IV LEVOFLOXACIN 500MG</t>
  </si>
  <si>
    <t>LEVOFLOXACIN</t>
  </si>
  <si>
    <t>IV VANCOMYCIN 500MG</t>
  </si>
  <si>
    <t>Vancomycin</t>
  </si>
  <si>
    <t>IV VANCOMYCIN 1G</t>
  </si>
  <si>
    <t xml:space="preserve">IVABRADINE 5MG  </t>
  </si>
  <si>
    <t>IVABRD</t>
  </si>
  <si>
    <t>IVYBETANEOCIN EYE DROP</t>
  </si>
  <si>
    <t>IVYBETANEOCIN</t>
  </si>
  <si>
    <t>0.1%/0.355</t>
  </si>
  <si>
    <t>IVYCROM EYE DROP</t>
  </si>
  <si>
    <t>IVYCROM</t>
  </si>
  <si>
    <t>IVYDEXGENT EYE DROP</t>
  </si>
  <si>
    <t>DEXAMETHASONE/ GENTAMICIN</t>
  </si>
  <si>
    <t>IVYDEXGENT</t>
  </si>
  <si>
    <t>IVYTIMOLOL EYE DROP</t>
  </si>
  <si>
    <t>IVYTIMOLOL</t>
  </si>
  <si>
    <t>IVYXOLOL EYE DROP</t>
  </si>
  <si>
    <t>IVYXOLOL</t>
  </si>
  <si>
    <t>IVYZINC EYE DROP</t>
  </si>
  <si>
    <t>ZINC</t>
  </si>
  <si>
    <t>IVYZINC</t>
  </si>
  <si>
    <t>2.5mg/ml</t>
  </si>
  <si>
    <t>IVYZOXAN EYE DROP</t>
  </si>
  <si>
    <t>IVYZOXAN</t>
  </si>
  <si>
    <t>IXIME 400MG TABS X6</t>
  </si>
  <si>
    <t>IXIME</t>
  </si>
  <si>
    <t>IXIME SUSPENSION 100MG/5ML</t>
  </si>
  <si>
    <t>IZOLE CAPS X28</t>
  </si>
  <si>
    <t>IZOLE</t>
  </si>
  <si>
    <t>Jadelle Implanon</t>
  </si>
  <si>
    <t xml:space="preserve">Jadelle </t>
  </si>
  <si>
    <t>150 mg.</t>
  </si>
  <si>
    <t xml:space="preserve">Janumet (Sitagliptin/Metformin) 50mg/1000mg </t>
  </si>
  <si>
    <t>Janumet</t>
  </si>
  <si>
    <t xml:space="preserve">50mg/1000mg </t>
  </si>
  <si>
    <t>JANUMET 50/1000MG TABS X56</t>
  </si>
  <si>
    <t>SITAGLIPTIN/ METFORMIN</t>
  </si>
  <si>
    <t>JANUMET</t>
  </si>
  <si>
    <t>JAWACLOX SYRUP 100ML</t>
  </si>
  <si>
    <t>AMPICILLIN / CLOXACILLIN</t>
  </si>
  <si>
    <t>JAWACLOX</t>
  </si>
  <si>
    <t>JAWAMOX SYRUP 100ML</t>
  </si>
  <si>
    <t>JAWAMOX 100ML</t>
  </si>
  <si>
    <t>JAWARON CAPS X120</t>
  </si>
  <si>
    <t>MULTIVITAMIN (IRON/ VITAMNS/ AMINO ACIDS)</t>
  </si>
  <si>
    <t>JAWARON</t>
  </si>
  <si>
    <t>JAWARON TONIC 200ML</t>
  </si>
  <si>
    <t>JOBELYN CAPS X 100</t>
  </si>
  <si>
    <t>HERBAL EXTRACT</t>
  </si>
  <si>
    <t>JOBELYN</t>
  </si>
  <si>
    <t>JOBELYN CAPS X 30</t>
  </si>
  <si>
    <t>JOBELYN SYRUP</t>
  </si>
  <si>
    <t>SORGHUM BICOLOR</t>
  </si>
  <si>
    <t>JOINT ACE COLLAGEN TABS X30</t>
  </si>
  <si>
    <t>SUPPLEMENT (GLUCOSAMINE COLLAGEN/ CHONDROITIN/ VITAMINS/ MINERALS/ GINGER EXT)</t>
  </si>
  <si>
    <t>JOINT ACE COLLAGEN</t>
  </si>
  <si>
    <t>JOINT ACE ORIGINAL PLUS C TABS X30</t>
  </si>
  <si>
    <t>SUPPLEMENT (GLUCOSAMINE CHONDROITIN/ VITAMINS/ MINERALS/ GINGER EXT)</t>
  </si>
  <si>
    <t>JOINT ACE ORIGINAL PLUS C</t>
  </si>
  <si>
    <t>JOLTAN 160MG TABS X30</t>
  </si>
  <si>
    <t>JOLTAN</t>
  </si>
  <si>
    <t>JOLTAN 80MG TABS X30</t>
  </si>
  <si>
    <t>JOLTAN PLUS 160/12.5MG X30</t>
  </si>
  <si>
    <t>JOLTAN PLUS</t>
  </si>
  <si>
    <t>JOLTAN PLUS 160/25MG X30</t>
  </si>
  <si>
    <t>160mg25mg</t>
  </si>
  <si>
    <t>JOLTAN PLUS 80/12.5MG X30</t>
  </si>
  <si>
    <t>80mg/12.5mg</t>
  </si>
  <si>
    <t>K-Y GEL</t>
  </si>
  <si>
    <t>GLYCERIN, BENZOIC ACID, PROPYLENE GLYCOL, BENZOIC ACID</t>
  </si>
  <si>
    <t>K-Y JELLY 56G</t>
  </si>
  <si>
    <t>GLYCERIN/ BENZOIC ACID/ PROPYLENE GLYCOL/ BENZOIC ACID</t>
  </si>
  <si>
    <t>KADURETIC TABS X30</t>
  </si>
  <si>
    <t>AMILORIDE/ HYDROCHLOROTHIAZIDE</t>
  </si>
  <si>
    <t>KADURETIC</t>
  </si>
  <si>
    <t>KEFSTAR 500MG TABS</t>
  </si>
  <si>
    <t>Cefuroxime</t>
  </si>
  <si>
    <t>KEFSTAR</t>
  </si>
  <si>
    <t>KEFSTAR SUSPENSION</t>
  </si>
  <si>
    <t>KENALOG CREAM 15G</t>
  </si>
  <si>
    <t>TRIAMCINOLONE (KENALOG)</t>
  </si>
  <si>
    <t>KENALOG IN ORABASE 5G</t>
  </si>
  <si>
    <t>TRIAMCINOLONE</t>
  </si>
  <si>
    <t>KENALOG INJECTION X5</t>
  </si>
  <si>
    <t>KENALOG</t>
  </si>
  <si>
    <t>KEPPRA 100MG/ML SYRUP 150ML</t>
  </si>
  <si>
    <t>LEVETIRACETAM</t>
  </si>
  <si>
    <t>KEPPRA 150ML</t>
  </si>
  <si>
    <t>KEPPRA 250MG TABS X10</t>
  </si>
  <si>
    <t>KEPPRA</t>
  </si>
  <si>
    <t>KEPPRA TAB 1000MG X20</t>
  </si>
  <si>
    <t>Levitiracetam</t>
  </si>
  <si>
    <t>KEPPRA TAB 500MG X20</t>
  </si>
  <si>
    <t>KETAMIN HCL INJECTION</t>
  </si>
  <si>
    <t>KETAMIN</t>
  </si>
  <si>
    <t>KETAMIN HCL</t>
  </si>
  <si>
    <t>ANAESTHETIC</t>
  </si>
  <si>
    <t>KETESSE 25MG TABS X20</t>
  </si>
  <si>
    <t>DEXKETOPROFEN</t>
  </si>
  <si>
    <t>KETESSE</t>
  </si>
  <si>
    <t>KETINEAL CREAM 30G</t>
  </si>
  <si>
    <t>KETINEAL 30G</t>
  </si>
  <si>
    <t>KETOCONAZOLE 200MG TABS X10</t>
  </si>
  <si>
    <t>KETOCONAZOLE TABS (MAKINGA) X100</t>
  </si>
  <si>
    <t>MAKINGA</t>
  </si>
  <si>
    <t>KETOCONAZOLE TABS X100</t>
  </si>
  <si>
    <t>KETOFUNG CREAM</t>
  </si>
  <si>
    <t>KETOFUNG</t>
  </si>
  <si>
    <t>KETOFUNG TAB X10</t>
  </si>
  <si>
    <t>KETOPROFEN GEL</t>
  </si>
  <si>
    <t>KETOVAIL X 14</t>
  </si>
  <si>
    <t>KETOVAIL</t>
  </si>
  <si>
    <t>KETOVID CREAM</t>
  </si>
  <si>
    <t>KETOVID</t>
  </si>
  <si>
    <t>KEZITIL 125MG DRY SYRUP 100ML(CEFUROXIME)</t>
  </si>
  <si>
    <t>KEZITIL DRY 100ML</t>
  </si>
  <si>
    <t>KEZITIL 250MG TABS</t>
  </si>
  <si>
    <t>KEZITIL</t>
  </si>
  <si>
    <t>KEZITIL 500MG TABS</t>
  </si>
  <si>
    <t>CLINDAMYCIN /CLOTRIMAZOLE</t>
  </si>
  <si>
    <t>KLINFAST</t>
  </si>
  <si>
    <t>100mg/200mg</t>
  </si>
  <si>
    <t>KLINFAST VAG X7</t>
  </si>
  <si>
    <t>KLOVINAL PESSARY</t>
  </si>
  <si>
    <t>Clotrimazole / Metronidazole</t>
  </si>
  <si>
    <t>100mg/500mg</t>
  </si>
  <si>
    <t>KOMBIGLYZE 2.5/1000MG X60</t>
  </si>
  <si>
    <t>SAXAGLIPTIN/METFORMIN</t>
  </si>
  <si>
    <t>KOMBIGLYZE</t>
  </si>
  <si>
    <t>2.5/1000mg</t>
  </si>
  <si>
    <t>KOMBIGLYZE 5/1000MG TABS X30</t>
  </si>
  <si>
    <t>5/1000mg</t>
  </si>
  <si>
    <t>KOTASE TABS</t>
  </si>
  <si>
    <t>BROMELAIN</t>
  </si>
  <si>
    <t>KOTASE</t>
  </si>
  <si>
    <t>L-FLOX 500MG TAB X10</t>
  </si>
  <si>
    <t>L-FLOX</t>
  </si>
  <si>
    <t>L-FLOX 750MG X10</t>
  </si>
  <si>
    <t>L-FLOX INFUSION</t>
  </si>
  <si>
    <t>LABET 200MG TABS x 30</t>
  </si>
  <si>
    <t>LABETALOL</t>
  </si>
  <si>
    <t>LABET</t>
  </si>
  <si>
    <t>LABETALOL INJECTION 5MG/ML</t>
  </si>
  <si>
    <t>5mg/ml</t>
  </si>
  <si>
    <t>LABETOLOL 100MG X30</t>
  </si>
  <si>
    <t>LABETOLOL 200MG X30</t>
  </si>
  <si>
    <t>LACTULOSE SOLUTION 300ML</t>
  </si>
  <si>
    <t>LACTULOSE</t>
  </si>
  <si>
    <t>670mg</t>
  </si>
  <si>
    <t>LACTULOSE SOLUTION 500ML</t>
  </si>
  <si>
    <t>LAMISIL CREAM</t>
  </si>
  <si>
    <t>TERBINAFINE</t>
  </si>
  <si>
    <t>LAMISIL</t>
  </si>
  <si>
    <t>LAMISIL TABS</t>
  </si>
  <si>
    <t>LAMIV/ZIDOV/NEV PAEDIATRIC TABS</t>
  </si>
  <si>
    <t>LAMIVUDINE /NEVIRAPINE / ZIDOVUDINE</t>
  </si>
  <si>
    <t>LAMIV/ZIDOV/NEV PAEDIATRIC</t>
  </si>
  <si>
    <t>150mg/200mg/300mg</t>
  </si>
  <si>
    <t>LAMIV/ZIDOV/NEVIRAPINE TABS X60</t>
  </si>
  <si>
    <t>LAMIVUDINE/ZIDOVUDINE/NEVIRAPINE</t>
  </si>
  <si>
    <t>LAMIV/ZIDOV/NEVIRAPINE</t>
  </si>
  <si>
    <t>LAMIVUDINE 150MG TABS X60</t>
  </si>
  <si>
    <t>LAMIVUDINE</t>
  </si>
  <si>
    <t>Lamotrigine 25mg</t>
  </si>
  <si>
    <t xml:space="preserve"> Lamotrigine 25mg</t>
  </si>
  <si>
    <t xml:space="preserve"> Lamotrigine </t>
  </si>
  <si>
    <t>LAMOTRIGINE TAB 100MG X56</t>
  </si>
  <si>
    <t>LAMOTRIGINE</t>
  </si>
  <si>
    <t>LAMOTRIGINE TAB 25MG X56</t>
  </si>
  <si>
    <t>LAMOTRIGINE TAB 50MG X56</t>
  </si>
  <si>
    <t>Lancet</t>
  </si>
  <si>
    <t>LANCET</t>
  </si>
  <si>
    <t>LANSODEX 30MG CAPS(LANSOPRAZOLE)</t>
  </si>
  <si>
    <t>LANSOPRAZOLE</t>
  </si>
  <si>
    <t>LANSODEX</t>
  </si>
  <si>
    <t>LANSOPAL CAPS (LANSOPRAZOLE) X28</t>
  </si>
  <si>
    <t>LANSOPAL</t>
  </si>
  <si>
    <t>LANSOPRAZOLE CAPS 15MG UK X28</t>
  </si>
  <si>
    <t>LANSOPRAZOLE UK</t>
  </si>
  <si>
    <t>LANSOPRAZOLE CAPS 30MG UK X28</t>
  </si>
  <si>
    <t>LANTUS INSULIN NEEDLE</t>
  </si>
  <si>
    <t>LANTUS INSULIN PEN</t>
  </si>
  <si>
    <t>100iu/ml</t>
  </si>
  <si>
    <t>LANTUS INSULIN SOLOSTAR</t>
  </si>
  <si>
    <t>LANTUS SOLOSTAR INSULIN 5X3ML</t>
  </si>
  <si>
    <t>LANTUS SOLOSTAR INSULIN 5 X3ML</t>
  </si>
  <si>
    <t>LARIDOX TABS X3</t>
  </si>
  <si>
    <t>LARIDOX</t>
  </si>
  <si>
    <t>Lasix 40mg X10</t>
  </si>
  <si>
    <t>Furosemide</t>
  </si>
  <si>
    <t>Lasix</t>
  </si>
  <si>
    <t>LATANOPROST EYE DROPS</t>
  </si>
  <si>
    <t>LATANOPROST/TIMOLOL EYE DROP 2.5ML</t>
  </si>
  <si>
    <t>LATANOPROST/TIMOLOL</t>
  </si>
  <si>
    <t>LAXAT EYE DROP(LATANOPROST)</t>
  </si>
  <si>
    <t>LAXAT</t>
  </si>
  <si>
    <t>LAXAT PLUS EYE DROP</t>
  </si>
  <si>
    <t>LAXAT PLUS</t>
  </si>
  <si>
    <t>LEFLUNOMIDE 20MG TAB</t>
  </si>
  <si>
    <t>LEFLUNOMIDE</t>
  </si>
  <si>
    <t>Lenalidomide 5mg Tablets</t>
  </si>
  <si>
    <t>Tablet Lenalidomide 5mg Tablets</t>
  </si>
  <si>
    <t>Lenalidomide</t>
  </si>
  <si>
    <t xml:space="preserve"> 5mg </t>
  </si>
  <si>
    <t>Letrozole 2.5mg Pack</t>
  </si>
  <si>
    <t>Tab Letrozole 2.5mg Pack</t>
  </si>
  <si>
    <t xml:space="preserve">Letrozole </t>
  </si>
  <si>
    <t>LEUPROLIDE ACETATE 11.25MG</t>
  </si>
  <si>
    <t>11.25mg</t>
  </si>
  <si>
    <t>LEVER TAB(ATESUNATE 50MG)</t>
  </si>
  <si>
    <t>LEVER</t>
  </si>
  <si>
    <t>LEVITRA TABS 20MG X4</t>
  </si>
  <si>
    <t>VARDENAFIL</t>
  </si>
  <si>
    <t>LEVITRA</t>
  </si>
  <si>
    <t>LEVITRA TABS 5MG X4</t>
  </si>
  <si>
    <t>LEVOFEM X 28 PACK</t>
  </si>
  <si>
    <t>LEVONOGESTREL/ ETHINYLESTRADIOL</t>
  </si>
  <si>
    <t>LEVOFEM</t>
  </si>
  <si>
    <t>0.15/0.03mg</t>
  </si>
  <si>
    <t>LEVOFLOX TABS X10</t>
  </si>
  <si>
    <t>LEVOFLOX</t>
  </si>
  <si>
    <t>LEVOFLOXACIN 500MG INFUSION 100ML (NIRLIV)</t>
  </si>
  <si>
    <t>NIRLIV</t>
  </si>
  <si>
    <t>LEVOFLOXACIN 500MG TABS X10</t>
  </si>
  <si>
    <t>LEVOFLOXACIN EYE DROP</t>
  </si>
  <si>
    <t>LEVOTEX 500MG TABS X10</t>
  </si>
  <si>
    <t>LEVOTEX</t>
  </si>
  <si>
    <t>LEVOTHYROXINE 100MCG (MERCURY)</t>
  </si>
  <si>
    <t>LEVOTHYROXINE</t>
  </si>
  <si>
    <t>100MCG</t>
  </si>
  <si>
    <t>LEVOTHYROXINE TABS 100MCG</t>
  </si>
  <si>
    <t>LEVOTHYROXINE 100MCG</t>
  </si>
  <si>
    <t>100mcg</t>
  </si>
  <si>
    <t>LEVOTHYROXINE TABS 25MG</t>
  </si>
  <si>
    <t>LEVOTHYROXINE TABS 50MCG</t>
  </si>
  <si>
    <t>LEVOTHYROXINE 50MCG</t>
  </si>
  <si>
    <t>LEXOTAN</t>
  </si>
  <si>
    <t>LIDOCAINE GEL</t>
  </si>
  <si>
    <t>LIDOCAINE</t>
  </si>
  <si>
    <t>LIGABA 150MG CAPS X30</t>
  </si>
  <si>
    <t>PREGABALIN</t>
  </si>
  <si>
    <t>LIGABA</t>
  </si>
  <si>
    <t>LIGABA 75MG CAPS X30</t>
  </si>
  <si>
    <t>LINAGLIPTIN 5MG (LINAGEN)</t>
  </si>
  <si>
    <t>LINAGLIPTIN</t>
  </si>
  <si>
    <t>LINAJEN</t>
  </si>
  <si>
    <t>LINCOCIN CAPS X100</t>
  </si>
  <si>
    <t>LINCOCIN</t>
  </si>
  <si>
    <t>LINCOMYCIN 500MG CAPS (GREENLIFE) X12</t>
  </si>
  <si>
    <t>LINCOMYCIN (GREENLIFE)</t>
  </si>
  <si>
    <t>LINEX CAPS X16</t>
  </si>
  <si>
    <t>PROBIOTIIC/ ZINC/ VITAMINS</t>
  </si>
  <si>
    <t>LINEX</t>
  </si>
  <si>
    <t>LIPITOR 80MG TABS X30</t>
  </si>
  <si>
    <t>LIPITOR</t>
  </si>
  <si>
    <t>LIPITOR TABS 10MG X28</t>
  </si>
  <si>
    <t>LIPITOR TABS 20MG X28</t>
  </si>
  <si>
    <t>LIPITOR TABS 40MG X30</t>
  </si>
  <si>
    <t>LIPIVASTATIN 10MG X14</t>
  </si>
  <si>
    <t>LIPIVASTATIN</t>
  </si>
  <si>
    <t>LIPIVASTATIN 20MG X14</t>
  </si>
  <si>
    <t>LIQUORICE DCL 380MG CHEWABLE TABS X100</t>
  </si>
  <si>
    <t>LIQUORICE EXTRACT</t>
  </si>
  <si>
    <t>LIQUORICE DCL CHEWABLE</t>
  </si>
  <si>
    <t>380mg</t>
  </si>
  <si>
    <t>LISINOPRIL HCTZ 20/12.5MG TABS X28</t>
  </si>
  <si>
    <t>LISINOPRIL HCTZ</t>
  </si>
  <si>
    <t>LISINOPRIL TABS 10MG X28</t>
  </si>
  <si>
    <t>LISINOPRIL</t>
  </si>
  <si>
    <t>LISINOPRIL TABS 2.5MG X28</t>
  </si>
  <si>
    <t>LISINOPRIL TABS 20MG X28</t>
  </si>
  <si>
    <t>LISINOPRIL TABS 5MG X28</t>
  </si>
  <si>
    <t>LIVING BITTERS CAPS</t>
  </si>
  <si>
    <t>HERBAL EXTRACTS</t>
  </si>
  <si>
    <t>LIVING BITTERS</t>
  </si>
  <si>
    <t>LIVING BITTERS TONIC B/S</t>
  </si>
  <si>
    <t>LIVOLIN FORTE CAP X 30</t>
  </si>
  <si>
    <t>PHOSPHOLIPIDS, MULTIVITAMINS</t>
  </si>
  <si>
    <t>LIVOLIN FORTE</t>
  </si>
  <si>
    <t>LIXYPED SYRUP NIGERIA</t>
  </si>
  <si>
    <t>PHOLCODEINE/ PROMETHAZINE/ ETHANOL</t>
  </si>
  <si>
    <t>LIXYPED NIGERIA</t>
  </si>
  <si>
    <t>LODIUM 2MG CAPS X10</t>
  </si>
  <si>
    <t>LODIUM</t>
  </si>
  <si>
    <t>LOFNAC GEL</t>
  </si>
  <si>
    <t>LOFNAC INJECTION 10 X 10</t>
  </si>
  <si>
    <t>LOFNAC</t>
  </si>
  <si>
    <t>LOFNAC PLUS TABS X10</t>
  </si>
  <si>
    <t>DICLOFENAC/PARACETAMOL</t>
  </si>
  <si>
    <t>LOFNAC PLUS</t>
  </si>
  <si>
    <t>LOFNAC SUPP</t>
  </si>
  <si>
    <t>LOFNAC TABS X10</t>
  </si>
  <si>
    <t>ARTEMETHER/ LUMEFANTRINE</t>
  </si>
  <si>
    <t>LOKMAL</t>
  </si>
  <si>
    <t>LOKMAL QS COMBI TAB X6/12</t>
  </si>
  <si>
    <t>LOKMAL QS COMBI</t>
  </si>
  <si>
    <t>LOKMAL SUSP</t>
  </si>
  <si>
    <t>ARTHEMETHER / LUMEFANTRINE</t>
  </si>
  <si>
    <t>180mg/1080mg</t>
  </si>
  <si>
    <t>LOMOTIL TABS X100</t>
  </si>
  <si>
    <t>DIPHENOXYLATE/ATROPINE</t>
  </si>
  <si>
    <t>LOMOTIL</t>
  </si>
  <si>
    <t>LONART SUSPENSION</t>
  </si>
  <si>
    <t>ARTEMETHER/LUMEFANTRIN</t>
  </si>
  <si>
    <t>LONART</t>
  </si>
  <si>
    <t>LONART TABS D/S</t>
  </si>
  <si>
    <t>LONART DS</t>
  </si>
  <si>
    <t>LONART TABS X24</t>
  </si>
  <si>
    <t>LONGER LIFE SUPER CALCIUM TABS</t>
  </si>
  <si>
    <t>LONGER LIFE SUPER CALCIUM</t>
  </si>
  <si>
    <t>LONGER LIFE VITAMIN C 1000MG X100</t>
  </si>
  <si>
    <t>LONGER LIFE VITAMIN C</t>
  </si>
  <si>
    <t>LOPERAMIDE (Coloseal brand) 2mg x10</t>
  </si>
  <si>
    <t>LOPINAVIR/RITONAVIR TABS(KALETRA) X120</t>
  </si>
  <si>
    <t>LOPINAVIR/RITONAVIR</t>
  </si>
  <si>
    <t>KALETRA</t>
  </si>
  <si>
    <t>LOPRESSOR 100MG TABS</t>
  </si>
  <si>
    <t>METOPROLOL TARTRATE</t>
  </si>
  <si>
    <t>LOPRESSOR</t>
  </si>
  <si>
    <t>LOPRESSOR 50MG TABS</t>
  </si>
  <si>
    <t>LORATADINE SUSP 60ML AFRAB</t>
  </si>
  <si>
    <t>LORATADINE AFRAB CHEM/BOTT</t>
  </si>
  <si>
    <t>LORATADINE TABS 10MG 28</t>
  </si>
  <si>
    <t>LORATYN TABS X 10</t>
  </si>
  <si>
    <t>Loratyn</t>
  </si>
  <si>
    <t>LORAZEPAM 1MG TAB X28</t>
  </si>
  <si>
    <t>LORAZEPAM</t>
  </si>
  <si>
    <t>LORAZEPAM 2.5MG TAB X28</t>
  </si>
  <si>
    <t>LOSARTAN POTASSIUM 100MG TABS X28</t>
  </si>
  <si>
    <t>LOSARTAN POTASSIUM</t>
  </si>
  <si>
    <t>LOSARTAN POTASSIUM 25MG TABS X28</t>
  </si>
  <si>
    <t>LOSARTAN POTASSIUM 50MG HCTZ X28</t>
  </si>
  <si>
    <t>LOSARTAN POTASSIUM AND HYDROCHLOROTHIZIDE</t>
  </si>
  <si>
    <t>LOSARTAN POTASSIUM HCTZ</t>
  </si>
  <si>
    <t>LOSATRUST 25MG TABS X10</t>
  </si>
  <si>
    <t>LOSATRUST</t>
  </si>
  <si>
    <t>LOSATRUST 50MG TABS X10</t>
  </si>
  <si>
    <t>LOSATRUST H 50/12.5MG TAB X10</t>
  </si>
  <si>
    <t>LOSARTAN/HYDROCHLOROTHIAZIDE</t>
  </si>
  <si>
    <t>LOSATRUST H</t>
  </si>
  <si>
    <t>LOXACLAV 625MG TABS X14</t>
  </si>
  <si>
    <t>LOXACLAV</t>
  </si>
  <si>
    <t>LOXAGYL SUSPENSION</t>
  </si>
  <si>
    <t>LOXAGYL</t>
  </si>
  <si>
    <t>LOXAGYL TABS 200MG</t>
  </si>
  <si>
    <t>LOXAGYL/SACH</t>
  </si>
  <si>
    <t>LOXAGYL TABS 400MG</t>
  </si>
  <si>
    <t>LOXAPRIM SUSPENSION 50ML</t>
  </si>
  <si>
    <t>TRIMETOPRIM/SULPHAMETHOXAZOLE</t>
  </si>
  <si>
    <t>LOXAPRIM 50ML</t>
  </si>
  <si>
    <t>480mg</t>
  </si>
  <si>
    <t>LOXAPRIM TABS X100</t>
  </si>
  <si>
    <t>LOXAPRIM</t>
  </si>
  <si>
    <t>240/5ml</t>
  </si>
  <si>
    <t>LOZATAN 25MG X30</t>
  </si>
  <si>
    <t>LOZATAN</t>
  </si>
  <si>
    <t>LOZATAN 50MG X30</t>
  </si>
  <si>
    <t>LOZATAN H TABS</t>
  </si>
  <si>
    <t>LOSARTAN+HYDROCHLOROTHIAZIDE</t>
  </si>
  <si>
    <t>LOZATAN H</t>
  </si>
  <si>
    <t>50mg/12.5mg</t>
  </si>
  <si>
    <t>LUMARTEM TABS X12</t>
  </si>
  <si>
    <t>LUMARTEM</t>
  </si>
  <si>
    <t>40/240mg</t>
  </si>
  <si>
    <t>LUMARTEM TABS X24</t>
  </si>
  <si>
    <t>LUMETHER FORTE TABS</t>
  </si>
  <si>
    <t>LUMETHER FORTE</t>
  </si>
  <si>
    <t>LUMIGAN EYE DROP . UD 30</t>
  </si>
  <si>
    <t>BRIMATOPROST</t>
  </si>
  <si>
    <t>LUMIGAN . UD 30</t>
  </si>
  <si>
    <t>LUMIGAN EYE DROP 0.1%</t>
  </si>
  <si>
    <t>LUMIGAN</t>
  </si>
  <si>
    <t>LUMIGAN EYE DROP 0.3% 3ML</t>
  </si>
  <si>
    <t>BIMATOPROST</t>
  </si>
  <si>
    <t>LYCOFER CAPS X30</t>
  </si>
  <si>
    <t>IRON ETC</t>
  </si>
  <si>
    <t>LYCOFER</t>
  </si>
  <si>
    <t>LYCOFER SYRUP 200ML</t>
  </si>
  <si>
    <t>LYCOFER 200ML</t>
  </si>
  <si>
    <t>LYCOSET CAPS X30</t>
  </si>
  <si>
    <t>LYCOPEN/MULTIVITAMINS/MULTIMINERALS</t>
  </si>
  <si>
    <t>LYCOSET</t>
  </si>
  <si>
    <t>LYCOSET SYRUP 200ML</t>
  </si>
  <si>
    <t>LYCOSET 200ML</t>
  </si>
  <si>
    <t>LYFLEX SYRUP</t>
  </si>
  <si>
    <t>LYFLEX (BACLOFEN)</t>
  </si>
  <si>
    <t>5mg/5ml</t>
  </si>
  <si>
    <t>LYNTRIAXONE 1G INJECTION</t>
  </si>
  <si>
    <t>LYNTRIAXONE</t>
  </si>
  <si>
    <t>LYRICA CAPS 150MG X28</t>
  </si>
  <si>
    <t>LYRICA</t>
  </si>
  <si>
    <t>LYRICA CAPS 25MGX28</t>
  </si>
  <si>
    <t>LYRICA CAPS 75MG X 28</t>
  </si>
  <si>
    <t>M&amp;B PARACETAMOL SYRUP</t>
  </si>
  <si>
    <t>M&amp;B PARACETAMOL</t>
  </si>
  <si>
    <t>M&amp;B PARACETAMOL TABS X 96</t>
  </si>
  <si>
    <t>M2 TONE CAPS X20</t>
  </si>
  <si>
    <t>M2 TONE</t>
  </si>
  <si>
    <t>M2 TONE SYRUP</t>
  </si>
  <si>
    <t>MAALOX PLUS SUSPENSION</t>
  </si>
  <si>
    <t>ALUMINIUM HYDROXIDE AND MAGENSIUM HYDROXIDE</t>
  </si>
  <si>
    <t>MAALOX 150ML</t>
  </si>
  <si>
    <t>MAGNESIUM SULPHATE INJECTION</t>
  </si>
  <si>
    <t>MAGNESIUM TRISILICATE TAB (GELUSIL)</t>
  </si>
  <si>
    <t>GELUSIL</t>
  </si>
  <si>
    <t>MALANIL 250MG TABS X12</t>
  </si>
  <si>
    <t>ATOVAQUONE/PROGUANIL HYDROCHLORIDE</t>
  </si>
  <si>
    <t>MALANIL</t>
  </si>
  <si>
    <t>250/100mg</t>
  </si>
  <si>
    <t>MALANIL PAED 62.5MG TABS</t>
  </si>
  <si>
    <t>MALANIL PAEDIATRIC</t>
  </si>
  <si>
    <t>62.5/25mg</t>
  </si>
  <si>
    <t>MANIX TABLETS X 10</t>
  </si>
  <si>
    <t>MANIX</t>
  </si>
  <si>
    <t>MANNITOL 20% 500ML</t>
  </si>
  <si>
    <t>MANNITOL</t>
  </si>
  <si>
    <t>MANNITOL 500ML</t>
  </si>
  <si>
    <t>MARCFIX SUSPENSION 60ML(CEFIXIME)</t>
  </si>
  <si>
    <t>MARCFIX</t>
  </si>
  <si>
    <t>MARCFIX TAB 200/125MGTABS X10(CEFIXIME+CLAVULANIC ACID)</t>
  </si>
  <si>
    <t>CEFIXIME / CLAVULANIC ACID</t>
  </si>
  <si>
    <t>MARCFIX 200/125MG(CEFIXIME/CLAVULANIC ACID)</t>
  </si>
  <si>
    <t>200mg/125mg</t>
  </si>
  <si>
    <t>MARCNOL (AMLODIPINE + RAMIPRIL) TABS 5/2.5MG X 30</t>
  </si>
  <si>
    <t>Amlodipine+Ramipril 5MG/2.5MG</t>
  </si>
  <si>
    <t>MARCNOL</t>
  </si>
  <si>
    <t>5MG/2.5MG</t>
  </si>
  <si>
    <t>MASON SUPER CALCIUM 600MG</t>
  </si>
  <si>
    <t>SUPER CALCIUM 600MG TAB</t>
  </si>
  <si>
    <t>SUPER CALCIUM 600MG TAB(MASON)</t>
  </si>
  <si>
    <t>MASON ZINC 100MG X 100</t>
  </si>
  <si>
    <t>MASON ZINC</t>
  </si>
  <si>
    <t>MASON ZINC 50MG X 100</t>
  </si>
  <si>
    <t>MAXIDEX EYE DROP</t>
  </si>
  <si>
    <t>MAXIDEX</t>
  </si>
  <si>
    <t>MAXIQUINE SYRUP</t>
  </si>
  <si>
    <t>CHLOROQUINE</t>
  </si>
  <si>
    <t>MAXIQUINE</t>
  </si>
  <si>
    <t>Maxitears Eye drops</t>
  </si>
  <si>
    <t>CARBOXYMETHYL CELLULOSE SODIUM WITH GLYCERIN</t>
  </si>
  <si>
    <t>MAXITEARS</t>
  </si>
  <si>
    <t>MAXITROL EYE DROP</t>
  </si>
  <si>
    <t>DEXAMETHASONE/ NEOMYCIN/POLYMYXIN B</t>
  </si>
  <si>
    <t>MAXITROL</t>
  </si>
  <si>
    <t>0.04MG/ML</t>
  </si>
  <si>
    <t>MAXITROL OINTMENT</t>
  </si>
  <si>
    <t>MAXIVISION OCULAR TABLETS X 30</t>
  </si>
  <si>
    <t>VITAMINS AND EYE ANTIOXIDANTS</t>
  </si>
  <si>
    <t>MAXIVISION OCULAR</t>
  </si>
  <si>
    <t>MAXOLONE INJECTION</t>
  </si>
  <si>
    <t>METOCLOPRAMIDE</t>
  </si>
  <si>
    <t>MAXOLONE</t>
  </si>
  <si>
    <t>MAXOLONE TABS</t>
  </si>
  <si>
    <t>MEBEVERINE 135MG TAB X100</t>
  </si>
  <si>
    <t>MEBEVERINE PER SACH/SACH</t>
  </si>
  <si>
    <t>135mg</t>
  </si>
  <si>
    <t>MEBO 15G</t>
  </si>
  <si>
    <t xml:space="preserve">Meconerv Forte Sachets </t>
  </si>
  <si>
    <t xml:space="preserve">Meconerv Forte </t>
  </si>
  <si>
    <t>MECPRO PROGESTERONE 400MG</t>
  </si>
  <si>
    <t>MECPRO</t>
  </si>
  <si>
    <t>MEDERAX TAB 10MG X100</t>
  </si>
  <si>
    <t>MEDERAX</t>
  </si>
  <si>
    <t>MEFANAMIC ACID 250MG TAB</t>
  </si>
  <si>
    <t>MEFENAC</t>
  </si>
  <si>
    <t>MEFENAMIC ACID 500MG TABS</t>
  </si>
  <si>
    <t>MEFENAMIC ACID</t>
  </si>
  <si>
    <t>MEKOPHAR LINCOMYCIN X10</t>
  </si>
  <si>
    <t>LINCOMICIN</t>
  </si>
  <si>
    <t>MEKOPHAR LINCOMYCIN</t>
  </si>
  <si>
    <t>MELADININE 20MG X 30</t>
  </si>
  <si>
    <t>METHOXSALINE</t>
  </si>
  <si>
    <t>MELADININE</t>
  </si>
  <si>
    <t>MELATONIN 3MG</t>
  </si>
  <si>
    <t>MELATONIN</t>
  </si>
  <si>
    <t xml:space="preserve">Melatonin 5mg </t>
  </si>
  <si>
    <t>Melatonin</t>
  </si>
  <si>
    <t>MELATONIN 5MG TAB</t>
  </si>
  <si>
    <t>MELOCAP 15MG TABS X10</t>
  </si>
  <si>
    <t>MELOCAP</t>
  </si>
  <si>
    <t>MELOCAP 7.5MG TABS X10</t>
  </si>
  <si>
    <t>Melotears Eyedrop</t>
  </si>
  <si>
    <t>MELOTEARS</t>
  </si>
  <si>
    <t>MELOXICAM 15MG TABS UK X30</t>
  </si>
  <si>
    <t>MELOXICAM UK</t>
  </si>
  <si>
    <t>MELOXICAM 7.5MG TABS UK X30</t>
  </si>
  <si>
    <t>MEMANTINE 10MG TABS X28</t>
  </si>
  <si>
    <t>MEMANTINE</t>
  </si>
  <si>
    <t>MEMANTINE 20MG TABS X28</t>
  </si>
  <si>
    <t>MENTHODEX COUGH SYRUP</t>
  </si>
  <si>
    <t>SQUIL TINCTURE/ AMMONIUM CHLORIDE ETC</t>
  </si>
  <si>
    <t>MENTHODEX COUGH</t>
  </si>
  <si>
    <t>MENTHODEX LOZENGES X24</t>
  </si>
  <si>
    <t>EUCALYPTUS AND MENTHOL</t>
  </si>
  <si>
    <t>MENTHODEX LOZENGES</t>
  </si>
  <si>
    <t>MEPIRYL TABS 2MG</t>
  </si>
  <si>
    <t>MEPIRYL 2MG</t>
  </si>
  <si>
    <t>2MG</t>
  </si>
  <si>
    <t>MEPIRYL TABS 4MG</t>
  </si>
  <si>
    <t>MEPIRYL 4MG</t>
  </si>
  <si>
    <t>MEPISAN CREAM</t>
  </si>
  <si>
    <t>MEPRASIL TABS X20</t>
  </si>
  <si>
    <t>MEPRASIL</t>
  </si>
  <si>
    <t>MEPRID 2MG TABS X30</t>
  </si>
  <si>
    <t>MEPRID</t>
  </si>
  <si>
    <t>MEPRID 4MG TABS X30</t>
  </si>
  <si>
    <t>Meronem (pfizer branded) 1g</t>
  </si>
  <si>
    <t xml:space="preserve"> Meronem (pfizer branded) 1g</t>
  </si>
  <si>
    <t xml:space="preserve">Meronem Pfizer </t>
  </si>
  <si>
    <t>MERONEM IV 1GM 30ML VIAL X1</t>
  </si>
  <si>
    <t>Meropenem</t>
  </si>
  <si>
    <t>MERONEM1GM 30ML VIAL</t>
  </si>
  <si>
    <t>MERONEM IV 500MG 20MLVIAL X1</t>
  </si>
  <si>
    <t>MERONEM 20MLVIAL</t>
  </si>
  <si>
    <t>MERONEM</t>
  </si>
  <si>
    <t>MESALAZINE 800MG X 64</t>
  </si>
  <si>
    <t>MESALAZINE</t>
  </si>
  <si>
    <t>MESALAZINE Sachets Daily</t>
  </si>
  <si>
    <t xml:space="preserve"> MESALAZINE</t>
  </si>
  <si>
    <t xml:space="preserve">4 g </t>
  </si>
  <si>
    <t>MET-GLIM TABS X10</t>
  </si>
  <si>
    <t>METFORMIN/GLIMEPIRIDE</t>
  </si>
  <si>
    <t>MET-GLIM</t>
  </si>
  <si>
    <t>500/2mg</t>
  </si>
  <si>
    <t>META B FORTE X10</t>
  </si>
  <si>
    <t>VITAMIN B12/ B6 ETC</t>
  </si>
  <si>
    <t>META B FORTE</t>
  </si>
  <si>
    <t>METAP XL 25MG TAB X30</t>
  </si>
  <si>
    <t>METAP XL</t>
  </si>
  <si>
    <t>METAP XL 50MG X30</t>
  </si>
  <si>
    <t>METAPRIM TABS</t>
  </si>
  <si>
    <t>SULPHAMETHOXAZOLE/TRIMETHOPRIM</t>
  </si>
  <si>
    <t>METAPRIM</t>
  </si>
  <si>
    <t>400mg/80mg</t>
  </si>
  <si>
    <t>METATONE 300ML</t>
  </si>
  <si>
    <t>MULTIVITAMINS/MULTIMINERALS</t>
  </si>
  <si>
    <t>METAZONE CREAM 30G</t>
  </si>
  <si>
    <t>CLOTRIMAZOLE/BETAMETHASONE/NEOMYCIN</t>
  </si>
  <si>
    <t>METAZONE 30G</t>
  </si>
  <si>
    <t>METFORMIN (SANDOZ) TABS 500MG</t>
  </si>
  <si>
    <t xml:space="preserve">METFORMIN 1000MG SANDOZ </t>
  </si>
  <si>
    <t xml:space="preserve">METFORMIN SANDOZ </t>
  </si>
  <si>
    <t>1000MG</t>
  </si>
  <si>
    <t>METFORMIN SR 1000MG TABS X56</t>
  </si>
  <si>
    <t>METFORMIN SR</t>
  </si>
  <si>
    <t>METHOCARBAMOL 500MG CAP (ROBAXIN)</t>
  </si>
  <si>
    <t xml:space="preserve">METHOCARBAMOL 500MG CAP </t>
  </si>
  <si>
    <t>ROBAXIN</t>
  </si>
  <si>
    <t>METHOTREXATE 10MG TABS</t>
  </si>
  <si>
    <t>METHOTREXATE</t>
  </si>
  <si>
    <t>METHOTREXATE 2.5MG X10</t>
  </si>
  <si>
    <t>METHYL DOPA 250MG TABS X100</t>
  </si>
  <si>
    <t>METHYL DOPA</t>
  </si>
  <si>
    <t xml:space="preserve">METHYLCELLULOSE EYE DROPS1%, </t>
  </si>
  <si>
    <t>METHYLCELLULOSE EYE DROPS1%</t>
  </si>
  <si>
    <t xml:space="preserve">Methylphenidate (Ritalin) 10mg </t>
  </si>
  <si>
    <t xml:space="preserve"> Methylphenidate (Ritalin) 10mg </t>
  </si>
  <si>
    <t>Ritalin</t>
  </si>
  <si>
    <t xml:space="preserve">10mg </t>
  </si>
  <si>
    <t>METHYLPHENIDATE TABS 10MG X28</t>
  </si>
  <si>
    <t>METHYLPREDNISOLONE 4 MG</t>
  </si>
  <si>
    <t>ANTI ALLERGY</t>
  </si>
  <si>
    <t xml:space="preserve">METHYLPREDNISOLONE ACETATE 20 MG INJECTION </t>
  </si>
  <si>
    <t xml:space="preserve">METHYLPREDNISOLONE ACETATE INJECTION </t>
  </si>
  <si>
    <t xml:space="preserve"> 20 MG </t>
  </si>
  <si>
    <t>METOCLOPRAMIDE 10MG TABS X28</t>
  </si>
  <si>
    <t>METOCLOPRAMIDE INJECTION 10MG/ML</t>
  </si>
  <si>
    <t>METOCLOPRAMIDE SYRUP 5MG/5ML  (HCL)</t>
  </si>
  <si>
    <t>Syrup</t>
  </si>
  <si>
    <t>Metocloprmide 5MG/5ML</t>
  </si>
  <si>
    <t xml:space="preserve">Metoclopramide </t>
  </si>
  <si>
    <t>5MG/5ML</t>
  </si>
  <si>
    <t>Gastrointestinal</t>
  </si>
  <si>
    <t>METOLAZONE 5MG</t>
  </si>
  <si>
    <t>METOLAZONE</t>
  </si>
  <si>
    <t>METOPROLOL TABS 100MG X28</t>
  </si>
  <si>
    <t>METOPROLOL TABS 50MG</t>
  </si>
  <si>
    <t>METOZ 2.5MG TABS X30</t>
  </si>
  <si>
    <t>METOZ</t>
  </si>
  <si>
    <t>METOZ 5MG TAB X30</t>
  </si>
  <si>
    <t>METRONE IV 100ML(METRONIDAZOLE)</t>
  </si>
  <si>
    <t>INTRAVENOUS (IV)</t>
  </si>
  <si>
    <t>METRONE100ML(METRONIDAZOLE)</t>
  </si>
  <si>
    <t>METRONIDAZOLE 200MG TABS X10</t>
  </si>
  <si>
    <t>METRONIDAZOLE 400MG TABS X10</t>
  </si>
  <si>
    <t>METRONIDAZOLE GEL 0.75% 30GM</t>
  </si>
  <si>
    <t>METRONIDAZOLE GEL</t>
  </si>
  <si>
    <t>METRONIDAZOLE INFUSION 100ML</t>
  </si>
  <si>
    <t>METRONIDAZOLE INFUSION</t>
  </si>
  <si>
    <t>METRONIDAZOLE SUSPENSION 200MG/5ML</t>
  </si>
  <si>
    <t>METRONIDAZOLE SUSPENSION</t>
  </si>
  <si>
    <t xml:space="preserve">METRONIDAZOLE SUSPENSION </t>
  </si>
  <si>
    <t>200MG/5ML</t>
  </si>
  <si>
    <t>METROTAB 200MG X10</t>
  </si>
  <si>
    <t>METROTAB</t>
  </si>
  <si>
    <t>METROTAB 400MG X10</t>
  </si>
  <si>
    <t>MICARDIS 40MG X28</t>
  </si>
  <si>
    <t>MICARDIS</t>
  </si>
  <si>
    <t>MICARDIS 80MG X 28</t>
  </si>
  <si>
    <t>MICONAZOLE CREAM</t>
  </si>
  <si>
    <t>Microdrop eye 10ml</t>
  </si>
  <si>
    <t>MICRODROP</t>
  </si>
  <si>
    <t>MICROFER CAPS X10</t>
  </si>
  <si>
    <t>MICROFER</t>
  </si>
  <si>
    <t>MICROFER SUSPENSION</t>
  </si>
  <si>
    <t>MICROGYNON 30 TABS UK X63</t>
  </si>
  <si>
    <t>MICROGYNON 30 (UK)</t>
  </si>
  <si>
    <t>MICROGYNON 30 X21</t>
  </si>
  <si>
    <t>ETHINYLESTRADIOL/LEVONORGESTREL</t>
  </si>
  <si>
    <t>MICROGYNON 30</t>
  </si>
  <si>
    <t>MICROGYNON FE TABS X28</t>
  </si>
  <si>
    <t>MICROGYNON FE</t>
  </si>
  <si>
    <t>MICROMOX 400MG TABS</t>
  </si>
  <si>
    <t>MOXIFLOXACIN</t>
  </si>
  <si>
    <t>MICROMOX</t>
  </si>
  <si>
    <t>MICRONAC SR 200MG X30</t>
  </si>
  <si>
    <t>MICRONAC SR</t>
  </si>
  <si>
    <t>MICRONOR TABS 3 X28</t>
  </si>
  <si>
    <t>NORETHISTERONE</t>
  </si>
  <si>
    <t>MICRONOR</t>
  </si>
  <si>
    <t>MICROPIRIN 75MG TABS X28</t>
  </si>
  <si>
    <t>ACETYL SALICYLATE</t>
  </si>
  <si>
    <t>MICROPIRIN</t>
  </si>
  <si>
    <t>MICROSL EYE DROP</t>
  </si>
  <si>
    <t>CHLORPHENIRAMINE/ BORIC ACID/ SODIUM CHLORIDE/ ZINC SULPHATE</t>
  </si>
  <si>
    <t>MICROSL</t>
  </si>
  <si>
    <t>MIDOZOL(DORZOLAMIDE+TIMOLOL) EYE DROP</t>
  </si>
  <si>
    <t>DORZOLAMIDE /TIMOLOL</t>
  </si>
  <si>
    <t>MIDOZOL</t>
  </si>
  <si>
    <t>MILK OF MAGNESIA B/S BOTTLE</t>
  </si>
  <si>
    <t>MILK OF MAGNESIA</t>
  </si>
  <si>
    <t>MILK OF MAGNESIA S/S 118ML PACKET</t>
  </si>
  <si>
    <t>MIM CAPS X30</t>
  </si>
  <si>
    <t>MIM</t>
  </si>
  <si>
    <t>MINOCYCLINE 100MG TABS X 28</t>
  </si>
  <si>
    <t>MINOCYCLINE</t>
  </si>
  <si>
    <t xml:space="preserve">Minoxidil 5mg </t>
  </si>
  <si>
    <t xml:space="preserve">Tab Minoxidil 5mg </t>
  </si>
  <si>
    <t>Minoxidil</t>
  </si>
  <si>
    <t xml:space="preserve">5mg </t>
  </si>
  <si>
    <t>MIRABEGRON (BETMIGA) 50MG</t>
  </si>
  <si>
    <t>MIRABEGRON</t>
  </si>
  <si>
    <t>BETMIGA 50MG</t>
  </si>
  <si>
    <t>15MG</t>
  </si>
  <si>
    <t>MISOCLEAR 200MG TABS X10</t>
  </si>
  <si>
    <t>MISTOPROSTOL</t>
  </si>
  <si>
    <t>MISOCLEAR</t>
  </si>
  <si>
    <t>MISOFEM TABS X12</t>
  </si>
  <si>
    <t>MISOFEM</t>
  </si>
  <si>
    <t>MISOPROSTOL TABS</t>
  </si>
  <si>
    <t>MISOPROSTOL</t>
  </si>
  <si>
    <t>CYTOTEC</t>
  </si>
  <si>
    <t>MISOPT EYE DROP</t>
  </si>
  <si>
    <t>MISOPT</t>
  </si>
  <si>
    <t>MIXTARD 30 100IU 10ML VIAL</t>
  </si>
  <si>
    <t>ISOPHANE INSULIN</t>
  </si>
  <si>
    <t>MIXTARD 30 VIAL</t>
  </si>
  <si>
    <t>100units/mL</t>
  </si>
  <si>
    <t>MIXTARD 30 PENFILL</t>
  </si>
  <si>
    <t>Soluble insulin human/isophane (NPH) insulin human</t>
  </si>
  <si>
    <t>3ML/300IU</t>
  </si>
  <si>
    <t>MODAFINIL 100MG TABS X30</t>
  </si>
  <si>
    <t>MODAFINIL</t>
  </si>
  <si>
    <t>MODAFINIL 200MG TABLETS</t>
  </si>
  <si>
    <t>MODAFINIL LETS</t>
  </si>
  <si>
    <t>MODURETIC TABS X 28</t>
  </si>
  <si>
    <t>AMILORIDE / HYDROCHLOROTHIAZIDE</t>
  </si>
  <si>
    <t>MODURETIC</t>
  </si>
  <si>
    <t>5mg/50mg</t>
  </si>
  <si>
    <t>MOKO BENZYL BENZOATE</t>
  </si>
  <si>
    <t>BENZYL BENZOATE</t>
  </si>
  <si>
    <t>MOKO BICARBONATE OF SODA</t>
  </si>
  <si>
    <t>BICARBONATE OF SODA</t>
  </si>
  <si>
    <t>MOKO CALAMINE LOTION</t>
  </si>
  <si>
    <t>CALAMINE LOTION</t>
  </si>
  <si>
    <t>100mls</t>
  </si>
  <si>
    <t>MOKO EPSOM SALT</t>
  </si>
  <si>
    <t>EPSON SALT</t>
  </si>
  <si>
    <t>MOKO GENTIAN VIOLET</t>
  </si>
  <si>
    <t>GENTIAN VIOLET</t>
  </si>
  <si>
    <t>MOKO GLYCERIN OF BORAX</t>
  </si>
  <si>
    <t>GLYCERIN BORAX</t>
  </si>
  <si>
    <t>MOKO IODINE</t>
  </si>
  <si>
    <t>IODINE</t>
  </si>
  <si>
    <t>MOKO LIQUID PARAFFIN</t>
  </si>
  <si>
    <t>LIQUID PARAFFIN</t>
  </si>
  <si>
    <t>MOKO LIQUID QUININE</t>
  </si>
  <si>
    <t>QUININE</t>
  </si>
  <si>
    <t>MOKO MAGNESIUM TRICILICATE</t>
  </si>
  <si>
    <t>MOKO METHYLATED SPIRIT</t>
  </si>
  <si>
    <t>METHYLATED SPIRIT</t>
  </si>
  <si>
    <t>MOKO MIST KAOLIN</t>
  </si>
  <si>
    <t>MIST KAOLIN</t>
  </si>
  <si>
    <t>MOKO MIST POT CITRATE</t>
  </si>
  <si>
    <t>MIST POT CITRATE</t>
  </si>
  <si>
    <t>MOKO NERVE AND BONE LINIMENT</t>
  </si>
  <si>
    <t>AMMONIUM BICARBONATE, OLEIC ACID, TURPENTINE OIL ETC</t>
  </si>
  <si>
    <t>NERVE AND BONE LINIMENT SKG</t>
  </si>
  <si>
    <t>MOMENTO SYRUP</t>
  </si>
  <si>
    <t>DESLORATADINE</t>
  </si>
  <si>
    <t>MOMENTO</t>
  </si>
  <si>
    <t>MOMENTO TABS X100</t>
  </si>
  <si>
    <t>MONOXIDINE 200MG</t>
  </si>
  <si>
    <t>MONTELUKAST 10MG TAB X28</t>
  </si>
  <si>
    <t>MONTELUKAST 4MG TABS X28</t>
  </si>
  <si>
    <t>MONTELUKAST 5MG TABS X28</t>
  </si>
  <si>
    <t>MONTIGET 10MG TABS</t>
  </si>
  <si>
    <t>MONTIGET</t>
  </si>
  <si>
    <t>MONTIGET 4MG TABS</t>
  </si>
  <si>
    <t>MONTIGET 5MG TABS</t>
  </si>
  <si>
    <t>Montral Tablet X14</t>
  </si>
  <si>
    <t>MONTELUKAST/LEVOCETIRIZINE</t>
  </si>
  <si>
    <t>MONTRAL</t>
  </si>
  <si>
    <t>MOSEGOR SYRUP</t>
  </si>
  <si>
    <t>PIZOTIFEN</t>
  </si>
  <si>
    <t>MOSEGOR</t>
  </si>
  <si>
    <t>0.5mg/10ml</t>
  </si>
  <si>
    <t>MOSEGOR TABS 0.5MG X30</t>
  </si>
  <si>
    <t>MOTILIUM TABS 10MG X30</t>
  </si>
  <si>
    <t>MOTILIUM</t>
  </si>
  <si>
    <t>MOXIFLOX EYE DROP(HESS)</t>
  </si>
  <si>
    <t>MOXIFLOX (HESS)</t>
  </si>
  <si>
    <t xml:space="preserve">MOXIFLOXACIN 400MG </t>
  </si>
  <si>
    <t>MOXIFLOXACIN 400MG TAB (AVELON)</t>
  </si>
  <si>
    <t>MOXIGET 400MG TABS</t>
  </si>
  <si>
    <t>MOXIGET S</t>
  </si>
  <si>
    <t>MULTAMIN SYRUP 200ML</t>
  </si>
  <si>
    <t>MULTIVITAMIN/MULTIMINERALS</t>
  </si>
  <si>
    <t>MULTAMIN 200ML</t>
  </si>
  <si>
    <t>Multivitamin (MIM DROPS)</t>
  </si>
  <si>
    <t>Multivitamin Drops</t>
  </si>
  <si>
    <t>MIM DROPS</t>
  </si>
  <si>
    <t>Multivitamin (Mumfer Syrup)</t>
  </si>
  <si>
    <t>Mumfer Syrup</t>
  </si>
  <si>
    <t>MULTIVITAMIN 100ML SYR  (MINADEX)</t>
  </si>
  <si>
    <t xml:space="preserve">MULTIVITAMIN SYR  </t>
  </si>
  <si>
    <t>MINADEX</t>
  </si>
  <si>
    <t>MULTIVITAMIN DROP (DALAVIT )</t>
  </si>
  <si>
    <t xml:space="preserve">MULTIVITAMIN DROP </t>
  </si>
  <si>
    <t>DARAVIT DROP</t>
  </si>
  <si>
    <t>MULTIVITAMIN SYR</t>
  </si>
  <si>
    <t>MULTIVITAMIN SYR (ABIDEC)</t>
  </si>
  <si>
    <t xml:space="preserve">ABIDEC SYR </t>
  </si>
  <si>
    <t>MULTIVITAMIN TAB</t>
  </si>
  <si>
    <t>MULTIVITE SYRUP</t>
  </si>
  <si>
    <t>MULTIVITAMIN (PALMITATE/ CHOLECALCIFEROL)</t>
  </si>
  <si>
    <t>MULTIVITE</t>
  </si>
  <si>
    <t>2500IU/ 200IU</t>
  </si>
  <si>
    <t>MUPIDERM OINT</t>
  </si>
  <si>
    <t>MUPIDERM</t>
  </si>
  <si>
    <t>MUPIROCIN CREAM</t>
  </si>
  <si>
    <t>MUPOSAN POWDER</t>
  </si>
  <si>
    <t>SORBITOL</t>
  </si>
  <si>
    <t>MYCOTA CREAM</t>
  </si>
  <si>
    <t>MYCOTA 25G</t>
  </si>
  <si>
    <t>25g</t>
  </si>
  <si>
    <t>MYCOTA POWDER</t>
  </si>
  <si>
    <t>ZINC UNDECYLENATE</t>
  </si>
  <si>
    <t>MYCOTEN CREAM</t>
  </si>
  <si>
    <t>MYCOTEN</t>
  </si>
  <si>
    <t>35g</t>
  </si>
  <si>
    <t>MYCOTEN VAG CREAM</t>
  </si>
  <si>
    <t>MYCOTEN VAG TABS</t>
  </si>
  <si>
    <t>MYCOTEN VAGS</t>
  </si>
  <si>
    <t>MYDRIACYL EYE DROP</t>
  </si>
  <si>
    <t>TROPICAMIDE</t>
  </si>
  <si>
    <t>MYDRIACYL</t>
  </si>
  <si>
    <t>MYMIN CAPS X30</t>
  </si>
  <si>
    <t>ESSENTIAL AMINO ACIDS/MULTIVITAMINS</t>
  </si>
  <si>
    <t>MYMIN</t>
  </si>
  <si>
    <t>MYMIN DROP</t>
  </si>
  <si>
    <t>NAMET 50MG TABS (CLOMIPHENE) X10</t>
  </si>
  <si>
    <t>NAMET</t>
  </si>
  <si>
    <t>NAPROXEN TABS 250MG</t>
  </si>
  <si>
    <t>NAPROXEN TABS 500MG X28</t>
  </si>
  <si>
    <t>NAT B CAPS X30</t>
  </si>
  <si>
    <t>VITAMINB6/ B12/ ETC</t>
  </si>
  <si>
    <t>NAT B</t>
  </si>
  <si>
    <t>NAT E CAPS</t>
  </si>
  <si>
    <t>NAT ES</t>
  </si>
  <si>
    <t>NATRILIX 2.5MG TABS X30</t>
  </si>
  <si>
    <t>INDAPAMIDE</t>
  </si>
  <si>
    <t>NATRILIX</t>
  </si>
  <si>
    <t>NATRILIX SR 1.5MG TABS X30</t>
  </si>
  <si>
    <t>NATRILIX SR</t>
  </si>
  <si>
    <t>NATRIXAM 10/1.5MG TABS</t>
  </si>
  <si>
    <t>AMLODIPINE / INDAPAMIDE</t>
  </si>
  <si>
    <t>NATRIXAM</t>
  </si>
  <si>
    <t>10mg/1.5mg</t>
  </si>
  <si>
    <t>NATRIXAM 5/1.5MG TABS</t>
  </si>
  <si>
    <t>Indapamide / Amlodipine</t>
  </si>
  <si>
    <t>5mg/1.5mg</t>
  </si>
  <si>
    <t>Nattoenzyme Tab</t>
  </si>
  <si>
    <t>NEBILONG H TABS X30</t>
  </si>
  <si>
    <t>NEBIVOLOL/ HYDROCHLOROTHIAZIDE</t>
  </si>
  <si>
    <t>NEBILONG H</t>
  </si>
  <si>
    <t>5/12.5</t>
  </si>
  <si>
    <t>NEBILONG TABS 5MG X30</t>
  </si>
  <si>
    <t>NEBIVOLOL</t>
  </si>
  <si>
    <t>NEBILONG</t>
  </si>
  <si>
    <t>NEBIVOLOL 5MG TABS x30</t>
  </si>
  <si>
    <t>NECK COLLAR MEDIUM (HARD)</t>
  </si>
  <si>
    <t>Needle &amp; Syringe</t>
  </si>
  <si>
    <t>NEEDLE &amp; SYRINGE</t>
  </si>
  <si>
    <t>NEO HEALAR SUPPOSITORY</t>
  </si>
  <si>
    <t>Neo healer suppositories</t>
  </si>
  <si>
    <t>NEO HEALER</t>
  </si>
  <si>
    <t>30GM</t>
  </si>
  <si>
    <t xml:space="preserve">Neo Healer Suppository </t>
  </si>
  <si>
    <t xml:space="preserve">Neo Healer </t>
  </si>
  <si>
    <t>NEO-MERCAZOLE 5MG TABS X100</t>
  </si>
  <si>
    <t>NEO-MERCAZOLE</t>
  </si>
  <si>
    <t>NEO-PENOTRAN FORTE</t>
  </si>
  <si>
    <t>MICONAZOLE/METRONIDAZOLE</t>
  </si>
  <si>
    <t>NEO-PRESOL LOTION</t>
  </si>
  <si>
    <t>METHYL PREDNISOLONE/NEOMYCIN</t>
  </si>
  <si>
    <t>NEOCLAV 457MG SYRUP</t>
  </si>
  <si>
    <t>NEOCLAV</t>
  </si>
  <si>
    <t>NEOCLAV 625MG TABS</t>
  </si>
  <si>
    <t>NEOFYLIN SYRUP 100ML</t>
  </si>
  <si>
    <t>CHLORPHENIRAMIN/ SODIUM CITRATE/ AMMONIUM CHLORIDE ETC</t>
  </si>
  <si>
    <t>NEOFYLIN 100ML</t>
  </si>
  <si>
    <t>NEOSKIN CREAM 20G</t>
  </si>
  <si>
    <t>CLOTRIMAZOLE/ BETAMETHASONE/ NEOMYCIN</t>
  </si>
  <si>
    <t>NEOSKIN 20G</t>
  </si>
  <si>
    <t>NEOSTIGMINE 2.5MG INJ X10</t>
  </si>
  <si>
    <t>NEOSTIGMINE</t>
  </si>
  <si>
    <t>NEOSTIGMINE METHYLSULPHATE 60MG TAB (PYRIDOSTIGMINE)</t>
  </si>
  <si>
    <t>60MG</t>
  </si>
  <si>
    <t>NEOTINCOL CREAM</t>
  </si>
  <si>
    <t>CLOBETASOL/ NEOMYCIN AND NYSTATIN</t>
  </si>
  <si>
    <t>NEOTINCOL</t>
  </si>
  <si>
    <t>NEPAFENAC EYE DROP</t>
  </si>
  <si>
    <t>NEPAFENAC</t>
  </si>
  <si>
    <t>NERVE AND BONE LINIMENT BOOTS</t>
  </si>
  <si>
    <t>AMMONIUM BICARBONATE/ OLEIC ACID/ TURPENTINE OIL ETC</t>
  </si>
  <si>
    <t>NEURACALM 150MG CAPS X30</t>
  </si>
  <si>
    <t>PREGABALIN/METHYLCOBALAMIN</t>
  </si>
  <si>
    <t>NEURACALM</t>
  </si>
  <si>
    <t>NEURACALM 75MG CAPS X30</t>
  </si>
  <si>
    <t>NEUROBION TABS X20</t>
  </si>
  <si>
    <t>VITAMIN B1, B6,B12</t>
  </si>
  <si>
    <t>NEUROBION X 30/PACK</t>
  </si>
  <si>
    <t>100mg/200mg/200mcg</t>
  </si>
  <si>
    <t>NEUROGESIC CREAM 85G</t>
  </si>
  <si>
    <t>NEUROGESIC 85G</t>
  </si>
  <si>
    <t>85g</t>
  </si>
  <si>
    <t>NEUROGESIC EXTRA CREAM 25G</t>
  </si>
  <si>
    <t>NEUROGESIC EXTRA 25G</t>
  </si>
  <si>
    <t>NEUROGESIC EXTRA CREAM 35G</t>
  </si>
  <si>
    <t>METHYL SALICYLATE/DICLOFENAC</t>
  </si>
  <si>
    <t>NEUROGESIC EXTRA 35G</t>
  </si>
  <si>
    <t>NEUROVIT FORTE TABS X100</t>
  </si>
  <si>
    <t>NEUROVIT FORTE</t>
  </si>
  <si>
    <t>242.5mg/250mg/1mg</t>
  </si>
  <si>
    <t>NEVAN EYE DROP</t>
  </si>
  <si>
    <t>NEVAN</t>
  </si>
  <si>
    <t>NEVANAC EYE DROP 5ML</t>
  </si>
  <si>
    <t>NEVANAC 5ML</t>
  </si>
  <si>
    <t>NEVIRAPINE 200MG TABS X60</t>
  </si>
  <si>
    <t>NEVIRAPINE</t>
  </si>
  <si>
    <t>NEXIUM 20MG X 14</t>
  </si>
  <si>
    <t>ESOMEPRAZOLE</t>
  </si>
  <si>
    <t>NEXIUM</t>
  </si>
  <si>
    <t>NEXIUM 40MG X 14</t>
  </si>
  <si>
    <t>NEXIUM INJECTION POWDER 40MG X10</t>
  </si>
  <si>
    <t>NEXIUM INJECTION SINGLE VIAL</t>
  </si>
  <si>
    <t>Nicotinic acid 50mg Tablet</t>
  </si>
  <si>
    <t xml:space="preserve">NICOTINIC ACID </t>
  </si>
  <si>
    <t>NIFECARD XL 30MG x 30</t>
  </si>
  <si>
    <t>NIFECARD</t>
  </si>
  <si>
    <t>NIFEDIN DEXCEL 20MG X 30</t>
  </si>
  <si>
    <t>NIFEDIPINE 20MG TAB</t>
  </si>
  <si>
    <t>NIFECURE</t>
  </si>
  <si>
    <t>NIFEDIPINE 30MG TAB (NIFECARD )</t>
  </si>
  <si>
    <t>NEFEDIPINE 30MG TAB</t>
  </si>
  <si>
    <t>NIFEGEM RETARD 20MG X20</t>
  </si>
  <si>
    <t>NIFEGEM RETARD</t>
  </si>
  <si>
    <t>NIGHT NURSE CAPS</t>
  </si>
  <si>
    <t>PROMETHAZINE/ PARACETAMOL/ DEXTROMETHORPHAN</t>
  </si>
  <si>
    <t>NIGHT NURSE</t>
  </si>
  <si>
    <t>NISE PLUS SYRUP</t>
  </si>
  <si>
    <t>CHORPHENIRAMINE/ PARACETAMOL ETC</t>
  </si>
  <si>
    <t>NISE PLUS</t>
  </si>
  <si>
    <t>NISE SYRUP</t>
  </si>
  <si>
    <t>CHLOPHENIRAMINE</t>
  </si>
  <si>
    <t>NISE</t>
  </si>
  <si>
    <t>NITRAZEPAM 5MG TAB</t>
  </si>
  <si>
    <t>SWIDON</t>
  </si>
  <si>
    <t>NITROFURANTOIN 100MG X28</t>
  </si>
  <si>
    <t>NITROFURANTOIN</t>
  </si>
  <si>
    <t>NIXODERM TUBE</t>
  </si>
  <si>
    <t>15g</t>
  </si>
  <si>
    <t>Nizoral Cream</t>
  </si>
  <si>
    <t>NIZORAL</t>
  </si>
  <si>
    <t>NIZORAL SHAMPOO</t>
  </si>
  <si>
    <t>NIZORAL SHAMPOO 60MLS</t>
  </si>
  <si>
    <t>NIZORAL TABS X 30</t>
  </si>
  <si>
    <t>NOCOF DROPS</t>
  </si>
  <si>
    <t>NOCOF DROP</t>
  </si>
  <si>
    <t>NORETHESTRONE TABS X30</t>
  </si>
  <si>
    <t>NORETHESTRONE</t>
  </si>
  <si>
    <t>NORFLEX TABS X20</t>
  </si>
  <si>
    <t>ORPHENADRINE</t>
  </si>
  <si>
    <t>NORFLEX</t>
  </si>
  <si>
    <t>NORGESIC TABS X20</t>
  </si>
  <si>
    <t>ORPHENADRINE/PARACETAMOL</t>
  </si>
  <si>
    <t>NORGESIC</t>
  </si>
  <si>
    <t>450mg/35mg</t>
  </si>
  <si>
    <t>Normal Saline</t>
  </si>
  <si>
    <t>NORMAL SALINE (IV) 500ML</t>
  </si>
  <si>
    <t>500ml</t>
  </si>
  <si>
    <t>NORMORETIC TABS X 100</t>
  </si>
  <si>
    <t>AMILORIDE HYDROCHLORIDE +HYDROCHLOROTHIAZIDE</t>
  </si>
  <si>
    <t>NORMORETIC</t>
  </si>
  <si>
    <t>NORVASC 10MG X 10</t>
  </si>
  <si>
    <t>NORVASC</t>
  </si>
  <si>
    <t>NORVASC 10MG X30</t>
  </si>
  <si>
    <t>NORVASC 5MG X 10</t>
  </si>
  <si>
    <t>NOSPA 40MG/ML INJECTION X25</t>
  </si>
  <si>
    <t>DROTAVERIN</t>
  </si>
  <si>
    <t>NOSPA</t>
  </si>
  <si>
    <t>NOSPA TABS X 100</t>
  </si>
  <si>
    <t>DROTAVERINE HYDROCHLORIDE</t>
  </si>
  <si>
    <t>NOSPAMIN DROPS</t>
  </si>
  <si>
    <t>HOMATRIPINE METHYLBROMIDE</t>
  </si>
  <si>
    <t>2mg/ml</t>
  </si>
  <si>
    <t>NOVALYN COUGH LINCTUS</t>
  </si>
  <si>
    <t>SODIUM CITRATE/ MENTHOL/ DIPHENHYDRAMINE ETC</t>
  </si>
  <si>
    <t>Novo Rapid Flexpen</t>
  </si>
  <si>
    <t>NOVO RAPID FLEXPEN</t>
  </si>
  <si>
    <t>NOVOMIX INSULIN 70/30 100IU</t>
  </si>
  <si>
    <t>NOVOMIX INSULIN 70/30 INJECTION</t>
  </si>
  <si>
    <t xml:space="preserve">Novotwist Pen Needle </t>
  </si>
  <si>
    <t>Novotwist Pen Needle x 100</t>
  </si>
  <si>
    <t>NOVOTWIST NEEDLE</t>
  </si>
  <si>
    <t>NUROFEN 200MG TABS X 12</t>
  </si>
  <si>
    <t>NUROFEN</t>
  </si>
  <si>
    <t>NUROFEN 400MG TABS X12</t>
  </si>
  <si>
    <t>NYSTATIN ORAL TABS</t>
  </si>
  <si>
    <t>NYSTATIN</t>
  </si>
  <si>
    <t>500,000IU</t>
  </si>
  <si>
    <t>NYSTATIN SYRUP</t>
  </si>
  <si>
    <t>NYSTATIN 100,000IU 60ML ORAL SUSP</t>
  </si>
  <si>
    <t>100000IU</t>
  </si>
  <si>
    <t>NYSTATIN VAG TABS</t>
  </si>
  <si>
    <t>NYSTATIN VAGINAL</t>
  </si>
  <si>
    <t>NYTOL 25MG TABS X20</t>
  </si>
  <si>
    <t>DIPHENHYDRAMINE</t>
  </si>
  <si>
    <t>NYTOL</t>
  </si>
  <si>
    <t>OCEFIX 200MG TAB X10</t>
  </si>
  <si>
    <t>OCEFIX</t>
  </si>
  <si>
    <t>OCEFIX 400MG TAB X10</t>
  </si>
  <si>
    <t>OCEFIX SUSPENSION 100ML</t>
  </si>
  <si>
    <t>OCEFIX 100ML</t>
  </si>
  <si>
    <t>OCEFIX SUSPENSION 60ML</t>
  </si>
  <si>
    <t>OCEFIX 60ML</t>
  </si>
  <si>
    <t>OCEXONE 1G INJECTION</t>
  </si>
  <si>
    <t>OCEXONE</t>
  </si>
  <si>
    <t>OCIPRO 500MG TABS</t>
  </si>
  <si>
    <t>OCIPRO</t>
  </si>
  <si>
    <t>OCUDEX EYE DROP</t>
  </si>
  <si>
    <t>OCUDEX</t>
  </si>
  <si>
    <t>OCULLERGE EYE DROP</t>
  </si>
  <si>
    <t>ANTAZOLINE/TETRAHYDROXOLINE</t>
  </si>
  <si>
    <t>OCULLERGE</t>
  </si>
  <si>
    <t>0.05%/0.04%</t>
  </si>
  <si>
    <t>OCUVITE EYE CAP</t>
  </si>
  <si>
    <t>OFLOMED TABS X10</t>
  </si>
  <si>
    <t>OFLOXACIN OFLOMED/PACK</t>
  </si>
  <si>
    <t>OFLOMED</t>
  </si>
  <si>
    <t>OFLOXACIN 200MG TAB</t>
  </si>
  <si>
    <t>OFLOXACIN 400MG TAB</t>
  </si>
  <si>
    <t>Ofloxacin eye/ear drop (Generic)</t>
  </si>
  <si>
    <t>EYE/EAR DROP</t>
  </si>
  <si>
    <t>OFLOXACIN EYE/EAR DROP</t>
  </si>
  <si>
    <t>OFLOXACIN TABS VPL</t>
  </si>
  <si>
    <t>OFLOXACIN VPL</t>
  </si>
  <si>
    <t>OLANZA-10 TABS X28</t>
  </si>
  <si>
    <t>OLANZEPINE</t>
  </si>
  <si>
    <t>OLANZA-10</t>
  </si>
  <si>
    <t>OLANZA-5 TABS X28</t>
  </si>
  <si>
    <t>OLANZA-5</t>
  </si>
  <si>
    <t>OLANZEPINE 10MG X28</t>
  </si>
  <si>
    <t>OLANZEPINE 2.5MG X28</t>
  </si>
  <si>
    <t>OLANZEPINE 5MG X28</t>
  </si>
  <si>
    <t>OLBAS INHALER STICK</t>
  </si>
  <si>
    <t>OLBAS OIL 10ML</t>
  </si>
  <si>
    <t>OLBAS OIL FOR CHILDREN 10ML</t>
  </si>
  <si>
    <t>OLFEN 100MG SR</t>
  </si>
  <si>
    <t>OLFEN SR</t>
  </si>
  <si>
    <t>OLFEN 50MG LACTAB</t>
  </si>
  <si>
    <t>OLFEN LAC</t>
  </si>
  <si>
    <t>OLFEN 75MG SR DEPOTAB</t>
  </si>
  <si>
    <t>OLFEN SR DEPO</t>
  </si>
  <si>
    <t>OLFEN 75MG/2ML X5</t>
  </si>
  <si>
    <t>OLFEN</t>
  </si>
  <si>
    <t>OLFEN GEL 50G</t>
  </si>
  <si>
    <t>OLMETEC 40MG TABS X28</t>
  </si>
  <si>
    <t>OLMESARTAN</t>
  </si>
  <si>
    <t>OLMETEC</t>
  </si>
  <si>
    <t>OLMETEC PLUS 20/12.5MG TABS X28</t>
  </si>
  <si>
    <t>OLMESARTAN/HYDROCHLOROTHIAZIDE</t>
  </si>
  <si>
    <t>OLMETEC PLUS</t>
  </si>
  <si>
    <t>OLMEZAAR 20MG X30</t>
  </si>
  <si>
    <t>OLMEZAAR</t>
  </si>
  <si>
    <t>OLMEZAAR 40MG X30</t>
  </si>
  <si>
    <t>OLOPATADINE EYE DROP (HESS)</t>
  </si>
  <si>
    <t>OLOPATADINE</t>
  </si>
  <si>
    <t>OLOPATADINE (HESS)</t>
  </si>
  <si>
    <t>OLPADIN EYE DROP</t>
  </si>
  <si>
    <t>OLPADIN</t>
  </si>
  <si>
    <t>OLZAPIN 10MG TABS</t>
  </si>
  <si>
    <t>OLZAPIN</t>
  </si>
  <si>
    <t>OLZAPIN 5MG TABS</t>
  </si>
  <si>
    <t>OMEFAST CAP X 20</t>
  </si>
  <si>
    <t>OMEFAST</t>
  </si>
  <si>
    <t>OMEFAST PLUS CAPS</t>
  </si>
  <si>
    <t>OMEPRAZOLE/CLARITHROMYCIN/TINIDAZOLE</t>
  </si>
  <si>
    <t>OMEFAST PLUS</t>
  </si>
  <si>
    <t>20mg/250mg/500mg</t>
  </si>
  <si>
    <t>OMEGA 3 CAP</t>
  </si>
  <si>
    <t>DARAVIT OMEGA 3</t>
  </si>
  <si>
    <t>OMEGA H3 CAP</t>
  </si>
  <si>
    <t>OMEGA PLUS CAPS X30</t>
  </si>
  <si>
    <t>OMEGA 3/ 6/ 9</t>
  </si>
  <si>
    <t>OMEGA PLUS</t>
  </si>
  <si>
    <t>OMEPRAZOLE 20MG CAPS X28</t>
  </si>
  <si>
    <t>OMEPRAZOLE 40MG CAPS X28</t>
  </si>
  <si>
    <t>OMEPRAZOLE 40MG INJECTION</t>
  </si>
  <si>
    <t>OMEZ 20MG X10</t>
  </si>
  <si>
    <t>OMEZ</t>
  </si>
  <si>
    <t>OMEZOLE TABS X28</t>
  </si>
  <si>
    <t>ONDASETRON 4MG TABS X30</t>
  </si>
  <si>
    <t>ONDASETRON</t>
  </si>
  <si>
    <t>ONDASETRON 4MG/ML INJ (ZOFRAN)</t>
  </si>
  <si>
    <t>ZOFRAN 4MG/ML</t>
  </si>
  <si>
    <t>ONDASETRON 8MG TABS</t>
  </si>
  <si>
    <t xml:space="preserve">Optodexine Eye Drop </t>
  </si>
  <si>
    <t>Optodexine</t>
  </si>
  <si>
    <t>OPTOVISC EYE DROP</t>
  </si>
  <si>
    <t>HYDROXYPROPYLMETHYLCELLULOSE</t>
  </si>
  <si>
    <t>OPTOVISC</t>
  </si>
  <si>
    <t>OPTREX ALLERGY EYE DROP 10ML</t>
  </si>
  <si>
    <t>OPTREX ALLERGY</t>
  </si>
  <si>
    <t>OPTREX ALLERGY 10ML</t>
  </si>
  <si>
    <t>ORAL MORPHINE 100MG/5ML</t>
  </si>
  <si>
    <t>MORPHINE</t>
  </si>
  <si>
    <t>ANALGESICS</t>
  </si>
  <si>
    <t>ORAL REHYDRATION SALTS</t>
  </si>
  <si>
    <t>ORAMORPH 100ML SYRUP</t>
  </si>
  <si>
    <t>ORAMORPH 100ML</t>
  </si>
  <si>
    <t>ORAXIN SYRUP 200ML</t>
  </si>
  <si>
    <t>CIPROHEPTADINE</t>
  </si>
  <si>
    <t>ORAXIN</t>
  </si>
  <si>
    <t>ORELOX 100MG X 10</t>
  </si>
  <si>
    <t>CEFPODOXIME</t>
  </si>
  <si>
    <t>ORELOX</t>
  </si>
  <si>
    <t>ORELOX 200MG X 10</t>
  </si>
  <si>
    <t>ORELOX 40MG/5ML X 100ML</t>
  </si>
  <si>
    <t>ORELOX 40MG/5ML X 50ML</t>
  </si>
  <si>
    <t>40mg/5ml</t>
  </si>
  <si>
    <t>ORHEPTAL CAPS</t>
  </si>
  <si>
    <t>ORHEPTAL</t>
  </si>
  <si>
    <t>ORHEPTAL LIQUID B/S</t>
  </si>
  <si>
    <t>IRON/ MULTIVITAMINS ETC</t>
  </si>
  <si>
    <t>ORNIDAZOLE/OFLOXACIN 100MG/500MG TAB  (ORNILOX)</t>
  </si>
  <si>
    <t xml:space="preserve">ORNILOX 100MG/500MG TAB  </t>
  </si>
  <si>
    <t>100MG/500MG</t>
  </si>
  <si>
    <t>OROFER CAPS</t>
  </si>
  <si>
    <t>OROFER</t>
  </si>
  <si>
    <t>OROFER SYRUP</t>
  </si>
  <si>
    <t>IRON (III) HYDROCIDE POLYMALTOSE COMPLEX SYRUP</t>
  </si>
  <si>
    <t>OROFER 150ML</t>
  </si>
  <si>
    <t>Orphenadrine 100mg tab</t>
  </si>
  <si>
    <t>ORPHESIC</t>
  </si>
  <si>
    <t>ORPHESIC TABS X20</t>
  </si>
  <si>
    <t>PARACETAMOL/ORPHENADRINE</t>
  </si>
  <si>
    <t>500/35mg</t>
  </si>
  <si>
    <t>ORPHETAB TABS X20</t>
  </si>
  <si>
    <t>ORPHETAB</t>
  </si>
  <si>
    <t>ORS CO -PACK</t>
  </si>
  <si>
    <t>SODIUM CHLORIDE/ POTASSIUM CHLORIDE ETC</t>
  </si>
  <si>
    <t>ORTHOTIC - LUMBAR CORSET</t>
  </si>
  <si>
    <t>MEDIUM</t>
  </si>
  <si>
    <t>ORUVAIL CAPS 200MG X28</t>
  </si>
  <si>
    <t>ORUVAIL</t>
  </si>
  <si>
    <t>OTO-MED EAR DROP</t>
  </si>
  <si>
    <t>NEOMYCIN</t>
  </si>
  <si>
    <t>OTOMED</t>
  </si>
  <si>
    <t>8ml</t>
  </si>
  <si>
    <t>OTRIVIN CHILDREN DROP UK</t>
  </si>
  <si>
    <t>XYLOMETAZOLINE</t>
  </si>
  <si>
    <t>OTRIVIN SINUSITIS SPRAY</t>
  </si>
  <si>
    <t>OXY 5 ( 5% BENZOYL PEROXIDE) CREAM</t>
  </si>
  <si>
    <t>BENZOYL PEROXIDE)</t>
  </si>
  <si>
    <t>OXY 5</t>
  </si>
  <si>
    <t>OXYCORTRIL B EYE OINTMENT 5G</t>
  </si>
  <si>
    <t>OXYTETRACYCLINE/ HYDROCORTISONE/ POLYMYXIN</t>
  </si>
  <si>
    <t>OXYCORTRIL B 5G</t>
  </si>
  <si>
    <t>OXYTOCIN INJECTION X10</t>
  </si>
  <si>
    <t>OXYTOCIN</t>
  </si>
  <si>
    <t>OXYUREA 500MG CAPS X30</t>
  </si>
  <si>
    <t>OXYUREA</t>
  </si>
  <si>
    <t>OZACE 5MG ORODISP TABS X30</t>
  </si>
  <si>
    <t>OLANZAPINE</t>
  </si>
  <si>
    <t>OZACE ORODISP</t>
  </si>
  <si>
    <t>OZACE10MG ORODISP TABS X30</t>
  </si>
  <si>
    <t>P-ALAXIN SUSPENSION</t>
  </si>
  <si>
    <t>P-ALAXIN</t>
  </si>
  <si>
    <t>80mg/640mg</t>
  </si>
  <si>
    <t>P-ALAXIN TABS</t>
  </si>
  <si>
    <t>DIHYDROARTEMISININ + PIPERAQUINE</t>
  </si>
  <si>
    <t>PAEDIATRIC ZINC SULPHATE TABS X10</t>
  </si>
  <si>
    <t>ZINC SULPHATE</t>
  </si>
  <si>
    <t>PAEDIATRIC ZINC SULPHATE</t>
  </si>
  <si>
    <t>PALUDRINE TABS 100MG X 100</t>
  </si>
  <si>
    <t>PROGUANIL</t>
  </si>
  <si>
    <t>PALUDRINE</t>
  </si>
  <si>
    <t>Panadol advance 500mg tab</t>
  </si>
  <si>
    <t>PARACETAMOL 500MG</t>
  </si>
  <si>
    <t>PANADOL ADVANCE</t>
  </si>
  <si>
    <t>PANADOL EXTRA TABS X100</t>
  </si>
  <si>
    <t>PARACETAMOL/CAFFEINE</t>
  </si>
  <si>
    <t>PANADOL EXTRA</t>
  </si>
  <si>
    <t>500/65mg</t>
  </si>
  <si>
    <t>PANADOL TABS X 10</t>
  </si>
  <si>
    <t>PANADOL 4</t>
  </si>
  <si>
    <t>PANDA DROPS</t>
  </si>
  <si>
    <t>PANDA SYRUP</t>
  </si>
  <si>
    <t>PANDA</t>
  </si>
  <si>
    <t>PANFOR SR 1000MG X100</t>
  </si>
  <si>
    <t>PANFOR</t>
  </si>
  <si>
    <t>PANFOR SR 500MG X100</t>
  </si>
  <si>
    <t>PANOXYL ( 10% BENZOYL PEROXIDE) FACE WASH</t>
  </si>
  <si>
    <t>FACE WASH</t>
  </si>
  <si>
    <t>BENZOYL PEROXIDE</t>
  </si>
  <si>
    <t>PANOXYL</t>
  </si>
  <si>
    <t>PANTOPRAZOLE TABS 20MG X28</t>
  </si>
  <si>
    <t>PANTOPRAZOLE</t>
  </si>
  <si>
    <t>PANTOPRAZOLE TABS 40MG X28</t>
  </si>
  <si>
    <t>PARACETAMOL 150MG SUPP</t>
  </si>
  <si>
    <t>Acetaminophen</t>
  </si>
  <si>
    <t>125MG</t>
  </si>
  <si>
    <t>PARACETAMOL 325MG / TRAMADOL 37.5MG CAP</t>
  </si>
  <si>
    <t>ANTALGEX-T</t>
  </si>
  <si>
    <t>325MG</t>
  </si>
  <si>
    <t>Paracetamol 500mg &amp; Diclofenac Sodium 50mg</t>
  </si>
  <si>
    <t>500/50MG</t>
  </si>
  <si>
    <t>PARACETAMOL INJECTION 2ML X10</t>
  </si>
  <si>
    <t>300mg/2ml</t>
  </si>
  <si>
    <t>PARACETAMOL SUPP X10</t>
  </si>
  <si>
    <t>PARACETAMOL SUSPENSION S/FREE 100ML</t>
  </si>
  <si>
    <t>PARACETAMOL S/FREE 100ML</t>
  </si>
  <si>
    <t>PARACETAMOL TABLET 1g X10</t>
  </si>
  <si>
    <t>PARACETAMOL X96</t>
  </si>
  <si>
    <t>PARLODEL TABS X30</t>
  </si>
  <si>
    <t>BROMOCRIPTINE</t>
  </si>
  <si>
    <t>PARLODEL</t>
  </si>
  <si>
    <t>PEFLOTAB 400MG</t>
  </si>
  <si>
    <t>PEFLO</t>
  </si>
  <si>
    <t>PENGESIC 50MG TAB X100</t>
  </si>
  <si>
    <t>TRAMADOL</t>
  </si>
  <si>
    <t>PENGESIC</t>
  </si>
  <si>
    <t>PENICILLIN EYE OINTMENT</t>
  </si>
  <si>
    <t>PENICILLIN</t>
  </si>
  <si>
    <t>PENICILLIN SKIN OINTMENT</t>
  </si>
  <si>
    <t>PENICILLIN SKIN</t>
  </si>
  <si>
    <t>PENICILLIN V SYRUP 250MG 100ML</t>
  </si>
  <si>
    <t>PHENOXYMETHYLPENICILLIN</t>
  </si>
  <si>
    <t>PENICILLIN V 100ML</t>
  </si>
  <si>
    <t>PENICILLIN VK 250MG TAB X28</t>
  </si>
  <si>
    <t>PENICILLIN V</t>
  </si>
  <si>
    <t>Pentoxifylline 400mg tablet</t>
  </si>
  <si>
    <t>Pentoxifylline 400mg tablet (TRENTAL)</t>
  </si>
  <si>
    <t>PEPSID PLUS T/A SUSPENSION 240ML</t>
  </si>
  <si>
    <t>FAMOTIDINE</t>
  </si>
  <si>
    <t>PEPSID PLUS T/A 240ML</t>
  </si>
  <si>
    <t>240ml</t>
  </si>
  <si>
    <t>RANITIDINE</t>
  </si>
  <si>
    <t>PEPTIKIT CAPS</t>
  </si>
  <si>
    <t>LANSOPRAZOLE / CLARITHROMYCIN / TINIDAZOLE</t>
  </si>
  <si>
    <t>PEPTIKITS</t>
  </si>
  <si>
    <t>300mg/250mg/500mg</t>
  </si>
  <si>
    <t>PERGLIM 1MG TABS</t>
  </si>
  <si>
    <t>PERGLIM</t>
  </si>
  <si>
    <t>PERGLIM 2MG TABS</t>
  </si>
  <si>
    <t>PERGLIM 4MG TABS X30</t>
  </si>
  <si>
    <t>PERGLIM M-1 TABS</t>
  </si>
  <si>
    <t>GLIMEPIRIDE / METFORMIN HYDROCHLORIDE</t>
  </si>
  <si>
    <t>PERGLIM M-1</t>
  </si>
  <si>
    <t>1mg/500mg</t>
  </si>
  <si>
    <t>PERGLIM M-2 TABS</t>
  </si>
  <si>
    <t>PERGLIM M-2</t>
  </si>
  <si>
    <t>peridopril/amlodipine/indapamide 10/10/1.5mg</t>
  </si>
  <si>
    <t>10/10/1.5MG</t>
  </si>
  <si>
    <t>PERIKACIN TABS X10</t>
  </si>
  <si>
    <t>PERFLOXACIN</t>
  </si>
  <si>
    <t>PERIKACIN</t>
  </si>
  <si>
    <t>PERILON TABS X 100</t>
  </si>
  <si>
    <t>PREDNISOLONE</t>
  </si>
  <si>
    <t>PERILON</t>
  </si>
  <si>
    <t>PERINDOPRIL 2MG X30</t>
  </si>
  <si>
    <t>PERINDOPRIL 4MG X30</t>
  </si>
  <si>
    <t>PERINDOPRIL 8MG X30</t>
  </si>
  <si>
    <t>PERMETHRIN CREAM 1%</t>
  </si>
  <si>
    <t>PHARMATON CAPSULES</t>
  </si>
  <si>
    <t>PHARMATON</t>
  </si>
  <si>
    <t>PHENEGAN ELIXIR</t>
  </si>
  <si>
    <t>PHENEGAN TABS 25MG X 56</t>
  </si>
  <si>
    <t>PHENEGAN</t>
  </si>
  <si>
    <t>PHENOBARBITONE 15MG/5ML SYRUP</t>
  </si>
  <si>
    <t>PHENOBARBITONE SYRUP</t>
  </si>
  <si>
    <t>15MG/5ML</t>
  </si>
  <si>
    <t>PHENOBARBITONE 60MG TABS</t>
  </si>
  <si>
    <t>PHENOBARBITONE</t>
  </si>
  <si>
    <t>PHENOBARBITONE TABS X28</t>
  </si>
  <si>
    <t>Phenoxymethyl- Penicillin suspension 250mg/5ml</t>
  </si>
  <si>
    <t xml:space="preserve">Phenoxymethyl- Penicillin suspension </t>
  </si>
  <si>
    <t>Phenoxymethyl- Penicillin tab250mg</t>
  </si>
  <si>
    <t>PHENYTOIN 100MG CAP</t>
  </si>
  <si>
    <t xml:space="preserve">PHENYTOIN 100MG </t>
  </si>
  <si>
    <t>Phloroglucinol 80mg</t>
  </si>
  <si>
    <t>PARACETAMOL/DIPHENHYDRAMINE</t>
  </si>
  <si>
    <t>PICCAN</t>
  </si>
  <si>
    <t>Piccan Syrup</t>
  </si>
  <si>
    <t xml:space="preserve">Piccan </t>
  </si>
  <si>
    <t>PIDOGREL 75MG TABS</t>
  </si>
  <si>
    <t>CLOPIDOGRELS</t>
  </si>
  <si>
    <t>PIDOGRELS</t>
  </si>
  <si>
    <t>PILAT INJECTION x10</t>
  </si>
  <si>
    <t>PENTAZOCINE</t>
  </si>
  <si>
    <t>PILAT</t>
  </si>
  <si>
    <t>30mg/ml</t>
  </si>
  <si>
    <t>PILOCARPINE 4% EYE DROP(MATDALE)</t>
  </si>
  <si>
    <t>PILOCARPINE</t>
  </si>
  <si>
    <t>PILOCARPINE (MARTINDALE)</t>
  </si>
  <si>
    <t>PILOCARPINE EYE DROP 2%</t>
  </si>
  <si>
    <t>Pilorem 10/80mg</t>
  </si>
  <si>
    <t>TELMISARTAN /AMLODIPINE</t>
  </si>
  <si>
    <t>PILOREM</t>
  </si>
  <si>
    <t>80/10mg</t>
  </si>
  <si>
    <t>PIODAB 15MG TABS</t>
  </si>
  <si>
    <t>PIOGLITAZONE</t>
  </si>
  <si>
    <t>PIODAB</t>
  </si>
  <si>
    <t>PIODAB 30MG TABS</t>
  </si>
  <si>
    <t>PIOGLITAZONE 15MG TAB</t>
  </si>
  <si>
    <t>Pioglitazone X30</t>
  </si>
  <si>
    <t>PIONORM 15MG TABS</t>
  </si>
  <si>
    <t>PIONORM</t>
  </si>
  <si>
    <t>PIONORM 30MG TAB</t>
  </si>
  <si>
    <t>PIONORM M 15 TABS X30</t>
  </si>
  <si>
    <t>PIOGLITAZONE/METFORMIN</t>
  </si>
  <si>
    <t>PIONORM M</t>
  </si>
  <si>
    <t>15mg/500mg</t>
  </si>
  <si>
    <t>PIONORM M 30 TABS X30</t>
  </si>
  <si>
    <t>30mg/500mg</t>
  </si>
  <si>
    <t>PIOTAZONE TAB 30MG X30</t>
  </si>
  <si>
    <t>PIOTAZONE</t>
  </si>
  <si>
    <t>Piperacillin/Sulbactam Pack</t>
  </si>
  <si>
    <t>IV Piperacillin/Sulbactam Pack</t>
  </si>
  <si>
    <t>Piperacillin/Sulbactam</t>
  </si>
  <si>
    <t>4g/0.5g</t>
  </si>
  <si>
    <t>PIRITON SYRUP 150ML UK</t>
  </si>
  <si>
    <t>PIRITON 60ML NIG</t>
  </si>
  <si>
    <t>PIRITON SYRUP 60ML NIG</t>
  </si>
  <si>
    <t>PIRITON TABS X10</t>
  </si>
  <si>
    <t>PIRITON</t>
  </si>
  <si>
    <t>PIROXICAM 20MG CAPS X100</t>
  </si>
  <si>
    <t>PIROXICAM INJECTION</t>
  </si>
  <si>
    <t>20mg/ml</t>
  </si>
  <si>
    <t>PLADOX 75MG TABS X30</t>
  </si>
  <si>
    <t>PLADOX</t>
  </si>
  <si>
    <t>PLAGERINE 75MG TABS X30</t>
  </si>
  <si>
    <t>PLAGERINE</t>
  </si>
  <si>
    <t>PLENDIL TAB 5MG X 30</t>
  </si>
  <si>
    <t>FELODIPINE</t>
  </si>
  <si>
    <t>PLENDIL</t>
  </si>
  <si>
    <t>PLENDIL TABS 10MG X 30</t>
  </si>
  <si>
    <t>PODOPHYLLIN PAINT</t>
  </si>
  <si>
    <t>PAINT</t>
  </si>
  <si>
    <t>PODOPHYLLIN</t>
  </si>
  <si>
    <t>PODOPHYLLIN SOLUTION</t>
  </si>
  <si>
    <t xml:space="preserve">PODOPHYLLIN </t>
  </si>
  <si>
    <t>POLYGEL SUSPENSION 200ML</t>
  </si>
  <si>
    <t>POLYFORT 200ML</t>
  </si>
  <si>
    <t>POLYGYNAX VAG PESS</t>
  </si>
  <si>
    <t>NEOMYCIN/NYSTATIN/POLYMYXIN B</t>
  </si>
  <si>
    <t>POLYGYNAX</t>
  </si>
  <si>
    <t>POSTINOR 2 TABS</t>
  </si>
  <si>
    <t>LEVONORGESTRIL</t>
  </si>
  <si>
    <t>POSTINOR 2</t>
  </si>
  <si>
    <t>0.75mg</t>
  </si>
  <si>
    <t>POSTPILL 150MCG TABS</t>
  </si>
  <si>
    <t>POSTPILL</t>
  </si>
  <si>
    <t>150mcg</t>
  </si>
  <si>
    <t>Posture corrector brace</t>
  </si>
  <si>
    <t>POSTURE CORRECTOR BRACE</t>
  </si>
  <si>
    <t>Potenza (Amlodipine 5mg/Valsartan 160mg)</t>
  </si>
  <si>
    <t>AMLODIPINE /VALSARTAN</t>
  </si>
  <si>
    <t>POTENZA</t>
  </si>
  <si>
    <t>5mg/160mg</t>
  </si>
  <si>
    <t>Povidone-Iodine Topical Cream 20g</t>
  </si>
  <si>
    <t xml:space="preserve">BETADINE </t>
  </si>
  <si>
    <t>PRADAXA 110mg (Pradaxa)</t>
  </si>
  <si>
    <t>DABIGATRAN</t>
  </si>
  <si>
    <t>PRADAXA</t>
  </si>
  <si>
    <t>110MG</t>
  </si>
  <si>
    <t>PRADAXA 110MG CAPS X60</t>
  </si>
  <si>
    <t>PRADAXA 150MG CAPS X60</t>
  </si>
  <si>
    <t>DABIGATRIN</t>
  </si>
  <si>
    <t>PRANDIN 0.5MG TAB X30</t>
  </si>
  <si>
    <t>REPAGLINIDE</t>
  </si>
  <si>
    <t>PRANDIN</t>
  </si>
  <si>
    <t>PRANDIN 1MG TABS X28</t>
  </si>
  <si>
    <t>PRANDIN 2MG X 90</t>
  </si>
  <si>
    <t>Pravacet Plus Eye Drops</t>
  </si>
  <si>
    <t xml:space="preserve">Pravacet </t>
  </si>
  <si>
    <t>0.004%/0.5%</t>
  </si>
  <si>
    <t>PRAVASTATIN 10MG TABS X28</t>
  </si>
  <si>
    <t>PRAVASTATIN</t>
  </si>
  <si>
    <t>PRAVASTATIN 20MG TABS X28</t>
  </si>
  <si>
    <t>PRAVASTATIN 40MG TABS X28</t>
  </si>
  <si>
    <t>PREDNISOLONE TABS 5MG 28</t>
  </si>
  <si>
    <t>PREDSOL EYE DROP</t>
  </si>
  <si>
    <t>PREDSOL</t>
  </si>
  <si>
    <t>PREGASAFE 150MG CAP X30</t>
  </si>
  <si>
    <t>PREGASAFE</t>
  </si>
  <si>
    <t>PREGASAFE 300MG CAPS X30</t>
  </si>
  <si>
    <t>PREGASAFE 75MG CAPS X30</t>
  </si>
  <si>
    <t>PREGNACARE CONCEPTION TABS X30</t>
  </si>
  <si>
    <t>MULTIVITAMIN/ MULTIMINERALS/ INOSITOL/ CO Q 10/ N-ACETYL CYSTEINE/ BETACAROTENE</t>
  </si>
  <si>
    <t>PREGNACARE CONCEPTION</t>
  </si>
  <si>
    <t>PREGNACARE MAX CAPS</t>
  </si>
  <si>
    <t>MULTIVITAMINS/ MULTIMINERALS/ OMEGA 3</t>
  </si>
  <si>
    <t>PREGNACARE MAX</t>
  </si>
  <si>
    <t>PREGNACARE TABS X30</t>
  </si>
  <si>
    <t>MULTIVITAMIN/ MULTIMINERALS</t>
  </si>
  <si>
    <t>PREGNACARE</t>
  </si>
  <si>
    <t>PREMARIN TABS 0.625 84</t>
  </si>
  <si>
    <t>CONJUGATED ESTROGENS</t>
  </si>
  <si>
    <t>PREMARIN</t>
  </si>
  <si>
    <t>0.625mg</t>
  </si>
  <si>
    <t>PREMARIN TABS 1.250 X 84</t>
  </si>
  <si>
    <t>1.250mg</t>
  </si>
  <si>
    <t>PREPARATION H OINTMENT 25GM</t>
  </si>
  <si>
    <t>GLYCERIN/ PHENYLEPHRINE/ PRAMOXINE/ PETROLATUM</t>
  </si>
  <si>
    <t>PREPARATION H 25GM</t>
  </si>
  <si>
    <t>PRIMIDONE 250MG</t>
  </si>
  <si>
    <t>PRIMIDONE</t>
  </si>
  <si>
    <t>PRIMOLUT-N TAB X10</t>
  </si>
  <si>
    <t>PRIMOLUT N</t>
  </si>
  <si>
    <t>PRIMPEX DS TABS X10</t>
  </si>
  <si>
    <t>PRIMPEX DS</t>
  </si>
  <si>
    <t>160/800mg</t>
  </si>
  <si>
    <t>PRIMPEX SYRUP 60ML</t>
  </si>
  <si>
    <t>PRIMPEX 60ML</t>
  </si>
  <si>
    <t>240mg/5mls</t>
  </si>
  <si>
    <t>PROGESTERONE  100mg Tablets</t>
  </si>
  <si>
    <t>TAB PROGESTERONE  100mg Tablets</t>
  </si>
  <si>
    <t xml:space="preserve">PROGESTERONE </t>
  </si>
  <si>
    <t xml:space="preserve">100mg </t>
  </si>
  <si>
    <t>PROGESTERONE 25MG INJ</t>
  </si>
  <si>
    <t>PROGYNOVA 1MG TABS</t>
  </si>
  <si>
    <t>Estradiol</t>
  </si>
  <si>
    <t>PROGYNOVA</t>
  </si>
  <si>
    <t>PROGYNOVA 2MG TABS</t>
  </si>
  <si>
    <t>PROGYNOVA 2MG TABS X21</t>
  </si>
  <si>
    <t>ESTRADIOL VALERATE/ NORGESTREL</t>
  </si>
  <si>
    <t>PROMETH INJECTION X 10</t>
  </si>
  <si>
    <t>25MG/ML</t>
  </si>
  <si>
    <t>PROMETHAZINE  5MG/5ML SYR</t>
  </si>
  <si>
    <t>PROMETHAZINE SYR</t>
  </si>
  <si>
    <t xml:space="preserve"> 5MG/5ML</t>
  </si>
  <si>
    <t>ANTIALLERGY</t>
  </si>
  <si>
    <t>Pronatal Capsules</t>
  </si>
  <si>
    <t>Propanolol 20mg X28</t>
  </si>
  <si>
    <t>PROPANOLOL</t>
  </si>
  <si>
    <t>PROPANOLOL TABS 10MG</t>
  </si>
  <si>
    <t>PROPANOLOL TABS 40MG X30</t>
  </si>
  <si>
    <t>PROSCAR TABS 28</t>
  </si>
  <si>
    <t>PROSCAR</t>
  </si>
  <si>
    <t>PROSTACARE CAPS X30</t>
  </si>
  <si>
    <t>SAW PALMETTO</t>
  </si>
  <si>
    <t>PROSTACARE</t>
  </si>
  <si>
    <t>PROSTAFINE 0.4MG</t>
  </si>
  <si>
    <t>PROSTAFINE</t>
  </si>
  <si>
    <t>PROSTAGEL CAPS X30</t>
  </si>
  <si>
    <t>SAW PALMETTO AND LYCOPENE</t>
  </si>
  <si>
    <t>PROSTAGEL</t>
  </si>
  <si>
    <t>PROSTAN EYE DROPS</t>
  </si>
  <si>
    <t>PROSTAN S</t>
  </si>
  <si>
    <t>PROSTATONIN TABS</t>
  </si>
  <si>
    <t>Urtica dioica / Pygeum Africanum</t>
  </si>
  <si>
    <t>PROSTATONIN</t>
  </si>
  <si>
    <t>PROVERA TABS</t>
  </si>
  <si>
    <t>Medroxyprogesterone</t>
  </si>
  <si>
    <t>PROVERA</t>
  </si>
  <si>
    <t>PROVIRON TABS</t>
  </si>
  <si>
    <t>Mesterolone</t>
  </si>
  <si>
    <t>PROVIRON</t>
  </si>
  <si>
    <t>PROVIRON TABS x20</t>
  </si>
  <si>
    <t>PROXIMEXA 250MG X10</t>
  </si>
  <si>
    <t>PROXIMEXA</t>
  </si>
  <si>
    <t>PROXIMEXA 500MG X10</t>
  </si>
  <si>
    <t>PROXIMEXA SUSP 125MG</t>
  </si>
  <si>
    <t>PROXIMEXA SUSP 250MG</t>
  </si>
  <si>
    <t>PROZAC 20MG CAPS X 30</t>
  </si>
  <si>
    <t>PROZAC</t>
  </si>
  <si>
    <t>PULMICORT NEBULES 0.25MG/ML</t>
  </si>
  <si>
    <t>BUDESONIDE</t>
  </si>
  <si>
    <t>PULMICORT NEBULES</t>
  </si>
  <si>
    <t>0.25mg/ml</t>
  </si>
  <si>
    <t>PULMICORT NEBULES 0.5MG/ML X20</t>
  </si>
  <si>
    <t>PULMOCEF 250MG TABS X10</t>
  </si>
  <si>
    <t>PULMOCEF</t>
  </si>
  <si>
    <t>PULMOCEF 500MG TABS X10</t>
  </si>
  <si>
    <t>PYLOREST CAPS</t>
  </si>
  <si>
    <t>PYLORESTS/PK</t>
  </si>
  <si>
    <t>500mg/20mg/1000mg</t>
  </si>
  <si>
    <t>PYRANTRIN SUSPENSION 15ML</t>
  </si>
  <si>
    <t>PYRANTEL PAMOATE</t>
  </si>
  <si>
    <t>PYRANTRIN</t>
  </si>
  <si>
    <t>PYRANTRIN TABS (BOX) X25</t>
  </si>
  <si>
    <t>PYRANTRIN TABS SINGLE X6</t>
  </si>
  <si>
    <t>PYRIDOXINE 25MG TAB</t>
  </si>
  <si>
    <t xml:space="preserve">PYRIDOXINE </t>
  </si>
  <si>
    <t>PYRIDOXINE TABS 50MG X28</t>
  </si>
  <si>
    <t>PYRIDOXINE</t>
  </si>
  <si>
    <t>PYROX 20MG TABS X14</t>
  </si>
  <si>
    <t>RABEPRAZOLE</t>
  </si>
  <si>
    <t>PYROX</t>
  </si>
  <si>
    <t>PYROX COMBI TABS X42</t>
  </si>
  <si>
    <t>RABEPRAZOLE/ CLARITHROMYCIN/ AMOXICILLIN</t>
  </si>
  <si>
    <t>PYROX COMBI</t>
  </si>
  <si>
    <t>QUADRICLEAR CREAM 30G</t>
  </si>
  <si>
    <t>BETAMETHASONE/ GENTAMYCIN/ TOLNAFTATE AND CLIOQUINOL</t>
  </si>
  <si>
    <t>QUADRICLEAR</t>
  </si>
  <si>
    <t>QUADRIDERM CREAM</t>
  </si>
  <si>
    <t>QUININE INJECTION X10</t>
  </si>
  <si>
    <t>QUININE TAB X 100</t>
  </si>
  <si>
    <t>RABEFAST 20MG TABS X30</t>
  </si>
  <si>
    <t>RABEDUS</t>
  </si>
  <si>
    <t>RABELOC 20MG TABS X10</t>
  </si>
  <si>
    <t>RABELOC</t>
  </si>
  <si>
    <t>RABELOC INJECTION 20MG</t>
  </si>
  <si>
    <t>Rabeprazole/Clarithromycin/Tinidazole 20/500/1000mg</t>
  </si>
  <si>
    <t>ULSAKIT</t>
  </si>
  <si>
    <t>20/500/1000MG</t>
  </si>
  <si>
    <t>RABEZOL 20MG</t>
  </si>
  <si>
    <t>Rabeprazole</t>
  </si>
  <si>
    <t>RABEZOL</t>
  </si>
  <si>
    <t>RABIES VACCINE INJECTION1 ML</t>
  </si>
  <si>
    <t>RABITAB 20MG X30</t>
  </si>
  <si>
    <t>RABITAB</t>
  </si>
  <si>
    <t>RAMIPRIL 10MG CAPS X28</t>
  </si>
  <si>
    <t>RAMIPRIL 5MG CAPS X28</t>
  </si>
  <si>
    <t>RAMIPRIL 5MG X 28</t>
  </si>
  <si>
    <t xml:space="preserve">RAMIPRIL </t>
  </si>
  <si>
    <t xml:space="preserve">5MG </t>
  </si>
  <si>
    <t>RAMIPRIL CAPS 1.25MG X28</t>
  </si>
  <si>
    <t>1.25mg</t>
  </si>
  <si>
    <t>RAMIPRIL CAPS 2.5MG X28</t>
  </si>
  <si>
    <t>RAMITACE 5MG</t>
  </si>
  <si>
    <t>Ramipril</t>
  </si>
  <si>
    <t>RAMITACE</t>
  </si>
  <si>
    <t>RANFERON CAPS X 120</t>
  </si>
  <si>
    <t>FERROUS FUMARATE/ FOLIC ACID/ VITAMIN C/ B12 AND ZINC</t>
  </si>
  <si>
    <t>RANFERON</t>
  </si>
  <si>
    <t>RANFERON TONIC 100ML</t>
  </si>
  <si>
    <t>RANFERON BLOOD TONIC</t>
  </si>
  <si>
    <t>RANFERON TONIC 200ML</t>
  </si>
  <si>
    <t>RANFERON BLOOD TONIC 200MLS</t>
  </si>
  <si>
    <t>RANITIDINE 150MG TABS X60</t>
  </si>
  <si>
    <t>RANITIDINE 300MG TAB</t>
  </si>
  <si>
    <t>300MG</t>
  </si>
  <si>
    <t>RANITIDINE 50MG/2ML X5</t>
  </si>
  <si>
    <t>ZANTAC</t>
  </si>
  <si>
    <t>50mg/2ml</t>
  </si>
  <si>
    <t>Rasagiline 1mg X28</t>
  </si>
  <si>
    <t>LEVODOPA/ CARBIDOPA</t>
  </si>
  <si>
    <t>RASAGILINE</t>
  </si>
  <si>
    <t>RE-VIVE CAPS X10</t>
  </si>
  <si>
    <t>HERBAL SUPPLEMENT</t>
  </si>
  <si>
    <t>RE-VIVE</t>
  </si>
  <si>
    <t>RECTOGESIC CREAM</t>
  </si>
  <si>
    <t>RECTOGESIC</t>
  </si>
  <si>
    <t xml:space="preserve"> 4 mg </t>
  </si>
  <si>
    <t>REFUCIL SUSP 100ML</t>
  </si>
  <si>
    <t>REFUCIL</t>
  </si>
  <si>
    <t>REFUCIL TABS 500MG X20</t>
  </si>
  <si>
    <t>REICHAMOX CAPSULES 500MG X10</t>
  </si>
  <si>
    <t>REICHAMOX</t>
  </si>
  <si>
    <t>REICHLOX CAPSULES 500MG X10</t>
  </si>
  <si>
    <t>REICHLOX</t>
  </si>
  <si>
    <t>REICHLOX DROP</t>
  </si>
  <si>
    <t>RELCER GEL</t>
  </si>
  <si>
    <t>RELCER</t>
  </si>
  <si>
    <t>1000mls</t>
  </si>
  <si>
    <t>RELCER TABS</t>
  </si>
  <si>
    <t>Magnesium hydroxide / Aluminium Hydroxide / Dimethicone</t>
  </si>
  <si>
    <t>RELCERS/PK</t>
  </si>
  <si>
    <t>80mg/6000mg/100mg</t>
  </si>
  <si>
    <t>RELEV 500MG TABS X20</t>
  </si>
  <si>
    <t>RELEV</t>
  </si>
  <si>
    <t>RELOAD IMMUNITY TABS X120</t>
  </si>
  <si>
    <t>MULTIVITAMIN (ECHINACEA/ ZINC/ VITAMIN A/C/D ETC)</t>
  </si>
  <si>
    <t>RELOAD IMMUNITY</t>
  </si>
  <si>
    <t>RELOAD INFANT DROPS 60ML</t>
  </si>
  <si>
    <t>MULTIVITAMIN (VITAMIN A/ C/ E/ D/ B6/ B12/ DHA)</t>
  </si>
  <si>
    <t>RELOAD KIDZ CHEWABLE TABS X160</t>
  </si>
  <si>
    <t>MULTIVITAMIN (VITAMIN A/ D/ E/ K1/ C/ ETC)</t>
  </si>
  <si>
    <t>RELOAD KIDZ CHEWABLE</t>
  </si>
  <si>
    <t>RELOAD KIDZ SYRUP 237ML</t>
  </si>
  <si>
    <t>RELOAD KIDZ 237ML</t>
  </si>
  <si>
    <t>RELUDRINE TABS 100MG</t>
  </si>
  <si>
    <t>RELUDRINE</t>
  </si>
  <si>
    <t>RENERVE PLUS CAPS X30</t>
  </si>
  <si>
    <t>VITAMIN B1/ B6/ B12/INOSITOL ETC</t>
  </si>
  <si>
    <t>RENERVE PLUS</t>
  </si>
  <si>
    <t>RETIN A CREAM 25G</t>
  </si>
  <si>
    <t>Tretinoin</t>
  </si>
  <si>
    <t>RETIN-A 0.05%</t>
  </si>
  <si>
    <t>RETRAX SYRUP 15</t>
  </si>
  <si>
    <t>LEVAMISOLE</t>
  </si>
  <si>
    <t>RETRAX</t>
  </si>
  <si>
    <t>RETRAX TAB X3</t>
  </si>
  <si>
    <t>REVITAL CAPSULES X 30</t>
  </si>
  <si>
    <t>MULTIVITAMINS AND MULTIMINERALS</t>
  </si>
  <si>
    <t>REVITAL</t>
  </si>
  <si>
    <t>REXIFEN SUSPENSION 100ML</t>
  </si>
  <si>
    <t>REXIFEN 100ML</t>
  </si>
  <si>
    <t>RHINATHIOL ADULT SYRUP</t>
  </si>
  <si>
    <t>CARBOCISTEINE</t>
  </si>
  <si>
    <t>RHINATHIOL ADULT</t>
  </si>
  <si>
    <t>RHINATHIOL INFANT SYRUP</t>
  </si>
  <si>
    <t>CARBOCEISTINE INFANT</t>
  </si>
  <si>
    <t>RHINATHIOL INFANT</t>
  </si>
  <si>
    <t>RHINATHIOL PROMETHAZINE SYRUP</t>
  </si>
  <si>
    <t>PROMETHAZINE/ CARBOCISTEINE</t>
  </si>
  <si>
    <t>RHINATHIOL PROMETHAZINE EXPECTORANT</t>
  </si>
  <si>
    <t>RHOGHAM INJECTION (KAM RHO D)</t>
  </si>
  <si>
    <t>RHOGHAM (KAM RHO D)</t>
  </si>
  <si>
    <t>KAM RHO D</t>
  </si>
  <si>
    <t>300mcg</t>
  </si>
  <si>
    <t>RIBAVIRIN 200MG CAP</t>
  </si>
  <si>
    <t>ANTI VIRAL</t>
  </si>
  <si>
    <t>RIFAMPICIN 150MG CAPS UK</t>
  </si>
  <si>
    <t>RIFAMPICIN</t>
  </si>
  <si>
    <t>RIFAMPICIN 300MG CAPS X100</t>
  </si>
  <si>
    <t>RINGERS LACTATE 500ML</t>
  </si>
  <si>
    <t>RINGERS LACTATE</t>
  </si>
  <si>
    <t>RISPERDAL 2MG X20</t>
  </si>
  <si>
    <t>RISPERIDONE</t>
  </si>
  <si>
    <t>RISPERIDAL</t>
  </si>
  <si>
    <t>RISPERDAL 3MG X20</t>
  </si>
  <si>
    <t>RISPERDAL</t>
  </si>
  <si>
    <t>RISPERIDONE 1MG TAB  (RISPERDAL)</t>
  </si>
  <si>
    <t>1MG</t>
  </si>
  <si>
    <t>RISPERIDONE 1MG X60</t>
  </si>
  <si>
    <t>RISPERIDONE 2MG X60</t>
  </si>
  <si>
    <t>RITALIN 10MG TABS X30</t>
  </si>
  <si>
    <t>RITALIN</t>
  </si>
  <si>
    <t>ROACCUTANE 10MG CAPS X30</t>
  </si>
  <si>
    <t>ROACCUTANE</t>
  </si>
  <si>
    <t>ROACCUTANE CAPS 20MG</t>
  </si>
  <si>
    <t xml:space="preserve">Robitussin Mucus Cough </t>
  </si>
  <si>
    <t xml:space="preserve">Robitussin </t>
  </si>
  <si>
    <t>ROCEPHIN INJECTION</t>
  </si>
  <si>
    <t>ROCEPHIN</t>
  </si>
  <si>
    <t>ROLIP 10MG CAPS</t>
  </si>
  <si>
    <t>ROLIP</t>
  </si>
  <si>
    <t>ROLIP 20MG CAPS</t>
  </si>
  <si>
    <t>ROLIP 5MG CAPS</t>
  </si>
  <si>
    <t>ROLITEN 2MG TABS X20</t>
  </si>
  <si>
    <t>TOLTERODINE</t>
  </si>
  <si>
    <t>ROLITEN</t>
  </si>
  <si>
    <t>ROLITEN TABS X10</t>
  </si>
  <si>
    <t>ROPHEGAN SYRUP</t>
  </si>
  <si>
    <t>ROPHEGAN</t>
  </si>
  <si>
    <t>ROPINIROLE 1MG TABS X84</t>
  </si>
  <si>
    <t>ROPINIROLE</t>
  </si>
  <si>
    <t>ROSART 25MG TABS X50</t>
  </si>
  <si>
    <t>ROSART</t>
  </si>
  <si>
    <t>ROSART 50MG HCT TABS X30</t>
  </si>
  <si>
    <t>ROSART HCT</t>
  </si>
  <si>
    <t>ROSART 50MG TABS X50</t>
  </si>
  <si>
    <t>ROSCICLOX SUSPENSION</t>
  </si>
  <si>
    <t>AMPICILLIN/ CLOXACILLIN</t>
  </si>
  <si>
    <t>ROSCICLOX</t>
  </si>
  <si>
    <t>250mg/ 250mg</t>
  </si>
  <si>
    <t>ROSUDEX 10MG TABS</t>
  </si>
  <si>
    <t>ROSUDEX</t>
  </si>
  <si>
    <t>ROSUDEX 20MG TABS X30</t>
  </si>
  <si>
    <t>ROSUTOR 10MG TABS X30</t>
  </si>
  <si>
    <t>ROSUTOR</t>
  </si>
  <si>
    <t>ROSUVASTATIN 10MG x30</t>
  </si>
  <si>
    <t>ROSUVASTATIN 40MG TAB</t>
  </si>
  <si>
    <t>40MG</t>
  </si>
  <si>
    <t>Rosuvastatin 5mg X30</t>
  </si>
  <si>
    <t>ROVISTA 10MG</t>
  </si>
  <si>
    <t>ROVISTA</t>
  </si>
  <si>
    <t>ROVISTA 20MG</t>
  </si>
  <si>
    <t>RULOX SUSP</t>
  </si>
  <si>
    <t>RULOX</t>
  </si>
  <si>
    <t>RULOX 100ML</t>
  </si>
  <si>
    <t>RULOX TABS(ALUMINIUM HYDROXIDE +MAGNESIUM HYDROXIDE+ SIMETHICONE 200MG)</t>
  </si>
  <si>
    <t>RUZU HERBAL BITTERS 350ML</t>
  </si>
  <si>
    <t>RYCIN ERYTHROMICIN 500MG</t>
  </si>
  <si>
    <t>ERYTHROMICIN</t>
  </si>
  <si>
    <t>RYCIN</t>
  </si>
  <si>
    <t>RYTHMODAN 100MG CAPS</t>
  </si>
  <si>
    <t>DYSOPIRAMIDE</t>
  </si>
  <si>
    <t>RYTHMODAN S</t>
  </si>
  <si>
    <t>S-amlodipine 5mg x30</t>
  </si>
  <si>
    <t>SALBUTAMOL 2MG TAB (VENTOLIN)</t>
  </si>
  <si>
    <t xml:space="preserve">SALBUTAMOL 2MG TAB </t>
  </si>
  <si>
    <t xml:space="preserve"> VENTOLIN TAB</t>
  </si>
  <si>
    <t>SALBUTAMOL INHALER</t>
  </si>
  <si>
    <t>SALBUTAMOL 100MCG INHALER</t>
  </si>
  <si>
    <t>SALBUTAMOL NEBULES 2.5MG</t>
  </si>
  <si>
    <t>SALBUTAMOL NEBULES</t>
  </si>
  <si>
    <t>SALBUTAMOL NEBULES 5MG</t>
  </si>
  <si>
    <t>SALBUTAMOL TABS X30</t>
  </si>
  <si>
    <t>SALICYLIC ACID OINT 1G (BETAMETHASONE CREAM)</t>
  </si>
  <si>
    <t>SALICYLIC ACID OINT 1G</t>
  </si>
  <si>
    <t>SALINE NOSE DROPS</t>
  </si>
  <si>
    <t>NASAL DROP</t>
  </si>
  <si>
    <t>SALINE</t>
  </si>
  <si>
    <t>Salmeterol xinafoate/Fluticasone propionate (Seretide)25mcg/50mcg inhaler</t>
  </si>
  <si>
    <t>Salmeterol Fluticasone propionate inhaler</t>
  </si>
  <si>
    <t>Seretide inhaler</t>
  </si>
  <si>
    <t>25mcg/50mcg</t>
  </si>
  <si>
    <t>SALMETEROL/FLUTICASONE 250MCG (SERETIDE INHALER)</t>
  </si>
  <si>
    <t>SALMETEROL/FLUTICASONE 250MCG INHALER</t>
  </si>
  <si>
    <t>SERETIDE INHALER</t>
  </si>
  <si>
    <t>SCALP VEIN NEEDLE</t>
  </si>
  <si>
    <t>SCAR GEL 28G</t>
  </si>
  <si>
    <t>ALLANTOIN</t>
  </si>
  <si>
    <t>SCAR GEL</t>
  </si>
  <si>
    <t>28g</t>
  </si>
  <si>
    <t>SECWID TABS X4</t>
  </si>
  <si>
    <t>SWISEC</t>
  </si>
  <si>
    <t>SELACE CAPS X30</t>
  </si>
  <si>
    <t>SELENIUM/ ZIINC/ VITAMIN A/ C/ E</t>
  </si>
  <si>
    <t>SELACE</t>
  </si>
  <si>
    <t>SELEGELINE 10MG TABS</t>
  </si>
  <si>
    <t>SELEGELINE</t>
  </si>
  <si>
    <t>SERETIDE 25/125MCG EVOHALER</t>
  </si>
  <si>
    <t>Salmeterol / Flucatisone</t>
  </si>
  <si>
    <t>SERETIDE EVOHALER 25/125MCG</t>
  </si>
  <si>
    <t>25mcg/125mcg</t>
  </si>
  <si>
    <t>SERETIDE 25/50MCG EVOHALER</t>
  </si>
  <si>
    <t>FLUTICASONE PROIONATE/ SALMETEROL</t>
  </si>
  <si>
    <t>SERETIDE</t>
  </si>
  <si>
    <t>125mcg/ 25mcg</t>
  </si>
  <si>
    <t>SERETIDE 50/250MCG ADULT</t>
  </si>
  <si>
    <t>50/250mcg</t>
  </si>
  <si>
    <t>SEROQUEL 100MG TABS</t>
  </si>
  <si>
    <t>Quetiapine</t>
  </si>
  <si>
    <t>SEROQUEL</t>
  </si>
  <si>
    <t>SEROQUEL 200MG XL TABS X60</t>
  </si>
  <si>
    <t>QUETIAPINE</t>
  </si>
  <si>
    <t>SEROQUEL XL</t>
  </si>
  <si>
    <t>SEROXAT TAB 20MG</t>
  </si>
  <si>
    <t>Paroxetine</t>
  </si>
  <si>
    <t>SEROXAT</t>
  </si>
  <si>
    <t>SERTRALIN 25MG TABS</t>
  </si>
  <si>
    <t>SERTRALINE</t>
  </si>
  <si>
    <t>SETRAL-50 TABS X28</t>
  </si>
  <si>
    <t>SETRALINE</t>
  </si>
  <si>
    <t>SETRAL-50</t>
  </si>
  <si>
    <t>SILICON GEL</t>
  </si>
  <si>
    <t>15G</t>
  </si>
  <si>
    <t>SILODOSIN 8MG X30</t>
  </si>
  <si>
    <t>SILODOSIN</t>
  </si>
  <si>
    <t>SILVERBIRD EUCALYPTUS OIL</t>
  </si>
  <si>
    <t>EUCALYPTUS OIL</t>
  </si>
  <si>
    <t>SILVERBIRD MENTHOL OIL</t>
  </si>
  <si>
    <t>SILYBON 140 TABS</t>
  </si>
  <si>
    <t>SILYMARIN</t>
  </si>
  <si>
    <t>SILYBON</t>
  </si>
  <si>
    <t>140mg</t>
  </si>
  <si>
    <t>SILYBON 70MG TABS X30</t>
  </si>
  <si>
    <t>Simethicone 200mg</t>
  </si>
  <si>
    <t>SIMETHICONE 200MG</t>
  </si>
  <si>
    <t>SIMETHICONE 200MG (GAZGO)</t>
  </si>
  <si>
    <t>SIMVASTATIN 20MG  TEVA</t>
  </si>
  <si>
    <t>SIMVASTATIN TEVA</t>
  </si>
  <si>
    <t>SIMVASTATIN TABS 10MG X28</t>
  </si>
  <si>
    <t>SIMVASTATIN</t>
  </si>
  <si>
    <t>SIMVASTATIN TABS 20MG X28</t>
  </si>
  <si>
    <t>SIMVASTATIN TABS 40MG X28</t>
  </si>
  <si>
    <t>SINEMET 62.5MG TABS</t>
  </si>
  <si>
    <t>Carbidopa / Levodopa</t>
  </si>
  <si>
    <t>SINEMET</t>
  </si>
  <si>
    <t>62.5mg</t>
  </si>
  <si>
    <t>SINGULAIR TABS 5MG</t>
  </si>
  <si>
    <t>Montelukast</t>
  </si>
  <si>
    <t>SINGULAIR</t>
  </si>
  <si>
    <t>SINUFED SYR</t>
  </si>
  <si>
    <t>TRIPROLIDINE / PSEUDOEPHEDRINE</t>
  </si>
  <si>
    <t>SINUFED</t>
  </si>
  <si>
    <t>1.25mg/30mg/5ml</t>
  </si>
  <si>
    <t>SINUFED TAB</t>
  </si>
  <si>
    <t>TRIPROLIDINE/PSEUDOEPHEDRINE</t>
  </si>
  <si>
    <t>2.5/60mg</t>
  </si>
  <si>
    <t>SIPROSAN 500MG TABS X10</t>
  </si>
  <si>
    <t>SIPROSAN</t>
  </si>
  <si>
    <t>SIPROSAN 500MG X14</t>
  </si>
  <si>
    <t>SIRDALUD 2MG TABS X20</t>
  </si>
  <si>
    <t>TIZANIDINE</t>
  </si>
  <si>
    <t>SIRDALUD</t>
  </si>
  <si>
    <t>SIRDALUD 4MG TABS X20</t>
  </si>
  <si>
    <t>Sitagliptin + Metformin 50/500mg X60</t>
  </si>
  <si>
    <t>SITAGLIPTIN/METFORMIN</t>
  </si>
  <si>
    <t>50/500mg</t>
  </si>
  <si>
    <t>SKINBACT CREAM</t>
  </si>
  <si>
    <t>CLOTRMAZOLE/ BETAMETHASONE/ NEOMYCIN</t>
  </si>
  <si>
    <t>SKINBACT</t>
  </si>
  <si>
    <t>SKINEAL CREAM</t>
  </si>
  <si>
    <t>KETOCONAZOLE/ CLOBETASOL/ NEOMYCIN</t>
  </si>
  <si>
    <t>SKINEAL</t>
  </si>
  <si>
    <t>SLOW K 600MG TABS X100</t>
  </si>
  <si>
    <t>POTASSIUM CHLORIDE</t>
  </si>
  <si>
    <t>POTASSIUM CHLORIDE (SLOW K)</t>
  </si>
  <si>
    <t>SLOW K TAB X10</t>
  </si>
  <si>
    <t>SLOXIN TABS 200MG</t>
  </si>
  <si>
    <t>SLOXIN</t>
  </si>
  <si>
    <t>SODICROM EYE DROP</t>
  </si>
  <si>
    <t>SODIUM CROMOGLYCATE</t>
  </si>
  <si>
    <t>SODICROM</t>
  </si>
  <si>
    <t>Sodium Bicarbonate ORAL TAB</t>
  </si>
  <si>
    <t>SODIUM BICARBONATE</t>
  </si>
  <si>
    <t>SODIUM CHLORIDE NASAL DROP</t>
  </si>
  <si>
    <t>SODIUM CHLORIDE</t>
  </si>
  <si>
    <t>SODIUM CROMOGLYCATE EYE DROP</t>
  </si>
  <si>
    <t>SODIUM VALPORATE 200MG</t>
  </si>
  <si>
    <t>SODIUM VALPROATE</t>
  </si>
  <si>
    <t>SODIUM VALPROATELET 500MG</t>
  </si>
  <si>
    <t>SODIUM VALPROATE TABLET 500MG SR</t>
  </si>
  <si>
    <t>EPILIM 500</t>
  </si>
  <si>
    <t>SOLIFENACIN TABLET 5MG</t>
  </si>
  <si>
    <t>SOLIFENACIN</t>
  </si>
  <si>
    <t>SOLIFEN</t>
  </si>
  <si>
    <t>SOLIPRAX CAPS X14</t>
  </si>
  <si>
    <t>SOLIPRAX</t>
  </si>
  <si>
    <t>SOLOTONE AMINO TONIC 200ML</t>
  </si>
  <si>
    <t>MULTIVITAMINS/ MULTIMINERALS/ AMINO ACIDS</t>
  </si>
  <si>
    <t>SOLOTONE TABS X30</t>
  </si>
  <si>
    <t>MULTIVITAMINS/ MULTIMINERALS</t>
  </si>
  <si>
    <t>SOLOTONE</t>
  </si>
  <si>
    <t>SOLPADIENE PLUS SOLUBLE X32</t>
  </si>
  <si>
    <t>PARACETAMOL AND CODEINE</t>
  </si>
  <si>
    <t>SOLPADIENE PLUS SOLUBLE</t>
  </si>
  <si>
    <t>500/8mg</t>
  </si>
  <si>
    <t>SORBITOL POWDER</t>
  </si>
  <si>
    <t>SPANISH FLY DROP</t>
  </si>
  <si>
    <t>CANTHARIDIN</t>
  </si>
  <si>
    <t>SPARDIUM 200MG TABS X6</t>
  </si>
  <si>
    <t>SPARFLOXACIN</t>
  </si>
  <si>
    <t>SPARDIUM</t>
  </si>
  <si>
    <t>SPERSALLERG EYE DROPS</t>
  </si>
  <si>
    <t>Antazoline HCl/Tetryzoline HCl</t>
  </si>
  <si>
    <t>SPIRIVA COMBOHALER</t>
  </si>
  <si>
    <t>TIOTROPIUM</t>
  </si>
  <si>
    <t>SPIRIVA REFIL</t>
  </si>
  <si>
    <t>SPIRONOLACTONE TABS 100MG</t>
  </si>
  <si>
    <t>SPIRONOLACTONE TABS 25MG</t>
  </si>
  <si>
    <t>SPIRONOLACTONE TABS 50MG</t>
  </si>
  <si>
    <t>SPORADERM CAPS X10</t>
  </si>
  <si>
    <t>SPORADERM</t>
  </si>
  <si>
    <t>SPORANOX CAPS X15</t>
  </si>
  <si>
    <t>SPORANOX</t>
  </si>
  <si>
    <t>SPORIDEX 125MG SUSPENSION</t>
  </si>
  <si>
    <t>CEFALEXIN</t>
  </si>
  <si>
    <t>SPORIDEX</t>
  </si>
  <si>
    <t>125mg/5mg</t>
  </si>
  <si>
    <t>SPORIDEX 500MG CAPSULES X10</t>
  </si>
  <si>
    <t>SPORIDEX SUSPENSION 250MG</t>
  </si>
  <si>
    <t>SPORTGESIC OINTMENT 35G</t>
  </si>
  <si>
    <t>EUGEMOL/ PARRAFFIN/ LINALOOL</t>
  </si>
  <si>
    <t>SPORTGESIC 35G</t>
  </si>
  <si>
    <t>STADEX EYE DROP</t>
  </si>
  <si>
    <t>STADEX</t>
  </si>
  <si>
    <t>STADEX PLUS EYE DROP</t>
  </si>
  <si>
    <t>DEXAMETHASONE/ CHLORAMPHENICOL</t>
  </si>
  <si>
    <t>STADEX PLUS</t>
  </si>
  <si>
    <t>STADEXOLENE EYE DROP</t>
  </si>
  <si>
    <t>DEXAMETHASONE/ CHLORAMPHENICOL/ TETRYZOLINE</t>
  </si>
  <si>
    <t>STADEXOLENE</t>
  </si>
  <si>
    <t>STAFEN EYE DROP</t>
  </si>
  <si>
    <t>KETOTIFEN</t>
  </si>
  <si>
    <t>STAFEN</t>
  </si>
  <si>
    <t>STALONG 10MG TABS X4</t>
  </si>
  <si>
    <t>STALONG</t>
  </si>
  <si>
    <t>STAMLO 10MG TABS</t>
  </si>
  <si>
    <t>Amlodipine</t>
  </si>
  <si>
    <t>STAMLO</t>
  </si>
  <si>
    <t>STAMLO 5MG TABS</t>
  </si>
  <si>
    <t>STEMETIL TABS 5MG UK X28</t>
  </si>
  <si>
    <t>PROCHLOPERAZINE</t>
  </si>
  <si>
    <t>STEMETIL UK</t>
  </si>
  <si>
    <t>STREPSILS CARD X 12</t>
  </si>
  <si>
    <t>LOZENGES</t>
  </si>
  <si>
    <t>2,3-DICHLOROBENZYL ALCOHOL, AMYLMETACRESOL</t>
  </si>
  <si>
    <t>STREPSILS</t>
  </si>
  <si>
    <t>STREPSILS CHILDREN 6+ S/BERRY X24</t>
  </si>
  <si>
    <t>2,4-DICHLOROBENZYL ALCOHOL, AMYLMETACRESOL</t>
  </si>
  <si>
    <t>STREPSILS RANGE</t>
  </si>
  <si>
    <t>1.2mg/0.6mg/8.0mg</t>
  </si>
  <si>
    <t xml:space="preserve">Streptokinase 1500000 IU </t>
  </si>
  <si>
    <t xml:space="preserve">Inj streptokinase 1500000 IU </t>
  </si>
  <si>
    <t xml:space="preserve">Streptokinase </t>
  </si>
  <si>
    <t xml:space="preserve"> 1500000 IU</t>
  </si>
  <si>
    <t>STREPTOMYCIN INJECTION</t>
  </si>
  <si>
    <t>STREPTOMYCIN</t>
  </si>
  <si>
    <t>STUGERON 25MG TABS X10</t>
  </si>
  <si>
    <t>CINNARIZINE</t>
  </si>
  <si>
    <t>STUGERON</t>
  </si>
  <si>
    <t>Subcut. Goserelin (Zoladex, AstraZeneca) 10.8 mg</t>
  </si>
  <si>
    <t>Subcute Goserelin (Zoladex, AstraZeneca) 10.8 mg</t>
  </si>
  <si>
    <t xml:space="preserve"> Zoladex</t>
  </si>
  <si>
    <t>10.8 mg</t>
  </si>
  <si>
    <t>Subcute Zoladex 3.6mg X 1 Pack</t>
  </si>
  <si>
    <t xml:space="preserve">Zoladex </t>
  </si>
  <si>
    <t>SUDAFED SINUS PRESSURE&amp;PAIN TABS X12</t>
  </si>
  <si>
    <t>PSEUDOEPHEDRINE/IBUPROFEN</t>
  </si>
  <si>
    <t>SUDAFED SINUS PRESSURE&amp;PAIN</t>
  </si>
  <si>
    <t>SUDOCREM 125G</t>
  </si>
  <si>
    <t>ZINC OXIDE/ BENZYL ALCHOHOL/ BENZYL BENZOATE</t>
  </si>
  <si>
    <t>SUDOCREM 250G</t>
  </si>
  <si>
    <t>SUDREX TABS X20</t>
  </si>
  <si>
    <t>SUDREX</t>
  </si>
  <si>
    <t>SUFFRA TULLE</t>
  </si>
  <si>
    <t>PATCH</t>
  </si>
  <si>
    <t>SOFRAMYCIN</t>
  </si>
  <si>
    <t>SUITROX 250MG CAPS X6</t>
  </si>
  <si>
    <t>SUITROX 500MG CAPS X3</t>
  </si>
  <si>
    <t>SUITROX SUSPENSION</t>
  </si>
  <si>
    <t>SULFASALAZINE EC 500MG</t>
  </si>
  <si>
    <t>SULFASALAZINE</t>
  </si>
  <si>
    <t>SULFASALAZINE EC</t>
  </si>
  <si>
    <t>SULFUR OINTMENT GL</t>
  </si>
  <si>
    <t>SULPHUR</t>
  </si>
  <si>
    <t>SULFUR GL</t>
  </si>
  <si>
    <t>Sulphur salicylic Acid Ointment 5%</t>
  </si>
  <si>
    <t>SUMATRIPTAN 100MG TABS X6</t>
  </si>
  <si>
    <t>SUMATRIPTAN</t>
  </si>
  <si>
    <t>SUMATRIPTAN 50MG TABS X6</t>
  </si>
  <si>
    <t xml:space="preserve">SUMATRIPTAN SUCCINATE 6 MG INJECTION </t>
  </si>
  <si>
    <t>SUMATRIPTAN SUCCINATE 6 MG</t>
  </si>
  <si>
    <t xml:space="preserve"> SUMATRIPTAN SUCCINATE 6 MG</t>
  </si>
  <si>
    <t xml:space="preserve"> 6 MG</t>
  </si>
  <si>
    <t>SUPIROCIN OINTMENT</t>
  </si>
  <si>
    <t>SUPIROCIN</t>
  </si>
  <si>
    <t>SUPRAFIT TABS X60</t>
  </si>
  <si>
    <t>Multivitamins / Minerals</t>
  </si>
  <si>
    <t>SUPRAFIT</t>
  </si>
  <si>
    <t>SUPRAKID TABS X100</t>
  </si>
  <si>
    <t>SUPRAKID</t>
  </si>
  <si>
    <t>SUPRALIP 160MG</t>
  </si>
  <si>
    <t>SUPRALIP</t>
  </si>
  <si>
    <t>SUPRAMULT AMINO CAPSULES</t>
  </si>
  <si>
    <t>Vitamins / Minerals</t>
  </si>
  <si>
    <t>SUPRAMULT AMINO</t>
  </si>
  <si>
    <t>SUVITRA 500MG X 60</t>
  </si>
  <si>
    <t xml:space="preserve">LEVETIRACETAM </t>
  </si>
  <si>
    <t xml:space="preserve">SUVITRA </t>
  </si>
  <si>
    <t>SWIBETIC 5/500MG TABS X30</t>
  </si>
  <si>
    <t>GLIPIZIDE/ METFORMIN</t>
  </si>
  <si>
    <t>SWIBETIC</t>
  </si>
  <si>
    <t>5/500mg</t>
  </si>
  <si>
    <t>SWIDAR TABLETS X3</t>
  </si>
  <si>
    <t>SULPHADOXINE/PYRIMRTHAMETHAMINE</t>
  </si>
  <si>
    <t>SWIDARLETS</t>
  </si>
  <si>
    <t>SWISEC 500MG TABS X4</t>
  </si>
  <si>
    <t>SYMBICORT INHALER</t>
  </si>
  <si>
    <t>Budesonide 160 micrograms/Formoterol fumarate</t>
  </si>
  <si>
    <t>200/6ug</t>
  </si>
  <si>
    <t>SYMBICORT TURBOHALER 160/4.5MCG</t>
  </si>
  <si>
    <t>BUDESONIDE/FORMOTEROL</t>
  </si>
  <si>
    <t>SYMBICORT</t>
  </si>
  <si>
    <t>160/4.5MCG</t>
  </si>
  <si>
    <t>SYMBICORT TURBOHALER 200/6MCG</t>
  </si>
  <si>
    <t>BUDESONIDE, FORMOTEROL</t>
  </si>
  <si>
    <t>80/4.5</t>
  </si>
  <si>
    <t>SYMBICORT TURBOHALER 80/4.5MCG</t>
  </si>
  <si>
    <t>SYNDOL TABS X10</t>
  </si>
  <si>
    <t>PARACETAMOL, DOXYLAMINE, CODEINE AND CAFFEINE</t>
  </si>
  <si>
    <t>SYNDOL</t>
  </si>
  <si>
    <t>450/5/10/30mg</t>
  </si>
  <si>
    <t>SYNRIAM TAB 150 + 750MG 3</t>
  </si>
  <si>
    <t>ARTEROLANE / PIPERAQUINE</t>
  </si>
  <si>
    <t>SYNRIAM (ARTEROLANE/PIPERAQUINE)</t>
  </si>
  <si>
    <t>37.5mg/187.5mg</t>
  </si>
  <si>
    <t>SYRINGE W/NEEDLE STERILE 10CC EACH</t>
  </si>
  <si>
    <t>SYRINGE</t>
  </si>
  <si>
    <t>SYRINGE W/NEEDLE STERILE 1CC EACH</t>
  </si>
  <si>
    <t>SYRINGE W/NEEDLE STERILE 2CC EACH</t>
  </si>
  <si>
    <t>2ML</t>
  </si>
  <si>
    <t>SYRINGE W/NEEDLE STERILE 5CC EACH</t>
  </si>
  <si>
    <t>SYRINGE W/NEEDLE STERILE &gt;=5CC EACH</t>
  </si>
  <si>
    <t>Systear eye ointment Pack</t>
  </si>
  <si>
    <t xml:space="preserve">Systear </t>
  </si>
  <si>
    <t>0.4/0.3%</t>
  </si>
  <si>
    <t>T-1 TRAVOPROST EYE DROP</t>
  </si>
  <si>
    <t>TRAVOPROST</t>
  </si>
  <si>
    <t>T-1 TRAVOPROST</t>
  </si>
  <si>
    <t>T-BET EYE DROP</t>
  </si>
  <si>
    <t>TRAVOPROST AND TIMOLOL</t>
  </si>
  <si>
    <t>T-BET</t>
  </si>
  <si>
    <t>0.05%/0.5%</t>
  </si>
  <si>
    <t>T-MYCIN EYE DROP</t>
  </si>
  <si>
    <t>TOBRAMYCIN</t>
  </si>
  <si>
    <t>T-MYCIN</t>
  </si>
  <si>
    <t>T-MYCIN OINTMENT</t>
  </si>
  <si>
    <t>T-MYCIN PLUS EYE DROP</t>
  </si>
  <si>
    <t>TOBRAMYCIN ETC</t>
  </si>
  <si>
    <t>T-MYCIN PLUS</t>
  </si>
  <si>
    <t>3.5g</t>
  </si>
  <si>
    <t>Tab Citicoline 500mg</t>
  </si>
  <si>
    <t>CITICOLINE 500MG TAB</t>
  </si>
  <si>
    <t>CITICOLINE 500MG</t>
  </si>
  <si>
    <t>TAB REALFLEX 400MG</t>
  </si>
  <si>
    <t>TABALON TABS X100</t>
  </si>
  <si>
    <t>TABALON</t>
  </si>
  <si>
    <t>Tabasil 250mg x28</t>
  </si>
  <si>
    <t>TABASIL</t>
  </si>
  <si>
    <t>TABS DEXKETOPREN TROMETAMOL 25mg</t>
  </si>
  <si>
    <t xml:space="preserve"> DEXKETOPREN TROMETAMOL </t>
  </si>
  <si>
    <t>TACROLIMUS 0.5MG CAPS (ADOPORT) X30</t>
  </si>
  <si>
    <t>TACROLIMUS</t>
  </si>
  <si>
    <t>ADOPORT</t>
  </si>
  <si>
    <t>TACROLIMUS CREAM</t>
  </si>
  <si>
    <t>TACROLIMUS CREAM 0.1% (UNBRANDED)</t>
  </si>
  <si>
    <t>TADALAFIL 20MG / PACK</t>
  </si>
  <si>
    <t>TADALIS 10MG TABS</t>
  </si>
  <si>
    <t>TADALIS</t>
  </si>
  <si>
    <t>TADALIS 20MG TABS</t>
  </si>
  <si>
    <t>TALEN 1.5MG TABS X30</t>
  </si>
  <si>
    <t>TALEN</t>
  </si>
  <si>
    <t>TALEN 3MG TABS X30</t>
  </si>
  <si>
    <t>Tamabiotic Powder</t>
  </si>
  <si>
    <t xml:space="preserve">Tamabiotic </t>
  </si>
  <si>
    <t>2.5 billion spores</t>
  </si>
  <si>
    <t>Tamoxifen 20mg Tablets Daily</t>
  </si>
  <si>
    <t>Tab Tamoxifen 20mg Tablets Daily</t>
  </si>
  <si>
    <t xml:space="preserve">Tamoxifen </t>
  </si>
  <si>
    <t xml:space="preserve">20mg </t>
  </si>
  <si>
    <t>TAMOXIFEN TABS 20MG UK X30</t>
  </si>
  <si>
    <t>TAMOXIFEN UK</t>
  </si>
  <si>
    <t>TAMSULON- XL TABS 400MCG</t>
  </si>
  <si>
    <t>TAMSULON- XL 400MCG</t>
  </si>
  <si>
    <t>TAMSULOSIN + DUTASTERIDE (DUTASIN) X 28</t>
  </si>
  <si>
    <t>DUTASIN</t>
  </si>
  <si>
    <t>TAMSULOSIN MR CAPS 400MCG X30</t>
  </si>
  <si>
    <t>TAMUM 400MCG CAPS</t>
  </si>
  <si>
    <t>TAMSULOSIN</t>
  </si>
  <si>
    <t>TAMUM</t>
  </si>
  <si>
    <t>400mcg</t>
  </si>
  <si>
    <t>TANZOL SUSPENSION</t>
  </si>
  <si>
    <t>TANZOL TABS</t>
  </si>
  <si>
    <t>TARIVID TABS 200MG X 10</t>
  </si>
  <si>
    <t>TARIVID</t>
  </si>
  <si>
    <t>TASMI 40MG TABS (TELMISARTAN) X14</t>
  </si>
  <si>
    <t>TASMI</t>
  </si>
  <si>
    <t>TASMI 80MG TABS (TELMISARTAN) X14</t>
  </si>
  <si>
    <t>TAVANIC 500MG</t>
  </si>
  <si>
    <t>TAVANIC</t>
  </si>
  <si>
    <t>TAVANIC 500MG IV X100ML</t>
  </si>
  <si>
    <t>TAVANIC X100ML</t>
  </si>
  <si>
    <t>TAVEGYL 1MG</t>
  </si>
  <si>
    <t>CLEMASTIN</t>
  </si>
  <si>
    <t>TAVEGYL</t>
  </si>
  <si>
    <t>TEAR NATURALE EYE DROP</t>
  </si>
  <si>
    <t xml:space="preserve">Hypromellose </t>
  </si>
  <si>
    <t>TEARS NATURALE EYE DROP</t>
  </si>
  <si>
    <t>DEXTRAN/ METHYLCELLULOSE</t>
  </si>
  <si>
    <t>TEARS NATURALE</t>
  </si>
  <si>
    <t>TEEN HEALTH MENTAL &amp; PHYSICAL X30</t>
  </si>
  <si>
    <t>TEEN HEALTH MENTAL &amp; PHYSICAL</t>
  </si>
  <si>
    <t>TEGRETOL 200MG CR TABS X50</t>
  </si>
  <si>
    <t>TEGRETOL CR</t>
  </si>
  <si>
    <t>TEGRETOL</t>
  </si>
  <si>
    <t>TEGRETOL 400MG CR TABS X30</t>
  </si>
  <si>
    <t>TEGRETOL SYRUP</t>
  </si>
  <si>
    <t>TELFAST 180MG TABS X30</t>
  </si>
  <si>
    <t>TELFAST</t>
  </si>
  <si>
    <t>TELMISARTAN 40MG TABS X28</t>
  </si>
  <si>
    <t>TELMISARTAN 80MG TABS X28</t>
  </si>
  <si>
    <t>Telmisartan HCT 40MG/12.5MG - Generic</t>
  </si>
  <si>
    <t>40MG/12.5MG</t>
  </si>
  <si>
    <t xml:space="preserve">Antihypertensive </t>
  </si>
  <si>
    <t>Telmisartan HCT 80MG/12.5MG - Generic</t>
  </si>
  <si>
    <t>80/12.5MG</t>
  </si>
  <si>
    <t>Telmisartan HCT 80MG/25MG - Generic</t>
  </si>
  <si>
    <t>80/25MG</t>
  </si>
  <si>
    <t>TEMAZ 40MG TABS X30</t>
  </si>
  <si>
    <t>TEMAZEPAM</t>
  </si>
  <si>
    <t>TEMAZ</t>
  </si>
  <si>
    <t>TEMAZ 80MG TABS X30</t>
  </si>
  <si>
    <t>Temisartan/Amlodipine 40mg/5mg Tab</t>
  </si>
  <si>
    <t>PILOREM 40/5MG TAB</t>
  </si>
  <si>
    <t>Tenofovir alafenamide 25mg</t>
  </si>
  <si>
    <t>TENOFOVIR ALAFENAMIDE 25MG (GENITOMIDE)</t>
  </si>
  <si>
    <t>TENOFOVIR ALAFENAMIDE</t>
  </si>
  <si>
    <t>GETINOMIDE</t>
  </si>
  <si>
    <t>TENOFOVIR DISOPROXIL FUMARATE 245 MG TAB  (VIREAD)</t>
  </si>
  <si>
    <t>245MG</t>
  </si>
  <si>
    <t>TENOFOVIR/EFAVIRENZ/EMTRICITABINE TABS</t>
  </si>
  <si>
    <t>TENOFOVIR/EFAVIRENZ/EMTRICITABINE</t>
  </si>
  <si>
    <t>600mg/200mg/300mg</t>
  </si>
  <si>
    <t>TENOFOVIR/EMTRICITABINE TABS</t>
  </si>
  <si>
    <t>TENOFOVIR/EMTRICITABINE</t>
  </si>
  <si>
    <t>200mg/300mg</t>
  </si>
  <si>
    <t>TENOFOVIR/LAMIVUDINE TABS X30</t>
  </si>
  <si>
    <t>TENOFOVIR/LAMIVUDINE</t>
  </si>
  <si>
    <t>300mg/300mg</t>
  </si>
  <si>
    <t>TENOFOVIR/LAMIVUDINE/EFAVIRENZ TABS</t>
  </si>
  <si>
    <t>TENOFOVIR/LAMIVUDINE/EFAVIRENZ</t>
  </si>
  <si>
    <t>TENOKSAN 20MG TABS</t>
  </si>
  <si>
    <t>TENOXICAM</t>
  </si>
  <si>
    <t>TENOKSAN</t>
  </si>
  <si>
    <t>TENORETIC TABS X14</t>
  </si>
  <si>
    <t>ATENOLOL/ CHLORTALIDONE</t>
  </si>
  <si>
    <t>TENORETIC 100/25MG X 14</t>
  </si>
  <si>
    <t>100/25mg</t>
  </si>
  <si>
    <t>TENORIC 100/25</t>
  </si>
  <si>
    <t>ATENOLOL/HYDROCHLOROTHIAZIDE</t>
  </si>
  <si>
    <t>TENORIC</t>
  </si>
  <si>
    <t>100/25</t>
  </si>
  <si>
    <t>TENORIC 100MG X28</t>
  </si>
  <si>
    <t>TENORIC 50MG X28</t>
  </si>
  <si>
    <t>TENORIC-50 50/12.5MG</t>
  </si>
  <si>
    <t>TENORETIC</t>
  </si>
  <si>
    <t>50/12.5MG</t>
  </si>
  <si>
    <t>TENORMIN TABS 100MG X28</t>
  </si>
  <si>
    <t>TENORMIN</t>
  </si>
  <si>
    <t>TENORMIN TABS 50MG X28</t>
  </si>
  <si>
    <t>TERBIMAX CREAM 10G</t>
  </si>
  <si>
    <t>TERBIMAX</t>
  </si>
  <si>
    <t>TERBINAFINE 250MG TAB - Generic</t>
  </si>
  <si>
    <t>TERBINAFINE CREAM 15G</t>
  </si>
  <si>
    <t xml:space="preserve">Terbinafine Spray (Lamisil) Bottles </t>
  </si>
  <si>
    <t>LamisiL</t>
  </si>
  <si>
    <t>TERBINAFINE TABS 250MG X28</t>
  </si>
  <si>
    <t>TERLEV 500MG TABS</t>
  </si>
  <si>
    <t>TERLEV</t>
  </si>
  <si>
    <t>TERLEV 750MG TABS</t>
  </si>
  <si>
    <t>TERLEV INFUSION</t>
  </si>
  <si>
    <t>Testosterone 25mg/ml inj</t>
  </si>
  <si>
    <t>Testosterone inj</t>
  </si>
  <si>
    <t>25mg/ml</t>
  </si>
  <si>
    <t>TETRACYCLINE 250MG CAPS X100</t>
  </si>
  <si>
    <t>TETRACYCLINE</t>
  </si>
  <si>
    <t>TETRAHYDROZOLINE(HCL)EYE DROPS 0.0005</t>
  </si>
  <si>
    <t>TETRAHYDROZOLINE(HCL)EYE DROPS</t>
  </si>
  <si>
    <t>THIAPRIL TABS X30</t>
  </si>
  <si>
    <t>RAMIPRIL/HYDROCHLOROTHIAZIDE</t>
  </si>
  <si>
    <t>THIAPRIL</t>
  </si>
  <si>
    <t>THIAZIMIDE TABS X500</t>
  </si>
  <si>
    <t>SULFATHIAZOLE</t>
  </si>
  <si>
    <t>THIAZIMIDE</t>
  </si>
  <si>
    <t>0.25g</t>
  </si>
  <si>
    <t>THROAT LOZENGES</t>
  </si>
  <si>
    <t>IPECACUANHA LIQUID/ MENTHOL</t>
  </si>
  <si>
    <t>SHALTOUX LOZENGES</t>
  </si>
  <si>
    <t>2.5mcL/1.5mg</t>
  </si>
  <si>
    <t>THYROXINE TAB 100MCG</t>
  </si>
  <si>
    <t>TICAGRELOR 90MG</t>
  </si>
  <si>
    <t>TICAGRELOR</t>
  </si>
  <si>
    <t>90mg</t>
  </si>
  <si>
    <t>TIMOLOL 0.25% EYE DROP 10ML(FIDSON)</t>
  </si>
  <si>
    <t>TIMOLOL 10ML(FIDSON)</t>
  </si>
  <si>
    <t>TIMOLOL 0.5% EYE DROP 10ML(FIDSON)</t>
  </si>
  <si>
    <t>TINEXDA CAPS X10</t>
  </si>
  <si>
    <t>TINIDAZOLE</t>
  </si>
  <si>
    <t>TINEXDA</t>
  </si>
  <si>
    <t>TINEXDA PLUS CAPS X10</t>
  </si>
  <si>
    <t>TINEXDA PLUS</t>
  </si>
  <si>
    <t>Tinidazole 500mg</t>
  </si>
  <si>
    <t>TINIFLOX 600/200MG TABS x20</t>
  </si>
  <si>
    <t>TINIDAZOLE/OFLOXACIN</t>
  </si>
  <si>
    <t>TINIFLOX</t>
  </si>
  <si>
    <t>600/200mg</t>
  </si>
  <si>
    <t>TINIFLOXACIN TABS</t>
  </si>
  <si>
    <t>OFLOXACIN/TINIDAZOLE</t>
  </si>
  <si>
    <t>TINIFLOXACIN</t>
  </si>
  <si>
    <t>500/600mg</t>
  </si>
  <si>
    <t>TIOCOSID CREAM</t>
  </si>
  <si>
    <t>TIOCONAZOLE</t>
  </si>
  <si>
    <t>TIOCOSID</t>
  </si>
  <si>
    <t>Tiotropium (Spirivia) Inhaler with Device</t>
  </si>
  <si>
    <t>SPIRIVIA INHALER WITH DEVICE</t>
  </si>
  <si>
    <t>2.5mcg</t>
  </si>
  <si>
    <t>TIXYLIX RANGE 100ML</t>
  </si>
  <si>
    <t>GLYCEROL</t>
  </si>
  <si>
    <t>TIXYLIX SALINE DROP 18X5ML</t>
  </si>
  <si>
    <t>SALINE DROP</t>
  </si>
  <si>
    <t>TIXYLIX SALINE DROP</t>
  </si>
  <si>
    <t>TOBREX EYE DROP</t>
  </si>
  <si>
    <t>TOBREX</t>
  </si>
  <si>
    <t>TOBREX EYE OINTMENT</t>
  </si>
  <si>
    <t>TOCOVID 200MG CAPS X30</t>
  </si>
  <si>
    <t>MIXED TOCOTRIENOLS</t>
  </si>
  <si>
    <t>TOCOVID</t>
  </si>
  <si>
    <t>Tocovid 50mg cap</t>
  </si>
  <si>
    <t>TOLBUTAMIDE 500MG TABS X28</t>
  </si>
  <si>
    <t>TOLBUTAMIDE</t>
  </si>
  <si>
    <t>Tolterodine 2mg X30</t>
  </si>
  <si>
    <t>TOLTERODINE TARTRATE 4MG TAB (DETROL)</t>
  </si>
  <si>
    <t>TOPILEPT 50MG TABS X60</t>
  </si>
  <si>
    <t>TOPIRAMATE AND VALPROATE</t>
  </si>
  <si>
    <t>TOPILEPT</t>
  </si>
  <si>
    <t>TOPIRAMATE 50MG TABS X30</t>
  </si>
  <si>
    <t>TOPIRAMATE</t>
  </si>
  <si>
    <t>TOPIRAMATE TAB 100MG X30</t>
  </si>
  <si>
    <t>TOPIRAMATE TAB 25MG X30</t>
  </si>
  <si>
    <t>Torsemide 100mg tabs</t>
  </si>
  <si>
    <t>TORSINEX</t>
  </si>
  <si>
    <t>TORSINEX 100MG TABS X30</t>
  </si>
  <si>
    <t>TORSEMIDE</t>
  </si>
  <si>
    <t>TORSINEX 20MG TABS X30</t>
  </si>
  <si>
    <t>TORSINEX INJECTION</t>
  </si>
  <si>
    <t>TOTHEMA SYRUP</t>
  </si>
  <si>
    <t>TOTHEMA</t>
  </si>
  <si>
    <t>TRAJENTA 5MG TABS X28</t>
  </si>
  <si>
    <t>TRAJENTA</t>
  </si>
  <si>
    <t>TRAMADOL HYDROCHLORIDE 100MG X60</t>
  </si>
  <si>
    <t>TRAMADOL HYDROCHLORIDE</t>
  </si>
  <si>
    <t>TRAMADOL HYDROCHLORIDE 50MG X100</t>
  </si>
  <si>
    <t>TRAMADOL INJECTION 2ML X10</t>
  </si>
  <si>
    <t>TRAMADOL 2ML</t>
  </si>
  <si>
    <t>TRANEXAMIC ACID 500MG TABS X60</t>
  </si>
  <si>
    <t>TRANEXAMIC ACID</t>
  </si>
  <si>
    <t>TRANEXAMIC ACID X 15</t>
  </si>
  <si>
    <t>TRANSVASIN CREAM</t>
  </si>
  <si>
    <t>HEXYL NICOTINATE/ ETHYL NICOTINATE ETC</t>
  </si>
  <si>
    <t>TRANSVASIN</t>
  </si>
  <si>
    <t>40g</t>
  </si>
  <si>
    <t>TRAVATAN EYE DROP</t>
  </si>
  <si>
    <t>TRAVATAN</t>
  </si>
  <si>
    <t>TREVIA 100MG TABS X14</t>
  </si>
  <si>
    <t>SITAGLIPTIN</t>
  </si>
  <si>
    <t>TREVIA</t>
  </si>
  <si>
    <t>TREVIA 50MG TABS X14</t>
  </si>
  <si>
    <t>SITAGLYPTIN</t>
  </si>
  <si>
    <t>TREVIAMET 50/1000MG TABS X14</t>
  </si>
  <si>
    <t>METFORMIN/SITAGLIPTIN</t>
  </si>
  <si>
    <t>TREVIAMET</t>
  </si>
  <si>
    <t>TREVIAMET 50/500MG TABS X14</t>
  </si>
  <si>
    <t>TREXAMIN CAPS 500MG</t>
  </si>
  <si>
    <t>TREXAMIN</t>
  </si>
  <si>
    <t>TREXAMIN INJECTION X10</t>
  </si>
  <si>
    <t>TREXIP 500MG X10</t>
  </si>
  <si>
    <t>TREXIP</t>
  </si>
  <si>
    <t>TREXIP TN 500MG X10</t>
  </si>
  <si>
    <t>CIPROFLOXACIN/TINIDAZOLE</t>
  </si>
  <si>
    <t>TREXIP TN</t>
  </si>
  <si>
    <t>TRIAMCINOLONE 40MG INJ  (KENALOG)</t>
  </si>
  <si>
    <t xml:space="preserve">TRIAMCINOLONE INJ </t>
  </si>
  <si>
    <t xml:space="preserve">KENALOG  INJ </t>
  </si>
  <si>
    <t xml:space="preserve">40MG </t>
  </si>
  <si>
    <t xml:space="preserve">TRIAMCINOLONE ACETONIDE PER 10 MG INJECTION </t>
  </si>
  <si>
    <t xml:space="preserve">TRIAMCINOLONE INJECTION </t>
  </si>
  <si>
    <t xml:space="preserve">TRIAMCINOLONE ACETONIDE NJECTION </t>
  </si>
  <si>
    <t>TRIAMCINOLONE CREAM 15G</t>
  </si>
  <si>
    <t>TRIAMCINOLONE 15G</t>
  </si>
  <si>
    <t>Tribact Cream (Clotrimazole-Neomycin-Betamethasone)</t>
  </si>
  <si>
    <t>TRIBACT CREAM</t>
  </si>
  <si>
    <t>TRIBOTAN BABY CREAM</t>
  </si>
  <si>
    <t>Clotrimazole / Ichthammol / Boric aicd</t>
  </si>
  <si>
    <t>TRIBOTAN BABY</t>
  </si>
  <si>
    <t>TRIBOTAN CREAM</t>
  </si>
  <si>
    <t>CLOTRIMAZOLE /MENTHOL/BORIC ACID/ICHTHAMOL</t>
  </si>
  <si>
    <t>TRIBOTAN 20G</t>
  </si>
  <si>
    <t>Tripod Walking Stick</t>
  </si>
  <si>
    <t>TRIPOD WALKING STICK</t>
  </si>
  <si>
    <t>TRITACE TABS 10MG X30</t>
  </si>
  <si>
    <t>TRITACE</t>
  </si>
  <si>
    <t>TRITACE TABS 2.5MG X30</t>
  </si>
  <si>
    <t>TRITACE TABS 5MG X30</t>
  </si>
  <si>
    <t>TRUSOPT EYE DROPS</t>
  </si>
  <si>
    <t>DORZALAMIDE</t>
  </si>
  <si>
    <t>TRUSOPT</t>
  </si>
  <si>
    <t>TULIP 10MG X30</t>
  </si>
  <si>
    <t>TULIP</t>
  </si>
  <si>
    <t>TULIP 20MG X30</t>
  </si>
  <si>
    <t>TURBOVAS 10MG TABS X30</t>
  </si>
  <si>
    <t>TURBOVAS</t>
  </si>
  <si>
    <t>TURBOVAS 5MG TABS X30</t>
  </si>
  <si>
    <t>TUTOLIN COUGH &amp; COLD SYRUP</t>
  </si>
  <si>
    <t>AMMONIUM CHLORIDE/ SODIUM CITRATE ETC</t>
  </si>
  <si>
    <t>TUTOLIN COUGH &amp; COLD</t>
  </si>
  <si>
    <t>TUXIL-D ADULT SYRUP</t>
  </si>
  <si>
    <t>AMMONIUM CHLORIDE, CHLORPHENIRAMINE, SODIUM CITRATE</t>
  </si>
  <si>
    <t>TUXIL D CHILDREN COUGH</t>
  </si>
  <si>
    <t>TUXIL-D CHILDREN SYRUP</t>
  </si>
  <si>
    <t>TUXIL N CHILDREN COUGH</t>
  </si>
  <si>
    <t>TUXIL-N COUGH SYRUP</t>
  </si>
  <si>
    <t>TWYNSTA TABS 40/10MG X30</t>
  </si>
  <si>
    <t>TWYNSTA</t>
  </si>
  <si>
    <t>40/10mg</t>
  </si>
  <si>
    <t>TWYNSTA TABS 40/5MG X30</t>
  </si>
  <si>
    <t>40/5mg</t>
  </si>
  <si>
    <t>TWYNSTA TABS 80/10MG X30</t>
  </si>
  <si>
    <t>TWYNSTA TABS 80/5MG X30</t>
  </si>
  <si>
    <t>80/5mg</t>
  </si>
  <si>
    <t>TYDINEAL CREAM 20G</t>
  </si>
  <si>
    <t>KETOCLONAZOLE/ NEOMYCIN/ CLEOBETASOL</t>
  </si>
  <si>
    <t>TYDINEAL 20G</t>
  </si>
  <si>
    <t>Ubiquinol 100mg tabs ( Co enzyme Q10)</t>
  </si>
  <si>
    <t>ULGICID SUSPENSION 200ML</t>
  </si>
  <si>
    <t>ALUMINIUM HYDROXIDE/ DIMETHICONE ETC</t>
  </si>
  <si>
    <t>ULGICID 200ML</t>
  </si>
  <si>
    <t>ULSAKIT TABS</t>
  </si>
  <si>
    <t>ULSAKITS</t>
  </si>
  <si>
    <t>250/20/500mg</t>
  </si>
  <si>
    <t>UNASYN 375MG TABS X10</t>
  </si>
  <si>
    <t>AMPICILLIN/SULBACTAM</t>
  </si>
  <si>
    <t>UNASYN</t>
  </si>
  <si>
    <t>UNASYN IM/IV 1.5G X1VIAL</t>
  </si>
  <si>
    <t>Universal Collar</t>
  </si>
  <si>
    <t>UNIVERSAL COLLAR</t>
  </si>
  <si>
    <t>UPERIO 100MG</t>
  </si>
  <si>
    <t>Sacubitril / Valsartan</t>
  </si>
  <si>
    <t>48.6mg/51.4mg</t>
  </si>
  <si>
    <t>UPERIO 200MG TABLETS</t>
  </si>
  <si>
    <t>SACIBITRIL/VALSARTAN</t>
  </si>
  <si>
    <t>UPERIO</t>
  </si>
  <si>
    <t>UPERIO 50mg X28</t>
  </si>
  <si>
    <t>URSODEOXYCHOLIC ACID 250MG x 60</t>
  </si>
  <si>
    <t>URSODEOYCHOLIC ACID</t>
  </si>
  <si>
    <t>VACCINE - HEPATITIS B</t>
  </si>
  <si>
    <t xml:space="preserve">VACCINE </t>
  </si>
  <si>
    <t xml:space="preserve">Valacyclovir 500mg </t>
  </si>
  <si>
    <t xml:space="preserve"> Valacyclovir 500mg </t>
  </si>
  <si>
    <t xml:space="preserve"> Valacyclovir</t>
  </si>
  <si>
    <t xml:space="preserve">500mg </t>
  </si>
  <si>
    <t>VALSARTAN 160MG TABS X28</t>
  </si>
  <si>
    <t>VALSARTAN 80MG X28</t>
  </si>
  <si>
    <t>VALSARTAN CAPS[TEVA] 160MG</t>
  </si>
  <si>
    <t>VALSARTAN 160MG</t>
  </si>
  <si>
    <t>VALSARTAN (TEVA)</t>
  </si>
  <si>
    <t>160MG</t>
  </si>
  <si>
    <t>VALSARTAN HTCZ[TEVA]  160/25MG X 28</t>
  </si>
  <si>
    <t xml:space="preserve">VALSARTAN HTCZ[TEVA]  160/25MG </t>
  </si>
  <si>
    <t>160/25MG</t>
  </si>
  <si>
    <t>VALSARTAN HTCZ[TEVA]  80/12.5MG X 28</t>
  </si>
  <si>
    <t xml:space="preserve">VALSARTAN HTCZ[TEVA]  80/12.5MG </t>
  </si>
  <si>
    <t>VALSARTIL 160MG X30</t>
  </si>
  <si>
    <t>VALSARTIL</t>
  </si>
  <si>
    <t>VALSARTIL 80MG X30</t>
  </si>
  <si>
    <t>VALUPAK EFF. VIT C X20</t>
  </si>
  <si>
    <t>VALUPAK EFF. VIT C</t>
  </si>
  <si>
    <t>VALUPAK VIT C 500MG X30</t>
  </si>
  <si>
    <t>VALUPAK VIT C</t>
  </si>
  <si>
    <t>VALVAS 10/160MG TABS X30</t>
  </si>
  <si>
    <t>AMLODIPINE +VALSARTAN</t>
  </si>
  <si>
    <t>VALVAS 10/160MG</t>
  </si>
  <si>
    <t>VALVAS 5/160MG TABS X30</t>
  </si>
  <si>
    <t>VALSARTAN / AMLODIPINE</t>
  </si>
  <si>
    <t>160mg/5mg</t>
  </si>
  <si>
    <t>Vancomycin Intramuscular</t>
  </si>
  <si>
    <t>IV Vancomycin Intramuscular</t>
  </si>
  <si>
    <t xml:space="preserve">Vancomycin </t>
  </si>
  <si>
    <t>VASOPRIN TABS X10</t>
  </si>
  <si>
    <t>ACETYL SALYCYLIC ACID</t>
  </si>
  <si>
    <t>VASOPRIN</t>
  </si>
  <si>
    <t>VASTAREL MR 35MG TABS</t>
  </si>
  <si>
    <t>Trimetazidine</t>
  </si>
  <si>
    <t>VASTAREL MR 35MG</t>
  </si>
  <si>
    <t>35mg</t>
  </si>
  <si>
    <t>VECUTEN CREAM 15G</t>
  </si>
  <si>
    <t>CLOTRIMAZOLE/ DEXAMETHASONE</t>
  </si>
  <si>
    <t>VECUTEN 15G</t>
  </si>
  <si>
    <t>VENTOLIN INHALER</t>
  </si>
  <si>
    <t>VENTOLIN</t>
  </si>
  <si>
    <t>0.1MG</t>
  </si>
  <si>
    <t>VENTOLIN NEBULES 2.5MG</t>
  </si>
  <si>
    <t>VENTOLIN NEBULES</t>
  </si>
  <si>
    <t>VENTOLIN NEBULES 5MG</t>
  </si>
  <si>
    <t>SALBUTAMOL SULFATE</t>
  </si>
  <si>
    <t xml:space="preserve">VERAPAMIL 40MG </t>
  </si>
  <si>
    <t>VERAPAMIL HYDROCHLORIDE</t>
  </si>
  <si>
    <t>VERAPAMIL</t>
  </si>
  <si>
    <t>VERAPAMIL TABS 80MG X30</t>
  </si>
  <si>
    <t>VERMOX TABS 100MG X6</t>
  </si>
  <si>
    <t>MEBENDAZOLE</t>
  </si>
  <si>
    <t>VERMOX</t>
  </si>
  <si>
    <t>VICTOZA 6MG/ML X3ML</t>
  </si>
  <si>
    <t>LIRAGLUTIDE</t>
  </si>
  <si>
    <t>VICTOZA</t>
  </si>
  <si>
    <t>6mg/ml</t>
  </si>
  <si>
    <t>VILDAGLIPTIN 50MG X28</t>
  </si>
  <si>
    <t>VILDAGLIPTIN/METFORMIN 50/1000MG (VILGET) X60</t>
  </si>
  <si>
    <t>VIREST 200MG X25</t>
  </si>
  <si>
    <t>VIREST</t>
  </si>
  <si>
    <t>VIREST 400MG X25</t>
  </si>
  <si>
    <t>VIREST CREAM</t>
  </si>
  <si>
    <t>VISINE EYE DROPS ADVANCE 8ML</t>
  </si>
  <si>
    <t>TETRAHYDROXOLINE</t>
  </si>
  <si>
    <t>VISINE S ADVANCE 8ML</t>
  </si>
  <si>
    <t>0.025%/0.3%</t>
  </si>
  <si>
    <t>VISION PLUS X60</t>
  </si>
  <si>
    <t>ANTIOXIDANTS/ MULTIVITAMINS</t>
  </si>
  <si>
    <t>VISION ACE PLUS</t>
  </si>
  <si>
    <t>VISITA PLUS CREAM 10G</t>
  </si>
  <si>
    <t>VISITA PLUS</t>
  </si>
  <si>
    <t>VISITA PLUS 10G</t>
  </si>
  <si>
    <t>VISTA EYE DROP(OFLOXACIN)</t>
  </si>
  <si>
    <t>VISTA (OFLOXACIN)</t>
  </si>
  <si>
    <t>VISTULENT EYE DROP</t>
  </si>
  <si>
    <t>POTASSIUM IODIDE/SODIUM IODIDE</t>
  </si>
  <si>
    <t>VISTULENT</t>
  </si>
  <si>
    <t>0.3%/0.3%</t>
  </si>
  <si>
    <t>Vistulent eye drop</t>
  </si>
  <si>
    <t>Vistulent</t>
  </si>
  <si>
    <t>VIT B CO INJ</t>
  </si>
  <si>
    <t>VIT B COMPLEX INJ</t>
  </si>
  <si>
    <t>VIT B COMPLEX SYRUP</t>
  </si>
  <si>
    <t>VIT B COMPLEX</t>
  </si>
  <si>
    <t>VIT B COMPLEX TAB</t>
  </si>
  <si>
    <t>VIT C 1000MG TAB</t>
  </si>
  <si>
    <t xml:space="preserve">NATURES FIELD VITAMIN C </t>
  </si>
  <si>
    <t>VIT C 500MG TAB</t>
  </si>
  <si>
    <t>PELROZE VITAMIN C 500MG</t>
  </si>
  <si>
    <t>VIT C SYR</t>
  </si>
  <si>
    <t xml:space="preserve">VIT C </t>
  </si>
  <si>
    <t>VIT C TAB</t>
  </si>
  <si>
    <t xml:space="preserve">EM-VIT C </t>
  </si>
  <si>
    <t>VIT D ORAL DROPS 400 IU/ML</t>
  </si>
  <si>
    <t xml:space="preserve">VIT D ORAL DROPS </t>
  </si>
  <si>
    <t>400 IU/ML</t>
  </si>
  <si>
    <t>VIT D SYRUP 400 IU/5ML</t>
  </si>
  <si>
    <t>VIT D SYRUP </t>
  </si>
  <si>
    <t>400 IU/5ML</t>
  </si>
  <si>
    <t>VIT D TAB</t>
  </si>
  <si>
    <t>NATURES FIELD VITAMIN D</t>
  </si>
  <si>
    <t>VIT E 1000 IU (NATURE CARE)</t>
  </si>
  <si>
    <t>NATURE CARE VITAMIN E</t>
  </si>
  <si>
    <t>1000 IU</t>
  </si>
  <si>
    <t>VITACAP CAPS X 90</t>
  </si>
  <si>
    <t>VITACAP</t>
  </si>
  <si>
    <t>VITACAP CAPS X50</t>
  </si>
  <si>
    <t>VITA</t>
  </si>
  <si>
    <t>VITAMIN A CAPS X30</t>
  </si>
  <si>
    <t>VITAMIN A</t>
  </si>
  <si>
    <t>200000iu</t>
  </si>
  <si>
    <t>VITAMIN B-12 CYANOCOBALAMIN 1000MCG INJ</t>
  </si>
  <si>
    <t>1000MCG</t>
  </si>
  <si>
    <t>VITAMIN B-COMPLEX SYRUP</t>
  </si>
  <si>
    <t>VITAMIN B1</t>
  </si>
  <si>
    <t>ARCHY B12</t>
  </si>
  <si>
    <t>Vitamin B2 tab</t>
  </si>
  <si>
    <t>VITAMIN B2</t>
  </si>
  <si>
    <t>VITAMIN C INJ</t>
  </si>
  <si>
    <t>VITAMIN D 5000IU CAPS X 50</t>
  </si>
  <si>
    <t>VITAMIN D</t>
  </si>
  <si>
    <t>VITAMIN D 5000IU</t>
  </si>
  <si>
    <t>5000IU</t>
  </si>
  <si>
    <t>VITAMIN D SYRUP 100ML</t>
  </si>
  <si>
    <t>VITAMIN D 100ML</t>
  </si>
  <si>
    <t>VITANE SYRUP 200ML</t>
  </si>
  <si>
    <t>VITANE 200ML</t>
  </si>
  <si>
    <t>vitaprost eye drop</t>
  </si>
  <si>
    <t>Travoprost eye drop</t>
  </si>
  <si>
    <t>Vitaprost eye drop</t>
  </si>
  <si>
    <t>VOLINI GEL 30G</t>
  </si>
  <si>
    <t>30G</t>
  </si>
  <si>
    <t>VOLTAREN 12.5MG X10</t>
  </si>
  <si>
    <t>VOLTAREN</t>
  </si>
  <si>
    <t>VOLTAREN 50MG X10</t>
  </si>
  <si>
    <t>VOLTAREN 75MG TABS X10</t>
  </si>
  <si>
    <t>VOLTAREN TABS X10</t>
  </si>
  <si>
    <t>WAIPA TABS X12</t>
  </si>
  <si>
    <t>DIHYDROARTEMISIN/PIPERAQUINE</t>
  </si>
  <si>
    <t>WAIPA</t>
  </si>
  <si>
    <t>30/225mg</t>
  </si>
  <si>
    <t>WARFARIN TABS 1MG X28</t>
  </si>
  <si>
    <t>WARFARIN SODIUM</t>
  </si>
  <si>
    <t>WARFARIN</t>
  </si>
  <si>
    <t>WARFARIN TABS 3MG X28</t>
  </si>
  <si>
    <t>WARFARIN TABS 5MG X28</t>
  </si>
  <si>
    <t>WATE ON TONIC EMULSION</t>
  </si>
  <si>
    <t>EMULSION</t>
  </si>
  <si>
    <t>CARBOHYDRATES/ VITAMINS/ FATS</t>
  </si>
  <si>
    <t>Water for Injection</t>
  </si>
  <si>
    <t>WATER FOR</t>
  </si>
  <si>
    <t>WATER FOR INJECTION</t>
  </si>
  <si>
    <t>WELLKID BABY &amp; INFANT SYRUP 150ML</t>
  </si>
  <si>
    <t>WELLKID BABY &amp; INFANT 150ML</t>
  </si>
  <si>
    <t>WELLKID BABY DROPS</t>
  </si>
  <si>
    <t>50ML</t>
  </si>
  <si>
    <t>WELLMAN 50 PLUS TABS X30</t>
  </si>
  <si>
    <t>WELLMAN 50 PLUS</t>
  </si>
  <si>
    <t>WELLMAN 70 PLUS TABS X30</t>
  </si>
  <si>
    <t>WELLMAN 70 PLUS</t>
  </si>
  <si>
    <t>WELLMAN CAPS X30</t>
  </si>
  <si>
    <t>WELLMAN</t>
  </si>
  <si>
    <t>WELLWOMAN 50 PLUS TABS X30</t>
  </si>
  <si>
    <t>WELLWOMAN 50 PLUS</t>
  </si>
  <si>
    <t>WELLWOMAN 70 PLUS CAPS X30</t>
  </si>
  <si>
    <t>WELLWOMAN 70 PLUS</t>
  </si>
  <si>
    <t>WELLWOMAN CAPS X30</t>
  </si>
  <si>
    <t>WELLWOMAN</t>
  </si>
  <si>
    <t>WELLWOMAN MAX CAPS / PACK</t>
  </si>
  <si>
    <t>WELLWOMAN MAX</t>
  </si>
  <si>
    <t>WHEELCHAIR (WITHOUT BOWL)</t>
  </si>
  <si>
    <t>Wrist Brace &amp; Splint - Large</t>
  </si>
  <si>
    <t>Large</t>
  </si>
  <si>
    <t>XALACOM EYE DROP</t>
  </si>
  <si>
    <t>LATANOPROST/ TIMOLOL</t>
  </si>
  <si>
    <t>XALACOM</t>
  </si>
  <si>
    <t>50mcg/5mg</t>
  </si>
  <si>
    <t>XALATAN EYE DROPS</t>
  </si>
  <si>
    <t>GUTT XALATAN</t>
  </si>
  <si>
    <t>XARELTO 10MG TABS X14</t>
  </si>
  <si>
    <t>RIVAROXABAN</t>
  </si>
  <si>
    <t>XARELTO</t>
  </si>
  <si>
    <t>XARELTO 15MG TABS X14</t>
  </si>
  <si>
    <t>XARELTO 20MG TABS X14</t>
  </si>
  <si>
    <t>XASTEN 1MG TABS X100</t>
  </si>
  <si>
    <t>XASTEN</t>
  </si>
  <si>
    <t>XELJANZ 5MG</t>
  </si>
  <si>
    <t>TOFACITINIB</t>
  </si>
  <si>
    <t>XELJANZ</t>
  </si>
  <si>
    <t>CHEMOTHERAPY</t>
  </si>
  <si>
    <t>XONADINE 120MG TABS</t>
  </si>
  <si>
    <t>XONADINE</t>
  </si>
  <si>
    <t>XONADINE 180MG TABS</t>
  </si>
  <si>
    <t>XYLOMETAZOLINE 1% NASAL DROPS (OTRIVIN)</t>
  </si>
  <si>
    <t>XYLOMETAZOLINE NASAL DROPS</t>
  </si>
  <si>
    <t xml:space="preserve">OTRIVIN NASAL DROPS </t>
  </si>
  <si>
    <t>XYLOMETHAZOLINE NASAL DROPS0.0025</t>
  </si>
  <si>
    <t>XYLOMETHAZOLINE NASAL DROPS</t>
  </si>
  <si>
    <t>Xyloproct Suppository x 10</t>
  </si>
  <si>
    <t>Xyloproct</t>
  </si>
  <si>
    <t>60mg/5mg</t>
  </si>
  <si>
    <t>XYZAL 5MG TABS X10</t>
  </si>
  <si>
    <t>LEVOCETRIZINE</t>
  </si>
  <si>
    <t>XYZAL</t>
  </si>
  <si>
    <t>YASMIN TABS X63</t>
  </si>
  <si>
    <t>ETHINYLESTRADIOL/DROSPIRENONE</t>
  </si>
  <si>
    <t>YASMIN</t>
  </si>
  <si>
    <t>0.03mg/3mg</t>
  </si>
  <si>
    <t>YAZ TABS</t>
  </si>
  <si>
    <t>ETHINYL ESTRADIOL+DROSPIRENONE</t>
  </si>
  <si>
    <t>YAZ</t>
  </si>
  <si>
    <t>0.02mg, 3mg</t>
  </si>
  <si>
    <t>YEAST TABS(KUNIMED)</t>
  </si>
  <si>
    <t>YEAST</t>
  </si>
  <si>
    <t>KUNIMED</t>
  </si>
  <si>
    <t>YTACAN PLUS CREAM</t>
  </si>
  <si>
    <t>YTACAN PLUS</t>
  </si>
  <si>
    <t>ZADITEN 1MG TABS X30</t>
  </si>
  <si>
    <t>ZADITEN</t>
  </si>
  <si>
    <t>ZADITEN 2MG TABS X30</t>
  </si>
  <si>
    <t>ZADITEN EYE DROP UK</t>
  </si>
  <si>
    <t>ZADITEN UK</t>
  </si>
  <si>
    <t>250ug/ml</t>
  </si>
  <si>
    <t>ZADITEN SYRUP</t>
  </si>
  <si>
    <t>1mg/5ml</t>
  </si>
  <si>
    <t>Zadol (Aceclofenac/ Pcm/ Chlorzaxazone)</t>
  </si>
  <si>
    <t>ZADOL</t>
  </si>
  <si>
    <t>50MG/500MG/50MG</t>
  </si>
  <si>
    <t>ZENTEL SUSPENSION 20ML</t>
  </si>
  <si>
    <t>ZENTEL</t>
  </si>
  <si>
    <t>ZENTEL TABS</t>
  </si>
  <si>
    <t xml:space="preserve">ZESTRIL 10MG TAB  </t>
  </si>
  <si>
    <t>LISINOPRIL 10MG TAB</t>
  </si>
  <si>
    <t>ZETGEL CREAM</t>
  </si>
  <si>
    <t>ZETGEL</t>
  </si>
  <si>
    <t>ZETRO 500MG CAPS (AZITHROMYCIN) X3</t>
  </si>
  <si>
    <t>ZETRO</t>
  </si>
  <si>
    <t>ZETRO SUSPENSION 15ML(AZITHROMYCIN)</t>
  </si>
  <si>
    <t>ZINC 10MG TAB</t>
  </si>
  <si>
    <t>EMZOR ZINC</t>
  </si>
  <si>
    <t>ZINC OXALATE CREAM</t>
  </si>
  <si>
    <t>ZINC OXALATE</t>
  </si>
  <si>
    <t>Zinc Tablets 20mg</t>
  </si>
  <si>
    <t xml:space="preserve">Zinc </t>
  </si>
  <si>
    <t>ZINNAT 250MG TABS</t>
  </si>
  <si>
    <t>ZINNAT</t>
  </si>
  <si>
    <t>ZINNAT 500MG TABS</t>
  </si>
  <si>
    <t>ZINNAT INJECTION X1VIAL</t>
  </si>
  <si>
    <t>ZINNAT SUSPENSION 125MG 100ML</t>
  </si>
  <si>
    <t>ZINNAT 100ML</t>
  </si>
  <si>
    <t>ZINNAT SUSPENSION 125MG 50ML</t>
  </si>
  <si>
    <t>ZITHROMAX 250MG CAPS X6</t>
  </si>
  <si>
    <t>ZITHROMAX</t>
  </si>
  <si>
    <t>ZITHROMAX CAPS X24</t>
  </si>
  <si>
    <t>ZITHROMAX SUSPENSION 125MG</t>
  </si>
  <si>
    <t>ZITHROMAX 125MG</t>
  </si>
  <si>
    <t>ZOLADEX IM 10.8MG</t>
  </si>
  <si>
    <t>GOSERELIN</t>
  </si>
  <si>
    <t>ZOLADEX</t>
  </si>
  <si>
    <t>10.8mg</t>
  </si>
  <si>
    <t xml:space="preserve">ZOLENDRONIC ACID INJECTION </t>
  </si>
  <si>
    <t>ZOLENDRONIC ACID</t>
  </si>
  <si>
    <t>4 mg/100 ml</t>
  </si>
  <si>
    <t>ZOPICLONE 3.75MG TABS X28</t>
  </si>
  <si>
    <t>ZOPICLONE</t>
  </si>
  <si>
    <t>3.75mg</t>
  </si>
  <si>
    <t>ZOPICLONE 7.5MG X 30</t>
  </si>
  <si>
    <t>ZOPITAN</t>
  </si>
  <si>
    <t>ZOVIRAX CREAM 10G</t>
  </si>
  <si>
    <t>ZOVIRAX</t>
  </si>
  <si>
    <t>4.5g</t>
  </si>
  <si>
    <t>ZYLORIC 100MG TABS</t>
  </si>
  <si>
    <t>ZYLORIC</t>
  </si>
  <si>
    <t>ZYLORIC 100MG X 28</t>
  </si>
  <si>
    <t>ZYLORIC 300MG TABS</t>
  </si>
  <si>
    <t>ZYNCET 10MG TABS X50</t>
  </si>
  <si>
    <t>CETRIZINE</t>
  </si>
  <si>
    <t>ZYNCET (CETRIZINE)</t>
  </si>
  <si>
    <t>ZYNCET SYRUP 60ML</t>
  </si>
  <si>
    <t>Drug Cost</t>
  </si>
  <si>
    <t>5% Imiquimod Cream</t>
  </si>
  <si>
    <t>Imiquimod</t>
  </si>
  <si>
    <t xml:space="preserve">ACETAZOLAMIDE 250MG TAB </t>
  </si>
  <si>
    <t>ACETAZOLAMIDE BRANDED</t>
  </si>
  <si>
    <t>BRAND</t>
  </si>
  <si>
    <t>ACREATIN Cream Nil</t>
  </si>
  <si>
    <t>Cream</t>
  </si>
  <si>
    <t>ACREATIN CREAM</t>
  </si>
  <si>
    <t>ACREATIN</t>
  </si>
  <si>
    <t>Nil</t>
  </si>
  <si>
    <t>ADVANTAN Cream 0.10%</t>
  </si>
  <si>
    <t>ADVANTAN</t>
  </si>
  <si>
    <t>AIRCAST BOOT NIL NIL</t>
  </si>
  <si>
    <t>AIRCAST BOOT</t>
  </si>
  <si>
    <t>AMOXIL (IM) Injection 500MG</t>
  </si>
  <si>
    <t>Injection</t>
  </si>
  <si>
    <t>AMOXICILLIN IM (500MG)</t>
  </si>
  <si>
    <t>AMOXIL (IM)</t>
  </si>
  <si>
    <t>ANTALGEX-T Capsules 500/50mg</t>
  </si>
  <si>
    <t>Capsules</t>
  </si>
  <si>
    <t>Paracetamol/Tramadol</t>
  </si>
  <si>
    <t>500/50mg</t>
  </si>
  <si>
    <t>ASTIN-10 (ATORVASTATIN 10MG)</t>
  </si>
  <si>
    <t>Tablets</t>
  </si>
  <si>
    <t>ASTIN-10</t>
  </si>
  <si>
    <t>Avoca (Silver Nitrate) Gel 95%</t>
  </si>
  <si>
    <t>Gel</t>
  </si>
  <si>
    <t>Silver nitrate gel</t>
  </si>
  <si>
    <t>Avoca (Silver Nitrate)</t>
  </si>
  <si>
    <t>BABYREX Syrup NIL</t>
  </si>
  <si>
    <t>BABYREX</t>
  </si>
  <si>
    <t>Benzoyl Peroxide Cream 10%</t>
  </si>
  <si>
    <t>Benzoyl Peroxide</t>
  </si>
  <si>
    <t>BILAXTEN Tablets 10MG</t>
  </si>
  <si>
    <t>Bilaxten</t>
  </si>
  <si>
    <t>BILAXTEN</t>
  </si>
  <si>
    <t>Breclomol Capsules 100/500</t>
  </si>
  <si>
    <t>Aceclofenac and Paracetamol</t>
  </si>
  <si>
    <t>Breclomol</t>
  </si>
  <si>
    <t>100/500</t>
  </si>
  <si>
    <t>BUPROPION 150MG</t>
  </si>
  <si>
    <t>BUPROPION</t>
  </si>
  <si>
    <t>CABERGOLINE (NAMANGOLINE) Tablets 0.5MG</t>
  </si>
  <si>
    <t>CABERGOLINE</t>
  </si>
  <si>
    <t>CABERGOLINE (NAMANGOLINE)</t>
  </si>
  <si>
    <t>0.5MG</t>
  </si>
  <si>
    <t>CADEREX Eye Drop NIL</t>
  </si>
  <si>
    <t>Eye Drop</t>
  </si>
  <si>
    <t>CADEREX</t>
  </si>
  <si>
    <t>CANNULA NIL NIL</t>
  </si>
  <si>
    <t>CANNULA</t>
  </si>
  <si>
    <t>CARBOMER Eye Gel 5g</t>
  </si>
  <si>
    <t>Eye Gel</t>
  </si>
  <si>
    <t>CARBOMER SOOTHING AND COOLING EYE GEL</t>
  </si>
  <si>
    <t>CARBOMER</t>
  </si>
  <si>
    <t>Castor Oil NIL 10mg</t>
  </si>
  <si>
    <t>Castor Oil</t>
  </si>
  <si>
    <t>CEFALEXIN Tablets 500MG</t>
  </si>
  <si>
    <t>CEFPODOXIME Suspension 40MG/5ML</t>
  </si>
  <si>
    <t>Suspension</t>
  </si>
  <si>
    <t>40MG/5ML</t>
  </si>
  <si>
    <t>CEFUROXIME 125MG SUSPENSION</t>
  </si>
  <si>
    <t>CHEMIRON Caplets NIL</t>
  </si>
  <si>
    <t>Caplets</t>
  </si>
  <si>
    <t>CHEMIRON</t>
  </si>
  <si>
    <t>CIFRADEX EARDROP</t>
  </si>
  <si>
    <t>EARDROP</t>
  </si>
  <si>
    <t>CIPROFLOX/DEXAMETHASONE</t>
  </si>
  <si>
    <t>CEFRADEX</t>
  </si>
  <si>
    <t>CISPLASTIN (UNISTIN) Injection 50MG</t>
  </si>
  <si>
    <t>UNISTIN</t>
  </si>
  <si>
    <t>CLAMPROSTOL Eye Drop NIL</t>
  </si>
  <si>
    <t>CLAMPROSTOL</t>
  </si>
  <si>
    <t>OPHTHALMIC</t>
  </si>
  <si>
    <t>CLINDAMYCIN Cream 15G</t>
  </si>
  <si>
    <t>CLOBETASOL Cream 0.05%</t>
  </si>
  <si>
    <t>CLOBETASOL CREAM</t>
  </si>
  <si>
    <t>CLOBETASOL</t>
  </si>
  <si>
    <t>CO-AMOXICLAV Injection 400mg</t>
  </si>
  <si>
    <t>Amoxicillin/Clavulanic</t>
  </si>
  <si>
    <t>Cognitol (Swanson brand) Capsules 5mg</t>
  </si>
  <si>
    <t>VInpocetine</t>
  </si>
  <si>
    <t>VINPOCETINE (Swanson brand)</t>
  </si>
  <si>
    <t>COQ 10 Capsules 200mg</t>
  </si>
  <si>
    <t>COQ 10 Capsule</t>
  </si>
  <si>
    <t>COQ 10</t>
  </si>
  <si>
    <t>CROMSOL Eye Drop 1%</t>
  </si>
  <si>
    <t>CROMOGLYCATE</t>
  </si>
  <si>
    <t>CROMSOL</t>
  </si>
  <si>
    <t>CRYSTALLINE PENICILLIN Injection 2.2MG</t>
  </si>
  <si>
    <t>CRYSTALLINE PENICILLIN</t>
  </si>
  <si>
    <t>2.2MG</t>
  </si>
  <si>
    <t>DALACIN C Capsules 150MG</t>
  </si>
  <si>
    <t>Depo Medrol Injection Nil</t>
  </si>
  <si>
    <t>Methylprednisolone acetate</t>
  </si>
  <si>
    <t>Depo Medrol</t>
  </si>
  <si>
    <t>DEXAMETHASONE Injection MG</t>
  </si>
  <si>
    <t>MG</t>
  </si>
  <si>
    <t>Diamox Tablets 250mg</t>
  </si>
  <si>
    <t>Acetazolamide</t>
  </si>
  <si>
    <t>Diamox</t>
  </si>
  <si>
    <t>DIASTOP SUSPENSION</t>
  </si>
  <si>
    <t>DICLOFENAC Suppository 50mg</t>
  </si>
  <si>
    <t>Suppository</t>
  </si>
  <si>
    <t>Difflam Forte Throat Spray Spray 3mg</t>
  </si>
  <si>
    <t>Spray</t>
  </si>
  <si>
    <t>Benzydamine hydrochloride</t>
  </si>
  <si>
    <t>Difflam Forte Throat Spray</t>
  </si>
  <si>
    <t>DRIP GIVING SET NIL X2</t>
  </si>
  <si>
    <t>DRIP GIVING SET</t>
  </si>
  <si>
    <t>X2</t>
  </si>
  <si>
    <t>DROTAVERINE 80MG</t>
  </si>
  <si>
    <t>DROTAVERINE</t>
  </si>
  <si>
    <t>DULCOLAX Syrup 60ml</t>
  </si>
  <si>
    <t>ELICASAL Cream 0.1% / 5%</t>
  </si>
  <si>
    <t>Mometasone Fumarate / Salicylic acid</t>
  </si>
  <si>
    <t>ELICASAL</t>
  </si>
  <si>
    <t>0.1% / 5%</t>
  </si>
  <si>
    <t>EPROXEN Tablets 500MG</t>
  </si>
  <si>
    <t>NAPROXEN/ESOMEPRAZOLE</t>
  </si>
  <si>
    <t>ETHAMBUTOL Tablets 400MG</t>
  </si>
  <si>
    <t>ETHAMBUTOL 400MG</t>
  </si>
  <si>
    <t>ETHAMBUTOL</t>
  </si>
  <si>
    <t>ETHIRAB-D Tablets 20/30mg</t>
  </si>
  <si>
    <t>Rabeprazole/Domperidone</t>
  </si>
  <si>
    <t>ETHIRAB-D</t>
  </si>
  <si>
    <t>20/30mg</t>
  </si>
  <si>
    <t>EYEDITEN Eye Drop 5ml</t>
  </si>
  <si>
    <t>Ketotifen</t>
  </si>
  <si>
    <t>EYEDITEN</t>
  </si>
  <si>
    <t>FERTILAID FOR WOMEN CAPS X60</t>
  </si>
  <si>
    <t>Flotex Tablets 20mg</t>
  </si>
  <si>
    <t>Fluoxetine</t>
  </si>
  <si>
    <t>Flotex</t>
  </si>
  <si>
    <t>FUSIBACT Cream 15g</t>
  </si>
  <si>
    <t>FUSIC ACID/BECLOMETHASONE</t>
  </si>
  <si>
    <t>FUSIBACT</t>
  </si>
  <si>
    <t>FYBOGEL ORANGE X 30</t>
  </si>
  <si>
    <t>GABAPENTIN 100MG TABS X100</t>
  </si>
  <si>
    <t>GABAPENTIN 300MG TABS X100</t>
  </si>
  <si>
    <t>GAZGO (Simethicone) 200mg TABLET</t>
  </si>
  <si>
    <t>GELUSIL Tablets X6</t>
  </si>
  <si>
    <t>Antacid</t>
  </si>
  <si>
    <t>GERMOLOID Suppository 296/59/24MG</t>
  </si>
  <si>
    <t>zinc oxide, lidocaine hydrochloride, hard fat, methyl salicylate, and glyceryl tristearate</t>
  </si>
  <si>
    <t>GERMOLOID</t>
  </si>
  <si>
    <t>296/59/24MG</t>
  </si>
  <si>
    <t>GRAMOCEF O 100MG SUSPENSION</t>
  </si>
  <si>
    <t>GRAMOCEF O 200MG TABS</t>
  </si>
  <si>
    <t>GRAMOCEF O 400MG TABS X10</t>
  </si>
  <si>
    <t>Griseofulvin Tablets 250mg</t>
  </si>
  <si>
    <t>Griseofulvin 250mg</t>
  </si>
  <si>
    <t>Griseofulvin</t>
  </si>
  <si>
    <t>GUANFACINE Tablets 2mg</t>
  </si>
  <si>
    <t>GUANFACINE</t>
  </si>
  <si>
    <t>HCG Injection 5000</t>
  </si>
  <si>
    <t>HCG</t>
  </si>
  <si>
    <t>HUMALOG MIX INSULIN 3ML PACK</t>
  </si>
  <si>
    <t>HYDROGEN PEROXIDE Solution 100ml</t>
  </si>
  <si>
    <t>Solution</t>
  </si>
  <si>
    <t>HYDROGEN PEROXIDE</t>
  </si>
  <si>
    <t>HYDROXOCOBALAMIN 5AMPS X 1ML</t>
  </si>
  <si>
    <t>HYDROXYUREA Tablets 250MG</t>
  </si>
  <si>
    <t>HYPROMELLOSE EYE DROP (UK)</t>
  </si>
  <si>
    <t>INDAPAMIDE 2.5MG TABS X28</t>
  </si>
  <si>
    <t>IVERMECTIN Tablets 3MG</t>
  </si>
  <si>
    <t>IVERMECTIN</t>
  </si>
  <si>
    <t>3MG</t>
  </si>
  <si>
    <t>IVYFLUR Eye Drop Nil</t>
  </si>
  <si>
    <t>Ivyflur</t>
  </si>
  <si>
    <t>IVYFLUR</t>
  </si>
  <si>
    <t>IVYMOICELL Eye Drop 0.5%</t>
  </si>
  <si>
    <t>Hydroxypropyl methylcellulose (HPMC)</t>
  </si>
  <si>
    <t>IVYMOICELL</t>
  </si>
  <si>
    <t>JARDIANCE 25mg (Empagliflozin) X30</t>
  </si>
  <si>
    <t>Khairacid Suspension 100ml</t>
  </si>
  <si>
    <t>Magnesium Trisilicate</t>
  </si>
  <si>
    <t>Khairacid</t>
  </si>
  <si>
    <t>KHAIRACID Syrup 200ML</t>
  </si>
  <si>
    <t>KHAIRACID</t>
  </si>
  <si>
    <t>KNEE BRACE NIL MEDIUM SIZE</t>
  </si>
  <si>
    <t>KNEE BRACE</t>
  </si>
  <si>
    <t>MEDIUM SIZE</t>
  </si>
  <si>
    <t>Lercanidipine Tablets 20mg</t>
  </si>
  <si>
    <t>Lercanidipine</t>
  </si>
  <si>
    <t>LEVAMISOLE (KETRAX) Tablets 120MG</t>
  </si>
  <si>
    <t>LEVAMISOLE (KETRAX)</t>
  </si>
  <si>
    <t>120MG</t>
  </si>
  <si>
    <t>Levemir Insulin Pen SC Injection 100IU/mL</t>
  </si>
  <si>
    <t>SC Injection</t>
  </si>
  <si>
    <t>Insulin Detemir</t>
  </si>
  <si>
    <t>Levemir Insulin Pen</t>
  </si>
  <si>
    <t>100IU/mL</t>
  </si>
  <si>
    <t>Levetiracetam (Amarox) Tablets 500mg</t>
  </si>
  <si>
    <t>Levetiracetam</t>
  </si>
  <si>
    <t>Levetiracetam (Amarox)</t>
  </si>
  <si>
    <t>LEXOTAN 1.5MG TABS X10</t>
  </si>
  <si>
    <t>LEXOTAN 3MG TABS X10</t>
  </si>
  <si>
    <t>Lipotriad Vision Eye Drop Nil</t>
  </si>
  <si>
    <t>Lipotriad Vision</t>
  </si>
  <si>
    <t>LOKMAL JUNIOR DISPERSIBLE X 6</t>
  </si>
  <si>
    <t>LUMBAR JACKET NIL NIL</t>
  </si>
  <si>
    <t>LUMBAR JACKET</t>
  </si>
  <si>
    <t>MAXIRON Syrup 200ML</t>
  </si>
  <si>
    <t>IRON/MULTIVITAMIN</t>
  </si>
  <si>
    <t>MAXIRON</t>
  </si>
  <si>
    <t>MEBO 15G Ointment 0.25%w/w</t>
  </si>
  <si>
    <t>Ointment</t>
  </si>
  <si>
    <t>B-SITOSTEROL</t>
  </si>
  <si>
    <t>0.25%w/w</t>
  </si>
  <si>
    <t>METHOCARBOMOL Tablets 500MG</t>
  </si>
  <si>
    <t>METHOCARBOMOL</t>
  </si>
  <si>
    <t>METHYLDOPA 250MG TABS X30</t>
  </si>
  <si>
    <t>METHYLPREDNISOLONE INJ Injection 1000mg</t>
  </si>
  <si>
    <t>METHYLPREDNISOLONE INJ</t>
  </si>
  <si>
    <t>MICROPOST Eye Drop 0.04%</t>
  </si>
  <si>
    <t>Travoprost</t>
  </si>
  <si>
    <t>MICROPOST</t>
  </si>
  <si>
    <t>MIRTAZAPINE Tablets 15MG</t>
  </si>
  <si>
    <t>MIRTAZAPINE</t>
  </si>
  <si>
    <t>Mycophenolate Cellcept Tablets 500mg</t>
  </si>
  <si>
    <t>Mycophenolate</t>
  </si>
  <si>
    <t>Mycophenolate Cellcept</t>
  </si>
  <si>
    <t>Mycophenolate Tablets 500mg</t>
  </si>
  <si>
    <t>MYOSPAZ Tablets 250/300MG</t>
  </si>
  <si>
    <t>Chlorxazone/Paracetamol</t>
  </si>
  <si>
    <t>MYOSPAZ</t>
  </si>
  <si>
    <t>250/300MG</t>
  </si>
  <si>
    <t>Neohealer Ointment Cream 0.1%</t>
  </si>
  <si>
    <t>Lupinus Albus, Vateria Indica, Mentha Piperita, and Aloe Vera</t>
  </si>
  <si>
    <t>Neohealer Ointment</t>
  </si>
  <si>
    <t>NIMATEM FORTE Tablets 80/480MG</t>
  </si>
  <si>
    <t>ARTEMETHER/LUMEFANTRINE</t>
  </si>
  <si>
    <t>NIMATEM FORTE</t>
  </si>
  <si>
    <t>80/480MG</t>
  </si>
  <si>
    <t>NITRAZEPAM Tablets 10MG</t>
  </si>
  <si>
    <t>NITRAZEPAM</t>
  </si>
  <si>
    <t>NITROGLYCERIN SUBLINGUAL</t>
  </si>
  <si>
    <t>NITROGLYCERIN</t>
  </si>
  <si>
    <t>NITOGLYCERIN</t>
  </si>
  <si>
    <t>6.4MG</t>
  </si>
  <si>
    <t>NO-ACH Tablets 100/500</t>
  </si>
  <si>
    <t>ACECLOFENAC/CHLORZOXAZONE</t>
  </si>
  <si>
    <t>NORISTERAT Injection 200MG</t>
  </si>
  <si>
    <t>NORISTERAT</t>
  </si>
  <si>
    <t>NOVORAPID SC Injection 100IU</t>
  </si>
  <si>
    <t>Insulin</t>
  </si>
  <si>
    <t>NOVORAPID</t>
  </si>
  <si>
    <t>NOW CALCIUM ASCORBATE 500-C Capsules 600/500</t>
  </si>
  <si>
    <t>Calcium and Vitamin C</t>
  </si>
  <si>
    <t>NOW CALCIUM ASCORBATE 500-C</t>
  </si>
  <si>
    <t>600/500</t>
  </si>
  <si>
    <t>NUCLEO CMP FORTE Capsules Nil</t>
  </si>
  <si>
    <t>NUCLEO CMP FORTE</t>
  </si>
  <si>
    <t>NYSTATIN Oral Drop 100,000IU</t>
  </si>
  <si>
    <t>Oral Drop</t>
  </si>
  <si>
    <t>100,000IU</t>
  </si>
  <si>
    <t>Odizat Tablets 10/160mg</t>
  </si>
  <si>
    <t>Odizat</t>
  </si>
  <si>
    <t>OESTROGEN Cream NIL</t>
  </si>
  <si>
    <t>OESTROGEN</t>
  </si>
  <si>
    <t>Olopatadine Alcon-Couvreur Belgium Eye Drop 0.1%</t>
  </si>
  <si>
    <t>Olopatadine</t>
  </si>
  <si>
    <t>Olopatadine Alcon-Couvreur Belgium</t>
  </si>
  <si>
    <t>ONDASETRON (NAMANSET) Injection 40MG</t>
  </si>
  <si>
    <t>ONDASETRON INJECTION</t>
  </si>
  <si>
    <t>ONDASETRON (NAMANSET)</t>
  </si>
  <si>
    <t>OXISPA Tablets 250MG</t>
  </si>
  <si>
    <t>OXISPA</t>
  </si>
  <si>
    <t>PACLITAXEL Injection 300MG</t>
  </si>
  <si>
    <t>PACLITAXEL 300MG</t>
  </si>
  <si>
    <t>PACLITAXEL</t>
  </si>
  <si>
    <t>PANOXYL (Benzoyl Peroxide) Face wash 10%</t>
  </si>
  <si>
    <t>Face wash</t>
  </si>
  <si>
    <t>BENZOYL PEROXIDE 10% FACE WASH</t>
  </si>
  <si>
    <t>PANOXYL (Benzoyl Peroxide)</t>
  </si>
  <si>
    <t>PANTODOM Tablets 10/20MG</t>
  </si>
  <si>
    <t>DOMPERIDONE/PANTOPRAZOLE</t>
  </si>
  <si>
    <t>PANTODOM</t>
  </si>
  <si>
    <t>10/20MG</t>
  </si>
  <si>
    <t>PHLEBODIA Tablets 600MG</t>
  </si>
  <si>
    <t>PHLEBODIA</t>
  </si>
  <si>
    <t>Phloroglucinol Capsules 80mg</t>
  </si>
  <si>
    <t>Phloroglucinol</t>
  </si>
  <si>
    <t>PICCAN IBUPROFEN SYRUP</t>
  </si>
  <si>
    <t>PICCAN TEETHING SYRUP</t>
  </si>
  <si>
    <t>POLYGYNAX Pessary NIL</t>
  </si>
  <si>
    <t>Pessary</t>
  </si>
  <si>
    <t>NEOMYCIN/POLYMIX B SULFATE/NYSTATIN</t>
  </si>
  <si>
    <t>PRAZIQUANTEL Tablets 1200MG</t>
  </si>
  <si>
    <t>PRAZIQUANTEL</t>
  </si>
  <si>
    <t>1200MG</t>
  </si>
  <si>
    <t>PREMARIN Cream Nil</t>
  </si>
  <si>
    <t>Premarin cream</t>
  </si>
  <si>
    <t>PRIMOLUT N Injection 250MG</t>
  </si>
  <si>
    <t>Hydroxyprogesterone</t>
  </si>
  <si>
    <t>PROLUTON Injection 250mg</t>
  </si>
  <si>
    <t>HYDROXY PROGESTERONE</t>
  </si>
  <si>
    <t>PROLUTON</t>
  </si>
  <si>
    <t>PRONATAL Capsules X30</t>
  </si>
  <si>
    <t>Folic acid/Iron/Calcium/Vitamin D</t>
  </si>
  <si>
    <t>PRONATAL</t>
  </si>
  <si>
    <t>X30</t>
  </si>
  <si>
    <t>PROPYLTHIOURACIL Tablets 100mg</t>
  </si>
  <si>
    <t>PROPYLTHIOURACIL</t>
  </si>
  <si>
    <t>RENNIE PEPPERMINT Tablets Nil</t>
  </si>
  <si>
    <t>Calcium carbonate, Magnesium carbonate</t>
  </si>
  <si>
    <t>RENNIE PEPPERMINT</t>
  </si>
  <si>
    <t>REVIVE Capsules 400MG</t>
  </si>
  <si>
    <t>REVIVE</t>
  </si>
  <si>
    <t>RIBOFLAVIN Tablets NIL</t>
  </si>
  <si>
    <t>RIBOFLAVIN</t>
  </si>
  <si>
    <t>RIGHT ANKLE BRACE (RIGOD) NIL NIL</t>
  </si>
  <si>
    <t>RIGHT ANKLE BRACE</t>
  </si>
  <si>
    <t>RIGHT ANKLE BRACE (RIGOD)</t>
  </si>
  <si>
    <t>RIPATEC EYEDROP</t>
  </si>
  <si>
    <t>RIPASUDIL</t>
  </si>
  <si>
    <t>RIPATEC</t>
  </si>
  <si>
    <t>0.4% W/V</t>
  </si>
  <si>
    <t>SALTROL Inhaler 25/250mcg</t>
  </si>
  <si>
    <t>Inhaler</t>
  </si>
  <si>
    <t>Salmeterol/Fluticasone</t>
  </si>
  <si>
    <t>SALTROL</t>
  </si>
  <si>
    <t>25/250mcg</t>
  </si>
  <si>
    <t>SIDEPRESS T(CLORTHALIDONE) Tablets 12.5MG</t>
  </si>
  <si>
    <t>CLORTHALIDONE</t>
  </si>
  <si>
    <t>SIDEPRESS T(CLORTHALIDONE)</t>
  </si>
  <si>
    <t>12.5MG</t>
  </si>
  <si>
    <t>SILDENAFIL CITRATE Capsules 50MG</t>
  </si>
  <si>
    <t>SILDENAFIL CITRATE 50MG</t>
  </si>
  <si>
    <t>SILDENAFIL CITRATE</t>
  </si>
  <si>
    <t>MENTHOL OIL</t>
  </si>
  <si>
    <t>SIMBRINZA Eye Drop 5MG/ML + 2MG/ML</t>
  </si>
  <si>
    <t>BRIMONIDINE/BRINZOLAMIDE</t>
  </si>
  <si>
    <t>SIMBRINZA</t>
  </si>
  <si>
    <t>5MG/ML + 2MG/ML</t>
  </si>
  <si>
    <t xml:space="preserve">SODIUM BICARBONATE Tablets </t>
  </si>
  <si>
    <t>SOFRATULLE X 3PACKS NIL X3</t>
  </si>
  <si>
    <t>SOFRATULLE X 3PACKS</t>
  </si>
  <si>
    <t>X3</t>
  </si>
  <si>
    <t>SUPERMAG Suspension 200ml</t>
  </si>
  <si>
    <t>SUPERMAG</t>
  </si>
  <si>
    <t>SYRINGE 20ML</t>
  </si>
  <si>
    <t>20ML</t>
  </si>
  <si>
    <t>Tamsudart Tablets 0.5mg/0.4mg</t>
  </si>
  <si>
    <t>Dutasteride/Tamsulosin</t>
  </si>
  <si>
    <t>Tamsudart</t>
  </si>
  <si>
    <t>Tandak Injection 1000/500mg</t>
  </si>
  <si>
    <t>Tandak</t>
  </si>
  <si>
    <t>1000/500mg</t>
  </si>
  <si>
    <t>TARIVID Tablets 200MG</t>
  </si>
  <si>
    <t>TED STOCKINGS NIL Nil</t>
  </si>
  <si>
    <t>TED STOCKINGS</t>
  </si>
  <si>
    <t>TETANUS TOXOID Injection 0.5MLS</t>
  </si>
  <si>
    <t>TETANUS TOXOID</t>
  </si>
  <si>
    <t>0.5MLS</t>
  </si>
  <si>
    <t>TOTHEMA Suspension NIL</t>
  </si>
  <si>
    <t>IRON/MANGANESE/COPPER</t>
  </si>
  <si>
    <t>TRANEXAMIC ACID Injection 500MG/5ML</t>
  </si>
  <si>
    <t>500MG/5ML</t>
  </si>
  <si>
    <t>TRIFLUOPERAZINE Tablets 5mg</t>
  </si>
  <si>
    <t>TRIFLUOPERAZINE</t>
  </si>
  <si>
    <t>TRINBELIMAB ANTI RHO-D Injection 300MCG</t>
  </si>
  <si>
    <t>ANTI RHO-D IMMUNOGLOBULIN</t>
  </si>
  <si>
    <t>TRINBELIMAB ANTI RHO-D</t>
  </si>
  <si>
    <t>300MCG</t>
  </si>
  <si>
    <t>UREA CREAM Cream 20g</t>
  </si>
  <si>
    <t>Carbamide</t>
  </si>
  <si>
    <t>UREA CREAM</t>
  </si>
  <si>
    <t>URISOL (Cranberry Extract) Capsules 360mg</t>
  </si>
  <si>
    <t>Cranberry extract</t>
  </si>
  <si>
    <t>URISOL (Cranberry Extract)</t>
  </si>
  <si>
    <t>360mg</t>
  </si>
  <si>
    <t>VAMOBION Syrup 200ml</t>
  </si>
  <si>
    <t>Multivitamin</t>
  </si>
  <si>
    <t>Acute,Chronic,Telemedicine</t>
  </si>
  <si>
    <t>VAMOBION</t>
  </si>
  <si>
    <t>Verapamil Tablets 40mg</t>
  </si>
  <si>
    <t>Verapamil</t>
  </si>
  <si>
    <t>Vingraf Tablets 2mg</t>
  </si>
  <si>
    <t>Tacrolimus</t>
  </si>
  <si>
    <t>Vingraf</t>
  </si>
  <si>
    <t>VITADIUM Eye Drop 5ml</t>
  </si>
  <si>
    <t>Sodium chloride</t>
  </si>
  <si>
    <t>VITADIUM</t>
  </si>
  <si>
    <t>VITAMIN C Tablets 1G</t>
  </si>
  <si>
    <t>VITAMIN E 1,000IU Tablets 1000IU</t>
  </si>
  <si>
    <t>VITAMIN E 1,000IU</t>
  </si>
  <si>
    <t>VITAMIN K 10MG X10 AMPOULES Injection 10mg</t>
  </si>
  <si>
    <t>VITAMIN K 10MG X10 AMPOULES</t>
  </si>
  <si>
    <t>VOLTAREN Gel Nil</t>
  </si>
  <si>
    <t>XENOBREX (CELECOXIB) Tablets 200MG</t>
  </si>
  <si>
    <t>CELECOXIB 200MG</t>
  </si>
  <si>
    <t>XENOBREX (CELECOXIB)</t>
  </si>
  <si>
    <t>XYLO ACINO Nasal Spray 0.1%</t>
  </si>
  <si>
    <t>Nasal Spray</t>
  </si>
  <si>
    <t>Xylometazoline HCl</t>
  </si>
  <si>
    <t>XYLO ACINO</t>
  </si>
  <si>
    <t>ZINCHLOR EYEDROP</t>
  </si>
  <si>
    <t>Zinc sulphate, boric acid and Naphtazzoline HCL</t>
  </si>
  <si>
    <t>ZINCHLOR</t>
  </si>
  <si>
    <t>Zolamox Tablets 250mg</t>
  </si>
  <si>
    <t>Zolamox</t>
  </si>
  <si>
    <t>ZOLPIDERM Capsules 10MG</t>
  </si>
  <si>
    <t>ZOLPIDERM</t>
  </si>
  <si>
    <t>ZYTIGA (ABIRATERONE)</t>
  </si>
  <si>
    <t>ABIRATERONE</t>
  </si>
  <si>
    <t>ZYTIGA</t>
  </si>
  <si>
    <t>FINE TEST STRIP X25</t>
  </si>
  <si>
    <t>Blood Glucose Test Strip</t>
  </si>
  <si>
    <t>FINE TEST</t>
  </si>
  <si>
    <t>METFORMIN SR TABS 500MG X56</t>
  </si>
  <si>
    <t>TEGRETOL 200MG TABS X60</t>
  </si>
  <si>
    <t>10%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</si>
</sst>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9" fontId="3" fillId="0" borderId="0" xfId="0" applyNumberFormat="1" applyFont="1"/>
    <xf numFmtId="0" fontId="4" fillId="0" borderId="0" xfId="0" applyFont="1"/>
    <xf numFmtId="10" fontId="3" fillId="0" borderId="0" xfId="0" applyNumberFormat="1" applyFont="1"/>
    <xf numFmtId="0" fontId="4" fillId="0" borderId="0" xfId="0" applyFont="1" applyAlignment="1">
      <alignment horizontal="right"/>
    </xf>
    <xf numFmtId="1" fontId="4" fillId="0" borderId="0" xfId="0" applyNumberFormat="1" applyFont="1"/>
    <xf numFmtId="10" fontId="4" fillId="0" borderId="0" xfId="0" applyNumberFormat="1" applyFont="1"/>
    <xf numFmtId="9" fontId="4" fillId="0" borderId="0" xfId="0" applyNumberFormat="1" applyFont="1"/>
    <xf numFmtId="0" fontId="5" fillId="0" borderId="0" xfId="0" applyFont="1"/>
    <xf numFmtId="1" fontId="5" fillId="0" borderId="0" xfId="0" applyNumberFormat="1" applyFont="1"/>
    <xf numFmtId="1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2883"/>
  <sheetViews>
    <sheetView tabSelected="1" workbookViewId="0">
      <pane ySplit="1" topLeftCell="A273" activePane="bottomLeft" state="frozen"/>
      <selection pane="bottomLeft" activeCell="Q109" sqref="Q109"/>
    </sheetView>
  </sheetViews>
  <sheetFormatPr baseColWidth="10" defaultColWidth="14.3984375" defaultRowHeight="15.75" customHeight="1" x14ac:dyDescent="0.2"/>
  <cols>
    <col min="1" max="1" width="52" style="7" customWidth="1"/>
    <col min="2" max="2" width="13.19921875" style="10" customWidth="1"/>
    <col min="3" max="3" width="14.3984375" style="7"/>
    <col min="4" max="4" width="13.59765625" style="7" customWidth="1"/>
    <col min="5" max="5" width="14.19921875" style="7" hidden="1" customWidth="1"/>
    <col min="6" max="6" width="8.19921875" style="7" hidden="1" customWidth="1"/>
    <col min="7" max="7" width="2.19921875" style="7" hidden="1" customWidth="1"/>
    <col min="8" max="8" width="20.59765625" style="7" hidden="1" customWidth="1"/>
    <col min="9" max="9" width="0.3984375" style="7" hidden="1" customWidth="1"/>
    <col min="10" max="10" width="28.796875" style="7" hidden="1" customWidth="1"/>
    <col min="11" max="11" width="16.19921875" style="7" hidden="1" customWidth="1"/>
    <col min="12" max="12" width="16.59765625" style="7" hidden="1" customWidth="1"/>
  </cols>
  <sheetData>
    <row r="1" spans="1:25" ht="16" x14ac:dyDescent="0.2">
      <c r="A1" s="13" t="s">
        <v>0</v>
      </c>
      <c r="B1" s="14" t="s">
        <v>5169</v>
      </c>
      <c r="C1" s="14" t="s">
        <v>1</v>
      </c>
      <c r="D1" s="13" t="s">
        <v>7</v>
      </c>
      <c r="E1" s="14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8</v>
      </c>
      <c r="K1" s="13" t="s">
        <v>9</v>
      </c>
      <c r="L1" s="13"/>
      <c r="M1" s="1" t="s">
        <v>5583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">
      <c r="A2" s="4" t="s">
        <v>17</v>
      </c>
      <c r="B2" s="5">
        <v>5435.600625</v>
      </c>
      <c r="C2" s="5">
        <f>(B2/D2)</f>
        <v>5435.600625</v>
      </c>
      <c r="D2" s="4">
        <v>1</v>
      </c>
      <c r="E2" s="5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6">
        <v>0.1</v>
      </c>
      <c r="K2" s="4" t="s">
        <v>23</v>
      </c>
      <c r="M2">
        <f>C2-(C2*10%)</f>
        <v>4892.0405625000003</v>
      </c>
    </row>
    <row r="3" spans="1:25" ht="15.75" customHeight="1" x14ac:dyDescent="0.2">
      <c r="A3" s="4" t="s">
        <v>24</v>
      </c>
      <c r="B3" s="5">
        <v>166.3959375</v>
      </c>
      <c r="C3" s="5">
        <f t="shared" ref="C3:C66" si="0">(B3/D3)</f>
        <v>166.3959375</v>
      </c>
      <c r="D3" s="4">
        <v>1</v>
      </c>
      <c r="E3" s="5" t="s">
        <v>25</v>
      </c>
      <c r="F3" s="4" t="s">
        <v>26</v>
      </c>
      <c r="G3" s="4" t="s">
        <v>12</v>
      </c>
      <c r="H3" s="4" t="s">
        <v>26</v>
      </c>
      <c r="I3" s="4" t="s">
        <v>22</v>
      </c>
      <c r="J3" s="4" t="s">
        <v>27</v>
      </c>
      <c r="K3" s="4" t="s">
        <v>28</v>
      </c>
      <c r="M3">
        <f t="shared" ref="M3:M66" si="1">C3-(C3*10%)</f>
        <v>149.75634375000001</v>
      </c>
    </row>
    <row r="4" spans="1:25" ht="15.75" customHeight="1" x14ac:dyDescent="0.2">
      <c r="A4" s="4" t="s">
        <v>29</v>
      </c>
      <c r="B4" s="5">
        <v>25037.042062500001</v>
      </c>
      <c r="C4" s="5">
        <f t="shared" si="0"/>
        <v>447.09003683035718</v>
      </c>
      <c r="D4" s="4">
        <v>56</v>
      </c>
      <c r="E4" s="5" t="s">
        <v>30</v>
      </c>
      <c r="F4" s="4" t="s">
        <v>31</v>
      </c>
      <c r="G4" s="4" t="s">
        <v>12</v>
      </c>
      <c r="H4" s="4" t="s">
        <v>32</v>
      </c>
      <c r="I4" s="4" t="s">
        <v>33</v>
      </c>
      <c r="K4" s="4" t="s">
        <v>34</v>
      </c>
      <c r="M4">
        <f t="shared" si="1"/>
        <v>402.38103314732143</v>
      </c>
    </row>
    <row r="5" spans="1:25" ht="15.75" customHeight="1" x14ac:dyDescent="0.2">
      <c r="A5" s="4" t="s">
        <v>35</v>
      </c>
      <c r="B5" s="5">
        <v>4310.7640875000006</v>
      </c>
      <c r="C5" s="5">
        <f t="shared" si="0"/>
        <v>4310.7640875000006</v>
      </c>
      <c r="D5" s="4">
        <v>1</v>
      </c>
      <c r="E5" s="5" t="s">
        <v>18</v>
      </c>
      <c r="F5" s="4" t="s">
        <v>36</v>
      </c>
      <c r="G5" s="4" t="s">
        <v>20</v>
      </c>
      <c r="H5" s="4" t="s">
        <v>36</v>
      </c>
      <c r="I5" s="4" t="s">
        <v>22</v>
      </c>
      <c r="J5" s="6">
        <v>0.2</v>
      </c>
      <c r="K5" s="4" t="s">
        <v>23</v>
      </c>
      <c r="M5">
        <f t="shared" si="1"/>
        <v>3879.6876787500005</v>
      </c>
    </row>
    <row r="6" spans="1:25" ht="15.75" customHeight="1" x14ac:dyDescent="0.2">
      <c r="A6" s="4" t="s">
        <v>37</v>
      </c>
      <c r="B6" s="5">
        <v>5213.7393750000001</v>
      </c>
      <c r="C6" s="5">
        <f t="shared" si="0"/>
        <v>5213.7393750000001</v>
      </c>
      <c r="D6" s="4">
        <v>1</v>
      </c>
      <c r="E6" s="5" t="s">
        <v>18</v>
      </c>
      <c r="F6" s="4" t="s">
        <v>36</v>
      </c>
      <c r="G6" s="4" t="s">
        <v>20</v>
      </c>
      <c r="H6" s="4" t="s">
        <v>36</v>
      </c>
      <c r="I6" s="4" t="s">
        <v>22</v>
      </c>
      <c r="J6" s="6">
        <v>0.2</v>
      </c>
      <c r="K6" s="4" t="s">
        <v>23</v>
      </c>
      <c r="M6">
        <f t="shared" si="1"/>
        <v>4692.3654375000006</v>
      </c>
    </row>
    <row r="7" spans="1:25" ht="15.75" customHeight="1" x14ac:dyDescent="0.2">
      <c r="A7" s="4" t="s">
        <v>38</v>
      </c>
      <c r="B7" s="5">
        <v>277.32656250000002</v>
      </c>
      <c r="C7" s="5">
        <f t="shared" si="0"/>
        <v>277.32656250000002</v>
      </c>
      <c r="D7" s="4">
        <v>1</v>
      </c>
      <c r="E7" s="5" t="s">
        <v>25</v>
      </c>
      <c r="F7" s="4" t="s">
        <v>26</v>
      </c>
      <c r="G7" s="4" t="s">
        <v>12</v>
      </c>
      <c r="H7" s="4" t="s">
        <v>26</v>
      </c>
      <c r="I7" s="4" t="s">
        <v>22</v>
      </c>
      <c r="J7" s="4" t="s">
        <v>39</v>
      </c>
      <c r="K7" s="4" t="s">
        <v>28</v>
      </c>
      <c r="M7">
        <f t="shared" si="1"/>
        <v>249.59390625000003</v>
      </c>
    </row>
    <row r="8" spans="1:25" ht="15.75" customHeight="1" x14ac:dyDescent="0.2">
      <c r="A8" s="4" t="s">
        <v>5170</v>
      </c>
      <c r="B8" s="5">
        <v>62121.150000000009</v>
      </c>
      <c r="C8" s="5">
        <f t="shared" si="0"/>
        <v>62121.150000000009</v>
      </c>
      <c r="D8" s="4">
        <v>1</v>
      </c>
      <c r="E8" s="4" t="s">
        <v>55</v>
      </c>
      <c r="F8" s="4" t="s">
        <v>5170</v>
      </c>
      <c r="G8" s="4" t="s">
        <v>12</v>
      </c>
      <c r="H8" s="4" t="s">
        <v>5171</v>
      </c>
      <c r="I8" s="4" t="s">
        <v>22</v>
      </c>
      <c r="J8" s="6">
        <v>0.05</v>
      </c>
      <c r="K8" s="4" t="s">
        <v>23</v>
      </c>
      <c r="M8">
        <f t="shared" si="1"/>
        <v>55909.035000000003</v>
      </c>
    </row>
    <row r="9" spans="1:25" ht="15.75" customHeight="1" x14ac:dyDescent="0.2">
      <c r="A9" s="4" t="s">
        <v>40</v>
      </c>
      <c r="B9" s="5">
        <v>2329.5431250000001</v>
      </c>
      <c r="C9" s="5">
        <f t="shared" si="0"/>
        <v>2329.5431250000001</v>
      </c>
      <c r="D9" s="4">
        <v>1</v>
      </c>
      <c r="E9" s="5" t="s">
        <v>18</v>
      </c>
      <c r="F9" s="4" t="s">
        <v>41</v>
      </c>
      <c r="G9" s="4" t="s">
        <v>20</v>
      </c>
      <c r="H9" s="4" t="s">
        <v>42</v>
      </c>
      <c r="I9" s="4" t="s">
        <v>22</v>
      </c>
      <c r="J9" s="6">
        <v>0.05</v>
      </c>
      <c r="K9" s="4" t="s">
        <v>23</v>
      </c>
      <c r="M9">
        <f t="shared" si="1"/>
        <v>2096.5888125000001</v>
      </c>
    </row>
    <row r="10" spans="1:25" ht="15.75" customHeight="1" x14ac:dyDescent="0.2">
      <c r="A10" s="4" t="s">
        <v>43</v>
      </c>
      <c r="B10" s="5">
        <v>110.93062500000001</v>
      </c>
      <c r="C10" s="5">
        <f t="shared" si="0"/>
        <v>110.93062500000001</v>
      </c>
      <c r="D10" s="4">
        <v>1</v>
      </c>
      <c r="E10" s="5" t="s">
        <v>25</v>
      </c>
      <c r="F10" s="4" t="s">
        <v>26</v>
      </c>
      <c r="G10" s="4" t="s">
        <v>12</v>
      </c>
      <c r="H10" s="4" t="s">
        <v>26</v>
      </c>
      <c r="I10" s="4" t="s">
        <v>22</v>
      </c>
      <c r="J10" s="4" t="s">
        <v>44</v>
      </c>
      <c r="K10" s="4" t="s">
        <v>28</v>
      </c>
      <c r="M10">
        <f t="shared" si="1"/>
        <v>99.837562500000004</v>
      </c>
    </row>
    <row r="11" spans="1:25" ht="15.75" customHeight="1" x14ac:dyDescent="0.2">
      <c r="A11" s="4" t="s">
        <v>45</v>
      </c>
      <c r="B11" s="5">
        <v>32169.881250000002</v>
      </c>
      <c r="C11" s="5">
        <f t="shared" si="0"/>
        <v>536.16468750000001</v>
      </c>
      <c r="D11" s="4">
        <v>60</v>
      </c>
      <c r="E11" s="5" t="s">
        <v>10</v>
      </c>
      <c r="F11" s="4" t="s">
        <v>46</v>
      </c>
      <c r="G11" s="4" t="s">
        <v>12</v>
      </c>
      <c r="H11" s="4" t="s">
        <v>46</v>
      </c>
      <c r="I11" s="4" t="s">
        <v>22</v>
      </c>
      <c r="J11" s="4" t="s">
        <v>47</v>
      </c>
      <c r="K11" s="4" t="s">
        <v>48</v>
      </c>
      <c r="M11">
        <f t="shared" si="1"/>
        <v>482.54821874999999</v>
      </c>
    </row>
    <row r="12" spans="1:25" ht="15.75" customHeight="1" x14ac:dyDescent="0.2">
      <c r="A12" s="4" t="s">
        <v>49</v>
      </c>
      <c r="B12" s="5">
        <v>3106.0575000000003</v>
      </c>
      <c r="C12" s="5">
        <f t="shared" si="0"/>
        <v>310.60575000000006</v>
      </c>
      <c r="D12" s="4">
        <v>10</v>
      </c>
      <c r="E12" s="5" t="s">
        <v>10</v>
      </c>
      <c r="F12" s="4" t="s">
        <v>50</v>
      </c>
      <c r="G12" s="4" t="s">
        <v>20</v>
      </c>
      <c r="H12" s="4" t="s">
        <v>51</v>
      </c>
      <c r="I12" s="4" t="s">
        <v>22</v>
      </c>
      <c r="J12" s="4" t="s">
        <v>52</v>
      </c>
      <c r="K12" s="4" t="s">
        <v>53</v>
      </c>
      <c r="M12">
        <f t="shared" si="1"/>
        <v>279.54517500000003</v>
      </c>
    </row>
    <row r="13" spans="1:25" ht="15.75" customHeight="1" x14ac:dyDescent="0.2">
      <c r="A13" s="4" t="s">
        <v>54</v>
      </c>
      <c r="B13" s="5">
        <v>1663.9593750000001</v>
      </c>
      <c r="C13" s="5">
        <f t="shared" si="0"/>
        <v>1663.9593750000001</v>
      </c>
      <c r="D13" s="4">
        <v>1</v>
      </c>
      <c r="E13" s="5" t="s">
        <v>55</v>
      </c>
      <c r="F13" s="4" t="s">
        <v>56</v>
      </c>
      <c r="G13" s="4" t="s">
        <v>20</v>
      </c>
      <c r="H13" s="4" t="s">
        <v>57</v>
      </c>
      <c r="I13" s="4" t="s">
        <v>22</v>
      </c>
      <c r="J13" s="6">
        <v>0.05</v>
      </c>
      <c r="K13" s="4" t="s">
        <v>23</v>
      </c>
      <c r="M13">
        <f t="shared" si="1"/>
        <v>1497.5634375000002</v>
      </c>
    </row>
    <row r="14" spans="1:25" ht="15.75" customHeight="1" x14ac:dyDescent="0.2">
      <c r="A14" s="4" t="s">
        <v>58</v>
      </c>
      <c r="B14" s="5">
        <v>4991.8781250000002</v>
      </c>
      <c r="C14" s="5">
        <f t="shared" si="0"/>
        <v>4991.8781250000002</v>
      </c>
      <c r="D14" s="4">
        <v>1</v>
      </c>
      <c r="E14" s="5" t="s">
        <v>59</v>
      </c>
      <c r="F14" s="4" t="s">
        <v>60</v>
      </c>
      <c r="G14" s="4" t="s">
        <v>20</v>
      </c>
      <c r="H14" s="4" t="s">
        <v>61</v>
      </c>
      <c r="I14" s="4" t="s">
        <v>14</v>
      </c>
      <c r="J14" s="4" t="s">
        <v>62</v>
      </c>
      <c r="K14" s="4" t="s">
        <v>34</v>
      </c>
      <c r="M14">
        <f t="shared" si="1"/>
        <v>4492.6903124999999</v>
      </c>
    </row>
    <row r="15" spans="1:25" ht="15.75" customHeight="1" x14ac:dyDescent="0.2">
      <c r="A15" s="4" t="s">
        <v>63</v>
      </c>
      <c r="B15" s="5">
        <v>5870.4486750000005</v>
      </c>
      <c r="C15" s="5">
        <f t="shared" si="0"/>
        <v>5870.4486750000005</v>
      </c>
      <c r="D15" s="4">
        <v>1</v>
      </c>
      <c r="E15" s="5" t="s">
        <v>59</v>
      </c>
      <c r="F15" s="4" t="s">
        <v>60</v>
      </c>
      <c r="G15" s="4" t="s">
        <v>20</v>
      </c>
      <c r="H15" s="4" t="s">
        <v>61</v>
      </c>
      <c r="I15" s="4" t="s">
        <v>14</v>
      </c>
      <c r="J15" s="4" t="s">
        <v>62</v>
      </c>
      <c r="K15" s="4" t="s">
        <v>34</v>
      </c>
      <c r="M15">
        <f t="shared" si="1"/>
        <v>5283.4038075000008</v>
      </c>
    </row>
    <row r="16" spans="1:25" ht="15.75" customHeight="1" x14ac:dyDescent="0.2">
      <c r="A16" s="4" t="s">
        <v>64</v>
      </c>
      <c r="B16" s="5">
        <v>269561.41875000001</v>
      </c>
      <c r="C16" s="5">
        <f t="shared" si="0"/>
        <v>8985.3806249999998</v>
      </c>
      <c r="D16" s="4">
        <v>30</v>
      </c>
      <c r="E16" s="5" t="s">
        <v>10</v>
      </c>
      <c r="F16" s="4" t="s">
        <v>65</v>
      </c>
      <c r="G16" s="4" t="s">
        <v>12</v>
      </c>
      <c r="H16" s="4" t="s">
        <v>66</v>
      </c>
      <c r="I16" s="4" t="s">
        <v>22</v>
      </c>
      <c r="J16" s="4" t="s">
        <v>67</v>
      </c>
      <c r="K16" s="4" t="s">
        <v>68</v>
      </c>
      <c r="M16">
        <f t="shared" si="1"/>
        <v>8086.8425625</v>
      </c>
    </row>
    <row r="17" spans="1:25" ht="15.75" customHeight="1" x14ac:dyDescent="0.2">
      <c r="A17" s="4" t="s">
        <v>69</v>
      </c>
      <c r="B17" s="5">
        <v>1663.9593750000001</v>
      </c>
      <c r="C17" s="5">
        <f t="shared" si="0"/>
        <v>1663.9593750000001</v>
      </c>
      <c r="D17" s="4">
        <v>1</v>
      </c>
      <c r="E17" s="5" t="s">
        <v>70</v>
      </c>
      <c r="F17" s="4" t="s">
        <v>71</v>
      </c>
      <c r="G17" s="4" t="s">
        <v>20</v>
      </c>
      <c r="H17" s="4" t="s">
        <v>72</v>
      </c>
      <c r="I17" s="4" t="s">
        <v>22</v>
      </c>
      <c r="J17" s="4" t="s">
        <v>73</v>
      </c>
      <c r="K17" s="4" t="s">
        <v>74</v>
      </c>
      <c r="M17">
        <f t="shared" si="1"/>
        <v>1497.5634375000002</v>
      </c>
    </row>
    <row r="18" spans="1:25" ht="15.75" customHeight="1" x14ac:dyDescent="0.2">
      <c r="A18" s="4" t="s">
        <v>75</v>
      </c>
      <c r="B18" s="5">
        <v>942.91031250000003</v>
      </c>
      <c r="C18" s="5">
        <f t="shared" si="0"/>
        <v>942.91031250000003</v>
      </c>
      <c r="D18" s="4">
        <v>1</v>
      </c>
      <c r="E18" s="5" t="s">
        <v>18</v>
      </c>
      <c r="F18" s="4" t="s">
        <v>71</v>
      </c>
      <c r="G18" s="4" t="s">
        <v>20</v>
      </c>
      <c r="H18" s="4" t="s">
        <v>75</v>
      </c>
      <c r="I18" s="4" t="s">
        <v>22</v>
      </c>
      <c r="J18" s="4" t="s">
        <v>73</v>
      </c>
      <c r="K18" s="4" t="s">
        <v>23</v>
      </c>
      <c r="M18">
        <f t="shared" si="1"/>
        <v>848.61928125000009</v>
      </c>
    </row>
    <row r="19" spans="1:25" ht="15.75" customHeight="1" x14ac:dyDescent="0.2">
      <c r="A19" s="4" t="s">
        <v>76</v>
      </c>
      <c r="B19" s="5">
        <v>6475.0205812500008</v>
      </c>
      <c r="C19" s="5">
        <f t="shared" si="0"/>
        <v>647.50205812500008</v>
      </c>
      <c r="D19" s="4">
        <v>10</v>
      </c>
      <c r="E19" s="5" t="s">
        <v>10</v>
      </c>
      <c r="F19" s="4" t="s">
        <v>77</v>
      </c>
      <c r="G19" s="4" t="s">
        <v>12</v>
      </c>
      <c r="H19" s="4" t="s">
        <v>77</v>
      </c>
      <c r="I19" s="4" t="s">
        <v>22</v>
      </c>
      <c r="J19" s="4" t="s">
        <v>78</v>
      </c>
      <c r="K19" s="4" t="s">
        <v>16</v>
      </c>
      <c r="M19">
        <f t="shared" si="1"/>
        <v>582.75185231250009</v>
      </c>
    </row>
    <row r="20" spans="1:25" ht="15.75" customHeight="1" x14ac:dyDescent="0.2">
      <c r="A20" s="4" t="s">
        <v>79</v>
      </c>
      <c r="B20" s="5">
        <v>2773.2656250000005</v>
      </c>
      <c r="C20" s="5">
        <f t="shared" si="0"/>
        <v>27.732656250000005</v>
      </c>
      <c r="D20" s="4">
        <v>100</v>
      </c>
      <c r="E20" s="5" t="s">
        <v>80</v>
      </c>
      <c r="F20" s="4" t="s">
        <v>79</v>
      </c>
      <c r="G20" s="4" t="s">
        <v>12</v>
      </c>
      <c r="H20" s="4" t="s">
        <v>79</v>
      </c>
      <c r="I20" s="4" t="s">
        <v>22</v>
      </c>
      <c r="J20" s="4" t="s">
        <v>81</v>
      </c>
      <c r="K20" s="4" t="s">
        <v>25</v>
      </c>
      <c r="M20">
        <f t="shared" si="1"/>
        <v>24.959390625000005</v>
      </c>
    </row>
    <row r="21" spans="1:25" ht="15.75" customHeight="1" x14ac:dyDescent="0.2">
      <c r="A21" s="4" t="s">
        <v>82</v>
      </c>
      <c r="B21" s="5">
        <v>16639.59375</v>
      </c>
      <c r="C21" s="5">
        <f t="shared" si="0"/>
        <v>16639.59375</v>
      </c>
      <c r="D21" s="4">
        <v>1</v>
      </c>
      <c r="E21" s="5" t="s">
        <v>25</v>
      </c>
      <c r="F21" s="4" t="s">
        <v>83</v>
      </c>
      <c r="G21" s="4" t="s">
        <v>12</v>
      </c>
      <c r="H21" s="4" t="s">
        <v>83</v>
      </c>
      <c r="I21" s="4" t="s">
        <v>14</v>
      </c>
      <c r="K21" s="4" t="s">
        <v>28</v>
      </c>
      <c r="M21">
        <f t="shared" si="1"/>
        <v>14975.634375</v>
      </c>
    </row>
    <row r="22" spans="1:25" ht="15.75" customHeight="1" x14ac:dyDescent="0.2">
      <c r="A22" s="4" t="s">
        <v>84</v>
      </c>
      <c r="B22" s="5">
        <v>2440.4737500000001</v>
      </c>
      <c r="C22" s="5">
        <f t="shared" si="0"/>
        <v>244.04737500000002</v>
      </c>
      <c r="D22" s="4">
        <v>10</v>
      </c>
      <c r="E22" s="5" t="s">
        <v>10</v>
      </c>
      <c r="F22" s="4" t="s">
        <v>84</v>
      </c>
      <c r="G22" s="4" t="s">
        <v>20</v>
      </c>
      <c r="H22" s="4" t="s">
        <v>85</v>
      </c>
      <c r="I22" s="4" t="s">
        <v>22</v>
      </c>
      <c r="J22" s="4" t="s">
        <v>86</v>
      </c>
      <c r="K22" s="4" t="s">
        <v>87</v>
      </c>
      <c r="M22">
        <f t="shared" si="1"/>
        <v>219.64263750000001</v>
      </c>
    </row>
    <row r="23" spans="1:25" ht="15.75" customHeight="1" x14ac:dyDescent="0.2">
      <c r="A23" s="4" t="s">
        <v>5172</v>
      </c>
      <c r="B23" s="5">
        <v>12202.368750000001</v>
      </c>
      <c r="C23" s="5">
        <f t="shared" si="0"/>
        <v>610.11843750000003</v>
      </c>
      <c r="D23" s="4">
        <v>20</v>
      </c>
      <c r="E23" s="5" t="s">
        <v>10</v>
      </c>
      <c r="F23" s="4" t="s">
        <v>88</v>
      </c>
      <c r="G23" s="4" t="s">
        <v>12</v>
      </c>
      <c r="H23" s="4" t="s">
        <v>5173</v>
      </c>
      <c r="I23" s="4" t="s">
        <v>5174</v>
      </c>
      <c r="J23" s="4" t="s">
        <v>89</v>
      </c>
      <c r="K23" s="4" t="s">
        <v>90</v>
      </c>
      <c r="M23">
        <f t="shared" si="1"/>
        <v>549.10659375</v>
      </c>
    </row>
    <row r="24" spans="1:25" ht="15.75" customHeight="1" x14ac:dyDescent="0.2">
      <c r="A24" s="4" t="s">
        <v>91</v>
      </c>
      <c r="B24" s="5">
        <v>4494.9089250000006</v>
      </c>
      <c r="C24" s="5">
        <f t="shared" si="0"/>
        <v>4494.9089250000006</v>
      </c>
      <c r="D24" s="4">
        <v>1</v>
      </c>
      <c r="E24" s="5" t="s">
        <v>55</v>
      </c>
      <c r="F24" s="4" t="s">
        <v>92</v>
      </c>
      <c r="G24" s="4" t="s">
        <v>20</v>
      </c>
      <c r="H24" s="4" t="s">
        <v>93</v>
      </c>
      <c r="I24" s="4" t="s">
        <v>22</v>
      </c>
      <c r="J24" s="6">
        <v>0.05</v>
      </c>
      <c r="K24" s="4" t="s">
        <v>48</v>
      </c>
      <c r="M24">
        <f t="shared" si="1"/>
        <v>4045.4180325000007</v>
      </c>
    </row>
    <row r="25" spans="1:25" ht="15.75" customHeight="1" x14ac:dyDescent="0.2">
      <c r="A25" s="4" t="s">
        <v>94</v>
      </c>
      <c r="B25" s="5">
        <v>9983.7562500000004</v>
      </c>
      <c r="C25" s="5">
        <f t="shared" si="0"/>
        <v>499.18781250000001</v>
      </c>
      <c r="D25" s="4">
        <v>20</v>
      </c>
      <c r="E25" s="5" t="s">
        <v>10</v>
      </c>
      <c r="F25" s="4" t="s">
        <v>92</v>
      </c>
      <c r="G25" s="4" t="s">
        <v>20</v>
      </c>
      <c r="H25" s="4" t="s">
        <v>92</v>
      </c>
      <c r="I25" s="4" t="s">
        <v>22</v>
      </c>
      <c r="J25" s="4" t="s">
        <v>95</v>
      </c>
      <c r="K25" s="4" t="s">
        <v>48</v>
      </c>
      <c r="M25">
        <f t="shared" si="1"/>
        <v>449.26903125000001</v>
      </c>
    </row>
    <row r="26" spans="1:25" ht="15.75" customHeight="1" x14ac:dyDescent="0.2">
      <c r="A26" s="4" t="s">
        <v>96</v>
      </c>
      <c r="B26" s="5">
        <v>15530.287500000002</v>
      </c>
      <c r="C26" s="5">
        <f t="shared" si="0"/>
        <v>776.51437500000009</v>
      </c>
      <c r="D26" s="4">
        <v>20</v>
      </c>
      <c r="E26" s="5" t="s">
        <v>10</v>
      </c>
      <c r="F26" s="4" t="s">
        <v>92</v>
      </c>
      <c r="G26" s="4" t="s">
        <v>20</v>
      </c>
      <c r="H26" s="4" t="s">
        <v>92</v>
      </c>
      <c r="I26" s="4" t="s">
        <v>22</v>
      </c>
      <c r="J26" s="4" t="s">
        <v>52</v>
      </c>
      <c r="K26" s="4" t="s">
        <v>48</v>
      </c>
      <c r="M26">
        <f t="shared" si="1"/>
        <v>698.86293750000004</v>
      </c>
    </row>
    <row r="27" spans="1:25" ht="15.75" customHeight="1" x14ac:dyDescent="0.2">
      <c r="A27" s="4" t="s">
        <v>97</v>
      </c>
      <c r="B27" s="5">
        <v>17748.900000000001</v>
      </c>
      <c r="C27" s="5">
        <f t="shared" si="0"/>
        <v>887.44500000000005</v>
      </c>
      <c r="D27" s="4">
        <v>20</v>
      </c>
      <c r="E27" s="5" t="s">
        <v>10</v>
      </c>
      <c r="F27" s="4" t="s">
        <v>92</v>
      </c>
      <c r="G27" s="4" t="s">
        <v>20</v>
      </c>
      <c r="H27" s="4" t="s">
        <v>92</v>
      </c>
      <c r="I27" s="4" t="s">
        <v>22</v>
      </c>
      <c r="J27" s="4" t="s">
        <v>98</v>
      </c>
      <c r="K27" s="4" t="s">
        <v>48</v>
      </c>
      <c r="M27">
        <f t="shared" si="1"/>
        <v>798.70050000000003</v>
      </c>
    </row>
    <row r="28" spans="1:25" ht="14" x14ac:dyDescent="0.2">
      <c r="A28" s="4" t="s">
        <v>99</v>
      </c>
      <c r="B28" s="5">
        <v>1663.9593750000001</v>
      </c>
      <c r="C28" s="5">
        <f t="shared" si="0"/>
        <v>1663.9593750000001</v>
      </c>
      <c r="D28" s="4">
        <v>1</v>
      </c>
      <c r="E28" s="5" t="s">
        <v>55</v>
      </c>
      <c r="F28" s="4" t="s">
        <v>100</v>
      </c>
      <c r="G28" s="4" t="s">
        <v>20</v>
      </c>
      <c r="H28" s="4" t="s">
        <v>101</v>
      </c>
      <c r="I28" s="4" t="s">
        <v>22</v>
      </c>
      <c r="J28" s="4" t="s">
        <v>102</v>
      </c>
      <c r="K28" s="4" t="s">
        <v>103</v>
      </c>
      <c r="M28">
        <f t="shared" si="1"/>
        <v>1497.5634375000002</v>
      </c>
    </row>
    <row r="29" spans="1:25" ht="14" x14ac:dyDescent="0.2">
      <c r="A29" s="7" t="s">
        <v>5175</v>
      </c>
      <c r="B29" s="10">
        <v>10649.34</v>
      </c>
      <c r="C29" s="5">
        <f t="shared" si="0"/>
        <v>10649.34</v>
      </c>
      <c r="D29" s="9">
        <v>1</v>
      </c>
      <c r="E29" s="10" t="s">
        <v>5176</v>
      </c>
      <c r="F29" s="7" t="s">
        <v>5177</v>
      </c>
      <c r="G29" s="7" t="s">
        <v>20</v>
      </c>
      <c r="H29" s="7" t="s">
        <v>5178</v>
      </c>
      <c r="I29" s="7" t="s">
        <v>14</v>
      </c>
      <c r="J29" s="7" t="s">
        <v>5179</v>
      </c>
      <c r="K29" s="7" t="s">
        <v>23</v>
      </c>
      <c r="L29" s="4"/>
      <c r="M29">
        <f t="shared" si="1"/>
        <v>9584.4060000000009</v>
      </c>
      <c r="N29" s="3"/>
      <c r="O29" s="3"/>
      <c r="P29" s="3"/>
      <c r="Q29" s="2"/>
      <c r="R29" s="2"/>
      <c r="S29" s="2"/>
      <c r="T29" s="2"/>
      <c r="U29" s="2"/>
      <c r="V29" s="2"/>
      <c r="W29" s="2"/>
      <c r="X29" s="2"/>
      <c r="Y29" s="2"/>
    </row>
    <row r="30" spans="1:25" ht="14" x14ac:dyDescent="0.2">
      <c r="A30" s="4" t="s">
        <v>104</v>
      </c>
      <c r="B30" s="5">
        <v>2786.5773000000004</v>
      </c>
      <c r="C30" s="5">
        <f t="shared" si="0"/>
        <v>232.21477500000003</v>
      </c>
      <c r="D30" s="4">
        <v>12</v>
      </c>
      <c r="E30" s="5" t="s">
        <v>10</v>
      </c>
      <c r="F30" s="4" t="s">
        <v>105</v>
      </c>
      <c r="G30" s="4" t="s">
        <v>20</v>
      </c>
      <c r="H30" s="4" t="s">
        <v>106</v>
      </c>
      <c r="I30" s="4" t="s">
        <v>22</v>
      </c>
      <c r="J30" s="4" t="s">
        <v>107</v>
      </c>
      <c r="K30" s="4" t="s">
        <v>108</v>
      </c>
      <c r="M30">
        <f t="shared" si="1"/>
        <v>208.99329750000004</v>
      </c>
    </row>
    <row r="31" spans="1:25" ht="14" x14ac:dyDescent="0.2">
      <c r="A31" s="4" t="s">
        <v>109</v>
      </c>
      <c r="B31" s="5">
        <v>2884.1962500000004</v>
      </c>
      <c r="C31" s="5">
        <f t="shared" si="0"/>
        <v>160.23312500000003</v>
      </c>
      <c r="D31" s="4">
        <v>18</v>
      </c>
      <c r="E31" s="5" t="s">
        <v>10</v>
      </c>
      <c r="F31" s="4" t="s">
        <v>110</v>
      </c>
      <c r="G31" s="4" t="s">
        <v>20</v>
      </c>
      <c r="H31" s="4" t="s">
        <v>106</v>
      </c>
      <c r="I31" s="4" t="s">
        <v>22</v>
      </c>
      <c r="J31" s="4" t="s">
        <v>111</v>
      </c>
      <c r="K31" s="4" t="s">
        <v>108</v>
      </c>
      <c r="M31">
        <f t="shared" si="1"/>
        <v>144.20981250000003</v>
      </c>
    </row>
    <row r="32" spans="1:25" ht="14" x14ac:dyDescent="0.2">
      <c r="A32" s="4" t="s">
        <v>112</v>
      </c>
      <c r="B32" s="5">
        <v>3216.9881250000003</v>
      </c>
      <c r="C32" s="5">
        <f t="shared" si="0"/>
        <v>134.041171875</v>
      </c>
      <c r="D32" s="4">
        <v>24</v>
      </c>
      <c r="E32" s="5" t="s">
        <v>10</v>
      </c>
      <c r="F32" s="4" t="s">
        <v>110</v>
      </c>
      <c r="G32" s="4" t="s">
        <v>20</v>
      </c>
      <c r="H32" s="4" t="s">
        <v>106</v>
      </c>
      <c r="I32" s="4" t="s">
        <v>22</v>
      </c>
      <c r="J32" s="4" t="s">
        <v>111</v>
      </c>
      <c r="K32" s="4" t="s">
        <v>108</v>
      </c>
      <c r="M32">
        <f t="shared" si="1"/>
        <v>120.6370546875</v>
      </c>
    </row>
    <row r="33" spans="1:13" ht="14" x14ac:dyDescent="0.2">
      <c r="A33" s="4" t="s">
        <v>113</v>
      </c>
      <c r="B33" s="5">
        <v>1663.9593750000001</v>
      </c>
      <c r="C33" s="5">
        <f t="shared" si="0"/>
        <v>277.32656250000002</v>
      </c>
      <c r="D33" s="4">
        <v>6</v>
      </c>
      <c r="E33" s="5" t="s">
        <v>10</v>
      </c>
      <c r="F33" s="4" t="s">
        <v>110</v>
      </c>
      <c r="G33" s="4" t="s">
        <v>20</v>
      </c>
      <c r="H33" s="4" t="s">
        <v>106</v>
      </c>
      <c r="I33" s="4" t="s">
        <v>22</v>
      </c>
      <c r="J33" s="4" t="s">
        <v>111</v>
      </c>
      <c r="K33" s="4" t="s">
        <v>108</v>
      </c>
      <c r="M33">
        <f t="shared" si="1"/>
        <v>249.59390625000003</v>
      </c>
    </row>
    <row r="34" spans="1:13" ht="14" x14ac:dyDescent="0.2">
      <c r="A34" s="4" t="s">
        <v>114</v>
      </c>
      <c r="B34" s="5">
        <v>16140.405937500002</v>
      </c>
      <c r="C34" s="5">
        <f t="shared" si="0"/>
        <v>1345.0338281250001</v>
      </c>
      <c r="D34" s="4">
        <v>12</v>
      </c>
      <c r="E34" s="5" t="s">
        <v>10</v>
      </c>
      <c r="F34" s="4" t="s">
        <v>115</v>
      </c>
      <c r="G34" s="4" t="s">
        <v>20</v>
      </c>
      <c r="H34" s="4" t="s">
        <v>116</v>
      </c>
      <c r="I34" s="4" t="s">
        <v>14</v>
      </c>
      <c r="J34" s="4" t="s">
        <v>117</v>
      </c>
      <c r="K34" s="4" t="s">
        <v>118</v>
      </c>
      <c r="M34">
        <f t="shared" si="1"/>
        <v>1210.5304453125002</v>
      </c>
    </row>
    <row r="35" spans="1:13" ht="14" x14ac:dyDescent="0.2">
      <c r="A35" s="4" t="s">
        <v>119</v>
      </c>
      <c r="B35" s="5">
        <v>5213.7393750000001</v>
      </c>
      <c r="C35" s="5">
        <f t="shared" si="0"/>
        <v>5213.7393750000001</v>
      </c>
      <c r="D35" s="4">
        <v>1</v>
      </c>
      <c r="E35" s="5" t="s">
        <v>59</v>
      </c>
      <c r="F35" s="4" t="s">
        <v>120</v>
      </c>
      <c r="G35" s="4" t="s">
        <v>20</v>
      </c>
      <c r="H35" s="4" t="s">
        <v>121</v>
      </c>
      <c r="I35" s="4" t="s">
        <v>14</v>
      </c>
      <c r="J35" s="4" t="s">
        <v>122</v>
      </c>
      <c r="K35" s="4" t="s">
        <v>118</v>
      </c>
      <c r="M35">
        <f t="shared" si="1"/>
        <v>4692.3654375000006</v>
      </c>
    </row>
    <row r="36" spans="1:13" ht="14" x14ac:dyDescent="0.2">
      <c r="A36" s="4" t="s">
        <v>123</v>
      </c>
      <c r="B36" s="5">
        <v>31615.228125000001</v>
      </c>
      <c r="C36" s="5">
        <f t="shared" si="0"/>
        <v>31615.228125000001</v>
      </c>
      <c r="D36" s="4">
        <v>1</v>
      </c>
      <c r="E36" s="5" t="s">
        <v>124</v>
      </c>
      <c r="F36" s="4" t="s">
        <v>125</v>
      </c>
      <c r="G36" s="4" t="s">
        <v>12</v>
      </c>
      <c r="H36" s="4" t="s">
        <v>126</v>
      </c>
      <c r="I36" s="4" t="s">
        <v>14</v>
      </c>
      <c r="J36" s="4" t="s">
        <v>127</v>
      </c>
      <c r="K36" s="4" t="s">
        <v>16</v>
      </c>
      <c r="M36">
        <f t="shared" si="1"/>
        <v>28453.705312500002</v>
      </c>
    </row>
    <row r="37" spans="1:13" ht="14" x14ac:dyDescent="0.2">
      <c r="A37" s="4" t="s">
        <v>128</v>
      </c>
      <c r="B37" s="5">
        <v>28287.309375000001</v>
      </c>
      <c r="C37" s="5">
        <f t="shared" si="0"/>
        <v>28287.309375000001</v>
      </c>
      <c r="D37" s="4">
        <v>1</v>
      </c>
      <c r="E37" s="5" t="s">
        <v>124</v>
      </c>
      <c r="F37" s="4" t="s">
        <v>125</v>
      </c>
      <c r="G37" s="4" t="s">
        <v>12</v>
      </c>
      <c r="H37" s="4" t="s">
        <v>126</v>
      </c>
      <c r="I37" s="4" t="s">
        <v>14</v>
      </c>
      <c r="J37" s="4" t="s">
        <v>129</v>
      </c>
      <c r="K37" s="4" t="s">
        <v>16</v>
      </c>
      <c r="M37">
        <f t="shared" si="1"/>
        <v>25458.5784375</v>
      </c>
    </row>
    <row r="38" spans="1:13" ht="14" x14ac:dyDescent="0.2">
      <c r="A38" s="4" t="s">
        <v>130</v>
      </c>
      <c r="B38" s="5">
        <v>40489.678125000006</v>
      </c>
      <c r="C38" s="5">
        <f t="shared" si="0"/>
        <v>40489.678125000006</v>
      </c>
      <c r="D38" s="4">
        <v>1</v>
      </c>
      <c r="E38" s="4" t="s">
        <v>59</v>
      </c>
      <c r="F38" s="4" t="s">
        <v>130</v>
      </c>
      <c r="G38" s="4" t="s">
        <v>20</v>
      </c>
      <c r="H38" s="4" t="s">
        <v>131</v>
      </c>
      <c r="I38" s="4"/>
      <c r="J38" s="4" t="s">
        <v>132</v>
      </c>
      <c r="K38" s="4" t="s">
        <v>48</v>
      </c>
      <c r="M38">
        <f t="shared" si="1"/>
        <v>36440.710312500007</v>
      </c>
    </row>
    <row r="39" spans="1:13" ht="14" x14ac:dyDescent="0.2">
      <c r="A39" s="4" t="s">
        <v>133</v>
      </c>
      <c r="B39" s="5">
        <v>1774.89</v>
      </c>
      <c r="C39" s="5">
        <f t="shared" si="0"/>
        <v>177.489</v>
      </c>
      <c r="D39" s="4">
        <v>10</v>
      </c>
      <c r="E39" s="5" t="s">
        <v>10</v>
      </c>
      <c r="F39" s="4" t="s">
        <v>134</v>
      </c>
      <c r="G39" s="4" t="s">
        <v>20</v>
      </c>
      <c r="H39" s="4" t="s">
        <v>135</v>
      </c>
      <c r="I39" s="4" t="s">
        <v>22</v>
      </c>
      <c r="J39" s="4" t="s">
        <v>136</v>
      </c>
      <c r="K39" s="4" t="s">
        <v>87</v>
      </c>
      <c r="M39">
        <f t="shared" si="1"/>
        <v>159.74010000000001</v>
      </c>
    </row>
    <row r="40" spans="1:13" ht="14" x14ac:dyDescent="0.2">
      <c r="A40" s="4" t="s">
        <v>137</v>
      </c>
      <c r="B40" s="5">
        <v>1553.0287500000002</v>
      </c>
      <c r="C40" s="5">
        <f t="shared" si="0"/>
        <v>155.30287500000003</v>
      </c>
      <c r="D40" s="4">
        <v>10</v>
      </c>
      <c r="E40" s="5" t="s">
        <v>10</v>
      </c>
      <c r="F40" s="4" t="s">
        <v>138</v>
      </c>
      <c r="G40" s="4" t="s">
        <v>20</v>
      </c>
      <c r="H40" s="4" t="s">
        <v>139</v>
      </c>
      <c r="I40" s="4" t="s">
        <v>22</v>
      </c>
      <c r="J40" s="4" t="s">
        <v>140</v>
      </c>
      <c r="K40" s="4" t="s">
        <v>87</v>
      </c>
      <c r="M40">
        <f t="shared" si="1"/>
        <v>139.77258750000001</v>
      </c>
    </row>
    <row r="41" spans="1:13" ht="14" x14ac:dyDescent="0.2">
      <c r="A41" s="4" t="s">
        <v>141</v>
      </c>
      <c r="B41" s="5">
        <v>6212.1150000000007</v>
      </c>
      <c r="C41" s="5">
        <f t="shared" si="0"/>
        <v>6212.1150000000007</v>
      </c>
      <c r="D41" s="4">
        <v>1</v>
      </c>
      <c r="E41" s="5" t="s">
        <v>142</v>
      </c>
      <c r="F41" s="4" t="s">
        <v>92</v>
      </c>
      <c r="G41" s="4" t="s">
        <v>20</v>
      </c>
      <c r="H41" s="4" t="s">
        <v>92</v>
      </c>
      <c r="I41" s="4" t="s">
        <v>22</v>
      </c>
      <c r="J41" s="4">
        <v>0.03</v>
      </c>
      <c r="K41" s="4" t="s">
        <v>48</v>
      </c>
      <c r="M41">
        <f t="shared" si="1"/>
        <v>5590.9035000000003</v>
      </c>
    </row>
    <row r="42" spans="1:13" ht="14" x14ac:dyDescent="0.2">
      <c r="A42" s="4" t="s">
        <v>143</v>
      </c>
      <c r="B42" s="5">
        <v>14231.289881250001</v>
      </c>
      <c r="C42" s="5">
        <f t="shared" si="0"/>
        <v>254.13017645089286</v>
      </c>
      <c r="D42" s="4">
        <v>56</v>
      </c>
      <c r="E42" s="5" t="s">
        <v>10</v>
      </c>
      <c r="F42" s="4" t="s">
        <v>144</v>
      </c>
      <c r="G42" s="4" t="s">
        <v>12</v>
      </c>
      <c r="H42" s="4" t="s">
        <v>145</v>
      </c>
      <c r="I42" s="4" t="s">
        <v>14</v>
      </c>
      <c r="J42" s="4" t="s">
        <v>146</v>
      </c>
      <c r="K42" s="4" t="s">
        <v>90</v>
      </c>
      <c r="M42">
        <f t="shared" si="1"/>
        <v>228.71715880580356</v>
      </c>
    </row>
    <row r="43" spans="1:13" ht="14" x14ac:dyDescent="0.2">
      <c r="A43" s="4" t="s">
        <v>147</v>
      </c>
      <c r="B43" s="5">
        <v>16949.090193750002</v>
      </c>
      <c r="C43" s="5">
        <f t="shared" si="0"/>
        <v>302.6623248883929</v>
      </c>
      <c r="D43" s="4">
        <v>56</v>
      </c>
      <c r="E43" s="5" t="s">
        <v>10</v>
      </c>
      <c r="F43" s="4" t="s">
        <v>144</v>
      </c>
      <c r="G43" s="4" t="s">
        <v>12</v>
      </c>
      <c r="H43" s="4" t="s">
        <v>145</v>
      </c>
      <c r="I43" s="4" t="s">
        <v>14</v>
      </c>
      <c r="J43" s="4" t="s">
        <v>148</v>
      </c>
      <c r="K43" s="4" t="s">
        <v>90</v>
      </c>
      <c r="M43">
        <f t="shared" si="1"/>
        <v>272.39609239955359</v>
      </c>
    </row>
    <row r="44" spans="1:13" ht="14" x14ac:dyDescent="0.2">
      <c r="A44" s="4" t="s">
        <v>149</v>
      </c>
      <c r="B44" s="5">
        <v>3882.5718750000005</v>
      </c>
      <c r="C44" s="5">
        <f t="shared" si="0"/>
        <v>970.64296875000014</v>
      </c>
      <c r="D44" s="4">
        <v>4</v>
      </c>
      <c r="E44" s="5" t="s">
        <v>10</v>
      </c>
      <c r="F44" s="4" t="s">
        <v>150</v>
      </c>
      <c r="G44" s="4" t="s">
        <v>20</v>
      </c>
      <c r="H44" s="4" t="s">
        <v>151</v>
      </c>
      <c r="I44" s="4" t="s">
        <v>14</v>
      </c>
      <c r="J44" s="4" t="s">
        <v>152</v>
      </c>
      <c r="K44" s="4" t="s">
        <v>53</v>
      </c>
      <c r="M44">
        <f t="shared" si="1"/>
        <v>873.57867187500005</v>
      </c>
    </row>
    <row r="45" spans="1:13" ht="14" x14ac:dyDescent="0.2">
      <c r="A45" s="4" t="s">
        <v>153</v>
      </c>
      <c r="B45" s="5">
        <v>18026.2265625</v>
      </c>
      <c r="C45" s="5">
        <f t="shared" si="0"/>
        <v>901.31132812500005</v>
      </c>
      <c r="D45" s="4">
        <v>20</v>
      </c>
      <c r="E45" s="5" t="s">
        <v>30</v>
      </c>
      <c r="F45" s="4" t="s">
        <v>154</v>
      </c>
      <c r="G45" s="4" t="s">
        <v>12</v>
      </c>
      <c r="H45" s="4" t="s">
        <v>154</v>
      </c>
      <c r="I45" s="4" t="s">
        <v>22</v>
      </c>
      <c r="K45" s="4" t="s">
        <v>155</v>
      </c>
      <c r="M45">
        <f t="shared" si="1"/>
        <v>811.18019531250002</v>
      </c>
    </row>
    <row r="46" spans="1:13" ht="14" x14ac:dyDescent="0.2">
      <c r="A46" s="4" t="s">
        <v>156</v>
      </c>
      <c r="B46" s="5">
        <v>27621.725625000003</v>
      </c>
      <c r="C46" s="5">
        <f t="shared" si="0"/>
        <v>27621.725625000003</v>
      </c>
      <c r="D46" s="4">
        <v>1</v>
      </c>
      <c r="E46" s="5" t="s">
        <v>25</v>
      </c>
      <c r="F46" s="4" t="s">
        <v>157</v>
      </c>
      <c r="G46" s="4" t="s">
        <v>12</v>
      </c>
      <c r="H46" s="4" t="s">
        <v>157</v>
      </c>
      <c r="I46" s="4" t="s">
        <v>22</v>
      </c>
      <c r="K46" s="4" t="s">
        <v>28</v>
      </c>
      <c r="M46">
        <f t="shared" si="1"/>
        <v>24859.553062500003</v>
      </c>
    </row>
    <row r="47" spans="1:13" ht="14" x14ac:dyDescent="0.2">
      <c r="A47" s="4" t="s">
        <v>158</v>
      </c>
      <c r="B47" s="5">
        <v>10538.409375000001</v>
      </c>
      <c r="C47" s="5">
        <f t="shared" si="0"/>
        <v>752.74352678571438</v>
      </c>
      <c r="D47" s="4">
        <v>14</v>
      </c>
      <c r="E47" s="5" t="s">
        <v>10</v>
      </c>
      <c r="F47" s="4" t="s">
        <v>159</v>
      </c>
      <c r="G47" s="4" t="s">
        <v>12</v>
      </c>
      <c r="H47" s="4" t="s">
        <v>160</v>
      </c>
      <c r="I47" s="4" t="s">
        <v>22</v>
      </c>
      <c r="J47" s="4" t="s">
        <v>161</v>
      </c>
      <c r="K47" s="4" t="s">
        <v>90</v>
      </c>
      <c r="M47">
        <f t="shared" si="1"/>
        <v>677.46917410714298</v>
      </c>
    </row>
    <row r="48" spans="1:13" ht="14" x14ac:dyDescent="0.2">
      <c r="A48" s="4" t="s">
        <v>162</v>
      </c>
      <c r="B48" s="5">
        <v>9761.8950000000004</v>
      </c>
      <c r="C48" s="5">
        <f t="shared" si="0"/>
        <v>697.27821428571428</v>
      </c>
      <c r="D48" s="4">
        <v>14</v>
      </c>
      <c r="E48" s="5" t="s">
        <v>10</v>
      </c>
      <c r="F48" s="4" t="s">
        <v>159</v>
      </c>
      <c r="G48" s="4" t="s">
        <v>12</v>
      </c>
      <c r="H48" s="4" t="s">
        <v>160</v>
      </c>
      <c r="I48" s="4" t="s">
        <v>22</v>
      </c>
      <c r="J48" s="4" t="s">
        <v>163</v>
      </c>
      <c r="K48" s="4" t="s">
        <v>90</v>
      </c>
      <c r="M48">
        <f t="shared" si="1"/>
        <v>627.55039285714281</v>
      </c>
    </row>
    <row r="49" spans="1:25" ht="14" x14ac:dyDescent="0.2">
      <c r="A49" s="7" t="s">
        <v>5180</v>
      </c>
      <c r="B49" s="10">
        <v>9650.9643750000014</v>
      </c>
      <c r="C49" s="5">
        <f t="shared" si="0"/>
        <v>9650.9643750000014</v>
      </c>
      <c r="D49" s="9">
        <v>1</v>
      </c>
      <c r="E49" s="10" t="s">
        <v>5176</v>
      </c>
      <c r="F49" s="4" t="s">
        <v>164</v>
      </c>
      <c r="G49" s="7" t="s">
        <v>12</v>
      </c>
      <c r="H49" s="7" t="s">
        <v>5181</v>
      </c>
      <c r="I49" s="7" t="s">
        <v>14</v>
      </c>
      <c r="J49" s="11">
        <v>1E-3</v>
      </c>
      <c r="K49" s="7" t="s">
        <v>23</v>
      </c>
      <c r="L49" s="4"/>
      <c r="M49">
        <f t="shared" si="1"/>
        <v>8685.8679375000011</v>
      </c>
      <c r="N49" s="3"/>
      <c r="O49" s="3"/>
      <c r="P49" s="3"/>
      <c r="Q49" s="2"/>
      <c r="R49" s="2"/>
      <c r="S49" s="2"/>
      <c r="T49" s="2"/>
      <c r="U49" s="2"/>
      <c r="V49" s="2"/>
      <c r="W49" s="2"/>
      <c r="X49" s="2"/>
      <c r="Y49" s="2"/>
    </row>
    <row r="50" spans="1:25" ht="14" x14ac:dyDescent="0.2">
      <c r="A50" s="4" t="s">
        <v>165</v>
      </c>
      <c r="B50" s="5">
        <v>10871.20125</v>
      </c>
      <c r="C50" s="5">
        <f t="shared" si="0"/>
        <v>776.51437499999997</v>
      </c>
      <c r="D50" s="4">
        <v>14</v>
      </c>
      <c r="E50" s="5" t="s">
        <v>10</v>
      </c>
      <c r="F50" s="4" t="s">
        <v>166</v>
      </c>
      <c r="G50" s="4" t="s">
        <v>12</v>
      </c>
      <c r="H50" s="4" t="s">
        <v>167</v>
      </c>
      <c r="I50" s="4" t="s">
        <v>14</v>
      </c>
      <c r="J50" s="4" t="s">
        <v>168</v>
      </c>
      <c r="K50" s="4" t="s">
        <v>90</v>
      </c>
      <c r="M50">
        <f t="shared" si="1"/>
        <v>698.86293749999993</v>
      </c>
    </row>
    <row r="51" spans="1:25" ht="14" x14ac:dyDescent="0.2">
      <c r="A51" s="4" t="s">
        <v>169</v>
      </c>
      <c r="B51" s="5">
        <v>7099.56</v>
      </c>
      <c r="C51" s="5">
        <f t="shared" si="0"/>
        <v>7099.56</v>
      </c>
      <c r="D51" s="4">
        <v>1</v>
      </c>
      <c r="E51" s="5" t="s">
        <v>170</v>
      </c>
      <c r="F51" s="4" t="s">
        <v>171</v>
      </c>
      <c r="G51" s="4" t="s">
        <v>20</v>
      </c>
      <c r="H51" s="4" t="s">
        <v>172</v>
      </c>
      <c r="I51" s="4" t="s">
        <v>22</v>
      </c>
      <c r="J51" s="4" t="s">
        <v>173</v>
      </c>
      <c r="K51" s="4" t="s">
        <v>74</v>
      </c>
      <c r="M51">
        <f t="shared" si="1"/>
        <v>6389.6040000000003</v>
      </c>
    </row>
    <row r="52" spans="1:25" ht="14" x14ac:dyDescent="0.2">
      <c r="A52" s="4" t="s">
        <v>174</v>
      </c>
      <c r="B52" s="5">
        <v>4659.0862500000003</v>
      </c>
      <c r="C52" s="5">
        <f t="shared" si="0"/>
        <v>4659.0862500000003</v>
      </c>
      <c r="D52" s="4">
        <v>1</v>
      </c>
      <c r="E52" s="5" t="s">
        <v>175</v>
      </c>
      <c r="F52" s="4" t="s">
        <v>176</v>
      </c>
      <c r="G52" s="4" t="s">
        <v>12</v>
      </c>
      <c r="H52" s="4" t="s">
        <v>177</v>
      </c>
      <c r="I52" s="4" t="s">
        <v>22</v>
      </c>
      <c r="J52" s="4" t="s">
        <v>178</v>
      </c>
      <c r="K52" s="4" t="s">
        <v>179</v>
      </c>
      <c r="M52">
        <f t="shared" si="1"/>
        <v>4193.1776250000003</v>
      </c>
    </row>
    <row r="53" spans="1:25" ht="14" x14ac:dyDescent="0.2">
      <c r="A53" s="4" t="s">
        <v>180</v>
      </c>
      <c r="B53" s="5">
        <v>1663.9593750000001</v>
      </c>
      <c r="C53" s="5">
        <f t="shared" si="0"/>
        <v>1663.9593750000001</v>
      </c>
      <c r="D53" s="4">
        <v>1</v>
      </c>
      <c r="E53" s="5" t="s">
        <v>181</v>
      </c>
      <c r="F53" s="4" t="s">
        <v>182</v>
      </c>
      <c r="G53" s="4" t="s">
        <v>20</v>
      </c>
      <c r="H53" s="4" t="s">
        <v>183</v>
      </c>
      <c r="I53" s="4" t="s">
        <v>22</v>
      </c>
      <c r="J53" s="4" t="s">
        <v>184</v>
      </c>
      <c r="K53" s="4" t="s">
        <v>87</v>
      </c>
      <c r="M53">
        <f t="shared" si="1"/>
        <v>1497.5634375000002</v>
      </c>
    </row>
    <row r="54" spans="1:25" ht="14" x14ac:dyDescent="0.2">
      <c r="A54" s="4" t="s">
        <v>185</v>
      </c>
      <c r="B54" s="5">
        <v>1663.9593750000001</v>
      </c>
      <c r="C54" s="5">
        <f t="shared" si="0"/>
        <v>1663.9593750000001</v>
      </c>
      <c r="D54" s="4">
        <v>1</v>
      </c>
      <c r="E54" s="5" t="s">
        <v>186</v>
      </c>
      <c r="F54" s="4" t="s">
        <v>187</v>
      </c>
      <c r="G54" s="4" t="s">
        <v>20</v>
      </c>
      <c r="H54" s="4" t="s">
        <v>188</v>
      </c>
      <c r="I54" s="4" t="s">
        <v>22</v>
      </c>
      <c r="K54" s="4" t="s">
        <v>34</v>
      </c>
      <c r="M54">
        <f t="shared" si="1"/>
        <v>1497.5634375000002</v>
      </c>
    </row>
    <row r="55" spans="1:25" ht="14" x14ac:dyDescent="0.2">
      <c r="A55" s="4" t="s">
        <v>189</v>
      </c>
      <c r="B55" s="5">
        <v>1996.7512500000003</v>
      </c>
      <c r="C55" s="5">
        <f t="shared" si="0"/>
        <v>1996.7512500000003</v>
      </c>
      <c r="D55" s="4">
        <v>1</v>
      </c>
      <c r="E55" s="5" t="s">
        <v>59</v>
      </c>
      <c r="F55" s="4" t="s">
        <v>190</v>
      </c>
      <c r="G55" s="4" t="s">
        <v>20</v>
      </c>
      <c r="H55" s="4" t="s">
        <v>191</v>
      </c>
      <c r="I55" s="4" t="s">
        <v>22</v>
      </c>
      <c r="J55" s="4" t="s">
        <v>192</v>
      </c>
      <c r="K55" s="4" t="s">
        <v>34</v>
      </c>
      <c r="M55">
        <f t="shared" si="1"/>
        <v>1797.0761250000003</v>
      </c>
    </row>
    <row r="56" spans="1:25" ht="14" x14ac:dyDescent="0.2">
      <c r="A56" s="7" t="s">
        <v>5182</v>
      </c>
      <c r="B56" s="10">
        <v>53801.353125000001</v>
      </c>
      <c r="C56" s="5">
        <f t="shared" si="0"/>
        <v>53801.353125000001</v>
      </c>
      <c r="D56" s="9">
        <v>1</v>
      </c>
      <c r="E56" s="10" t="s">
        <v>25</v>
      </c>
      <c r="F56" s="7" t="s">
        <v>5183</v>
      </c>
      <c r="G56" s="7" t="s">
        <v>12</v>
      </c>
      <c r="H56" s="7" t="s">
        <v>5183</v>
      </c>
      <c r="I56" s="7" t="s">
        <v>22</v>
      </c>
      <c r="J56" s="7" t="s">
        <v>25</v>
      </c>
      <c r="K56" s="7" t="s">
        <v>417</v>
      </c>
      <c r="L56" s="4"/>
      <c r="M56">
        <f t="shared" si="1"/>
        <v>48421.217812499999</v>
      </c>
      <c r="N56" s="3"/>
      <c r="O56" s="3"/>
      <c r="P56" s="3"/>
      <c r="Q56" s="2"/>
      <c r="R56" s="2"/>
      <c r="S56" s="2"/>
      <c r="T56" s="2"/>
      <c r="U56" s="2"/>
      <c r="V56" s="2"/>
      <c r="W56" s="2"/>
      <c r="X56" s="2"/>
      <c r="Y56" s="2"/>
    </row>
    <row r="57" spans="1:25" ht="14" x14ac:dyDescent="0.2">
      <c r="A57" s="4" t="s">
        <v>193</v>
      </c>
      <c r="B57" s="5">
        <v>3984.6280500000003</v>
      </c>
      <c r="C57" s="5">
        <f t="shared" si="0"/>
        <v>132.82093500000002</v>
      </c>
      <c r="D57" s="4">
        <v>30</v>
      </c>
      <c r="E57" s="5" t="s">
        <v>10</v>
      </c>
      <c r="F57" s="4" t="s">
        <v>194</v>
      </c>
      <c r="G57" s="4" t="s">
        <v>20</v>
      </c>
      <c r="H57" s="4" t="s">
        <v>195</v>
      </c>
      <c r="I57" s="4" t="s">
        <v>22</v>
      </c>
      <c r="J57" s="4" t="s">
        <v>146</v>
      </c>
      <c r="K57" s="4" t="s">
        <v>74</v>
      </c>
      <c r="M57">
        <f t="shared" si="1"/>
        <v>119.53884150000002</v>
      </c>
    </row>
    <row r="58" spans="1:25" ht="14" x14ac:dyDescent="0.2">
      <c r="A58" s="4" t="s">
        <v>196</v>
      </c>
      <c r="B58" s="5">
        <v>2906.3823750000006</v>
      </c>
      <c r="C58" s="5">
        <f t="shared" si="0"/>
        <v>96.879412500000015</v>
      </c>
      <c r="D58" s="4">
        <v>30</v>
      </c>
      <c r="E58" s="5" t="s">
        <v>10</v>
      </c>
      <c r="F58" s="4" t="s">
        <v>194</v>
      </c>
      <c r="G58" s="4" t="s">
        <v>20</v>
      </c>
      <c r="H58" s="4" t="s">
        <v>197</v>
      </c>
      <c r="I58" s="4" t="s">
        <v>22</v>
      </c>
      <c r="J58" s="4" t="s">
        <v>198</v>
      </c>
      <c r="K58" s="4" t="s">
        <v>74</v>
      </c>
      <c r="M58">
        <f t="shared" si="1"/>
        <v>87.191471250000006</v>
      </c>
    </row>
    <row r="59" spans="1:25" ht="14" x14ac:dyDescent="0.2">
      <c r="A59" s="4" t="s">
        <v>199</v>
      </c>
      <c r="B59" s="5">
        <v>3086.0899875000005</v>
      </c>
      <c r="C59" s="5">
        <f t="shared" si="0"/>
        <v>102.86966625000001</v>
      </c>
      <c r="D59" s="4">
        <v>30</v>
      </c>
      <c r="E59" s="5" t="s">
        <v>10</v>
      </c>
      <c r="F59" s="4" t="s">
        <v>194</v>
      </c>
      <c r="G59" s="4" t="s">
        <v>20</v>
      </c>
      <c r="H59" s="4" t="s">
        <v>197</v>
      </c>
      <c r="I59" s="4" t="s">
        <v>22</v>
      </c>
      <c r="J59" s="4" t="s">
        <v>200</v>
      </c>
      <c r="K59" s="4" t="s">
        <v>74</v>
      </c>
      <c r="M59">
        <f t="shared" si="1"/>
        <v>92.582699625000004</v>
      </c>
    </row>
    <row r="60" spans="1:25" ht="14" x14ac:dyDescent="0.2">
      <c r="A60" s="4" t="s">
        <v>201</v>
      </c>
      <c r="B60" s="5">
        <v>443.72250000000003</v>
      </c>
      <c r="C60" s="5">
        <f t="shared" si="0"/>
        <v>443.72250000000003</v>
      </c>
      <c r="D60" s="4">
        <v>1</v>
      </c>
      <c r="E60" s="5" t="s">
        <v>202</v>
      </c>
      <c r="F60" s="4" t="s">
        <v>203</v>
      </c>
      <c r="G60" s="4" t="s">
        <v>20</v>
      </c>
      <c r="H60" s="4" t="s">
        <v>201</v>
      </c>
      <c r="I60" s="4" t="s">
        <v>22</v>
      </c>
      <c r="K60" s="4" t="s">
        <v>87</v>
      </c>
      <c r="M60">
        <f t="shared" si="1"/>
        <v>399.35025000000002</v>
      </c>
    </row>
    <row r="61" spans="1:25" ht="14" x14ac:dyDescent="0.2">
      <c r="A61" s="4" t="s">
        <v>204</v>
      </c>
      <c r="B61" s="5">
        <v>887.44500000000005</v>
      </c>
      <c r="C61" s="5">
        <f t="shared" si="0"/>
        <v>443.72250000000003</v>
      </c>
      <c r="D61" s="4">
        <v>2</v>
      </c>
      <c r="E61" s="5" t="s">
        <v>10</v>
      </c>
      <c r="F61" s="4" t="s">
        <v>205</v>
      </c>
      <c r="G61" s="4" t="s">
        <v>20</v>
      </c>
      <c r="H61" s="4" t="s">
        <v>206</v>
      </c>
      <c r="I61" s="4" t="s">
        <v>22</v>
      </c>
      <c r="J61" s="4" t="s">
        <v>207</v>
      </c>
      <c r="K61" s="4" t="s">
        <v>53</v>
      </c>
      <c r="M61">
        <f t="shared" si="1"/>
        <v>399.35025000000002</v>
      </c>
    </row>
    <row r="62" spans="1:25" ht="14" x14ac:dyDescent="0.2">
      <c r="A62" s="4" t="s">
        <v>208</v>
      </c>
      <c r="B62" s="5">
        <v>2156.4913500000002</v>
      </c>
      <c r="C62" s="5">
        <f t="shared" si="0"/>
        <v>2156.4913500000002</v>
      </c>
      <c r="D62" s="4">
        <v>1</v>
      </c>
      <c r="E62" s="5" t="s">
        <v>25</v>
      </c>
      <c r="F62" s="4" t="s">
        <v>209</v>
      </c>
      <c r="G62" s="4" t="s">
        <v>12</v>
      </c>
      <c r="H62" s="4" t="s">
        <v>209</v>
      </c>
      <c r="I62" s="4" t="s">
        <v>22</v>
      </c>
      <c r="K62" s="4" t="s">
        <v>28</v>
      </c>
      <c r="M62">
        <f t="shared" si="1"/>
        <v>1940.8422150000001</v>
      </c>
    </row>
    <row r="63" spans="1:25" ht="14" x14ac:dyDescent="0.2">
      <c r="A63" s="4" t="s">
        <v>210</v>
      </c>
      <c r="B63" s="5">
        <v>3993.5025000000005</v>
      </c>
      <c r="C63" s="5">
        <f t="shared" si="0"/>
        <v>399.35025000000007</v>
      </c>
      <c r="D63" s="4">
        <v>10</v>
      </c>
      <c r="E63" s="5" t="s">
        <v>10</v>
      </c>
      <c r="F63" s="4" t="s">
        <v>211</v>
      </c>
      <c r="G63" s="4" t="s">
        <v>12</v>
      </c>
      <c r="H63" s="4" t="s">
        <v>212</v>
      </c>
      <c r="I63" s="4" t="s">
        <v>14</v>
      </c>
      <c r="J63" s="4" t="s">
        <v>15</v>
      </c>
      <c r="K63" s="4" t="s">
        <v>90</v>
      </c>
      <c r="M63">
        <f t="shared" si="1"/>
        <v>359.41522500000008</v>
      </c>
    </row>
    <row r="64" spans="1:25" ht="14" x14ac:dyDescent="0.2">
      <c r="A64" s="4" t="s">
        <v>213</v>
      </c>
      <c r="B64" s="5">
        <v>4991.8781250000002</v>
      </c>
      <c r="C64" s="5">
        <f t="shared" si="0"/>
        <v>499.18781250000001</v>
      </c>
      <c r="D64" s="4">
        <v>10</v>
      </c>
      <c r="E64" s="5" t="s">
        <v>10</v>
      </c>
      <c r="F64" s="4" t="s">
        <v>214</v>
      </c>
      <c r="G64" s="4" t="s">
        <v>12</v>
      </c>
      <c r="H64" s="4" t="s">
        <v>215</v>
      </c>
      <c r="I64" s="4" t="s">
        <v>14</v>
      </c>
      <c r="J64" s="4" t="s">
        <v>67</v>
      </c>
      <c r="K64" s="4" t="s">
        <v>90</v>
      </c>
      <c r="M64">
        <f t="shared" si="1"/>
        <v>449.26903125000001</v>
      </c>
    </row>
    <row r="65" spans="1:13" ht="14" x14ac:dyDescent="0.2">
      <c r="A65" s="4" t="s">
        <v>216</v>
      </c>
      <c r="B65" s="5">
        <v>11980.507500000002</v>
      </c>
      <c r="C65" s="5">
        <f t="shared" si="0"/>
        <v>2995.1268750000004</v>
      </c>
      <c r="D65" s="4">
        <v>4</v>
      </c>
      <c r="E65" s="5" t="s">
        <v>10</v>
      </c>
      <c r="F65" s="4" t="s">
        <v>217</v>
      </c>
      <c r="G65" s="4" t="s">
        <v>12</v>
      </c>
      <c r="H65" s="4" t="s">
        <v>217</v>
      </c>
      <c r="I65" s="4" t="s">
        <v>22</v>
      </c>
      <c r="J65" s="4" t="s">
        <v>218</v>
      </c>
      <c r="K65" s="4" t="s">
        <v>219</v>
      </c>
      <c r="M65">
        <f t="shared" si="1"/>
        <v>2695.6141875000003</v>
      </c>
    </row>
    <row r="66" spans="1:13" ht="14" x14ac:dyDescent="0.2">
      <c r="A66" s="4" t="s">
        <v>220</v>
      </c>
      <c r="B66" s="5">
        <v>10427.47875</v>
      </c>
      <c r="C66" s="5">
        <f t="shared" si="0"/>
        <v>1042.747875</v>
      </c>
      <c r="D66" s="4">
        <v>10</v>
      </c>
      <c r="E66" s="5" t="s">
        <v>10</v>
      </c>
      <c r="F66" s="4" t="s">
        <v>221</v>
      </c>
      <c r="G66" s="4" t="s">
        <v>12</v>
      </c>
      <c r="H66" s="4" t="s">
        <v>222</v>
      </c>
      <c r="I66" s="4" t="s">
        <v>14</v>
      </c>
      <c r="J66" s="4" t="s">
        <v>223</v>
      </c>
      <c r="K66" s="4" t="s">
        <v>34</v>
      </c>
      <c r="M66">
        <f t="shared" si="1"/>
        <v>938.47308750000002</v>
      </c>
    </row>
    <row r="67" spans="1:13" ht="14" x14ac:dyDescent="0.2">
      <c r="A67" s="4" t="s">
        <v>224</v>
      </c>
      <c r="B67" s="5">
        <v>10782.456749999999</v>
      </c>
      <c r="C67" s="5">
        <f t="shared" ref="C67:C130" si="2">(B67/D67)</f>
        <v>385.08774107142852</v>
      </c>
      <c r="D67" s="4">
        <v>28</v>
      </c>
      <c r="E67" s="5" t="s">
        <v>10</v>
      </c>
      <c r="F67" s="4" t="s">
        <v>225</v>
      </c>
      <c r="G67" s="4" t="s">
        <v>12</v>
      </c>
      <c r="H67" s="4" t="s">
        <v>226</v>
      </c>
      <c r="I67" s="4" t="s">
        <v>22</v>
      </c>
      <c r="J67" s="4" t="s">
        <v>146</v>
      </c>
      <c r="K67" s="4" t="s">
        <v>227</v>
      </c>
      <c r="M67">
        <f t="shared" ref="M67:M93" si="3">C67-(C67*10%)</f>
        <v>346.57896696428566</v>
      </c>
    </row>
    <row r="68" spans="1:13" ht="14" x14ac:dyDescent="0.2">
      <c r="A68" s="4" t="s">
        <v>228</v>
      </c>
      <c r="B68" s="5">
        <v>6766.7681250000005</v>
      </c>
      <c r="C68" s="5">
        <f t="shared" si="2"/>
        <v>6766.7681250000005</v>
      </c>
      <c r="D68" s="4">
        <v>1</v>
      </c>
      <c r="E68" s="5" t="s">
        <v>175</v>
      </c>
      <c r="F68" s="4" t="s">
        <v>229</v>
      </c>
      <c r="G68" s="4" t="s">
        <v>20</v>
      </c>
      <c r="H68" s="4" t="s">
        <v>230</v>
      </c>
      <c r="I68" s="4" t="s">
        <v>22</v>
      </c>
      <c r="J68" s="4" t="s">
        <v>231</v>
      </c>
      <c r="K68" s="4" t="s">
        <v>179</v>
      </c>
      <c r="M68">
        <f t="shared" si="3"/>
        <v>6090.0913125000006</v>
      </c>
    </row>
    <row r="69" spans="1:13" ht="14" x14ac:dyDescent="0.2">
      <c r="A69" s="4" t="s">
        <v>232</v>
      </c>
      <c r="B69" s="5">
        <v>1663.9593750000001</v>
      </c>
      <c r="C69" s="5">
        <f t="shared" si="2"/>
        <v>1663.9593750000001</v>
      </c>
      <c r="D69" s="4">
        <v>1</v>
      </c>
      <c r="E69" s="5" t="s">
        <v>59</v>
      </c>
      <c r="F69" s="4" t="s">
        <v>233</v>
      </c>
      <c r="G69" s="4" t="s">
        <v>20</v>
      </c>
      <c r="H69" s="4" t="s">
        <v>234</v>
      </c>
      <c r="I69" s="4" t="s">
        <v>22</v>
      </c>
      <c r="J69" s="4" t="s">
        <v>235</v>
      </c>
      <c r="K69" s="4" t="s">
        <v>118</v>
      </c>
      <c r="M69">
        <f t="shared" si="3"/>
        <v>1497.5634375000002</v>
      </c>
    </row>
    <row r="70" spans="1:13" ht="14" x14ac:dyDescent="0.2">
      <c r="A70" s="4" t="s">
        <v>236</v>
      </c>
      <c r="B70" s="5">
        <v>15086.565000000001</v>
      </c>
      <c r="C70" s="5">
        <f t="shared" si="2"/>
        <v>538.80589285714291</v>
      </c>
      <c r="D70" s="4">
        <v>28</v>
      </c>
      <c r="E70" s="5" t="s">
        <v>10</v>
      </c>
      <c r="F70" s="4" t="s">
        <v>237</v>
      </c>
      <c r="G70" s="4" t="s">
        <v>12</v>
      </c>
      <c r="H70" s="4" t="s">
        <v>237</v>
      </c>
      <c r="I70" s="4" t="s">
        <v>22</v>
      </c>
      <c r="J70" s="4" t="s">
        <v>47</v>
      </c>
      <c r="K70" s="4" t="s">
        <v>219</v>
      </c>
      <c r="M70">
        <f t="shared" si="3"/>
        <v>484.92530357142863</v>
      </c>
    </row>
    <row r="71" spans="1:13" ht="14" x14ac:dyDescent="0.2">
      <c r="A71" s="4" t="s">
        <v>238</v>
      </c>
      <c r="B71" s="5">
        <v>19745.651250000003</v>
      </c>
      <c r="C71" s="5">
        <f t="shared" si="2"/>
        <v>658.18837500000006</v>
      </c>
      <c r="D71" s="4">
        <v>30</v>
      </c>
      <c r="E71" s="5" t="s">
        <v>10</v>
      </c>
      <c r="F71" s="4" t="s">
        <v>239</v>
      </c>
      <c r="G71" s="4" t="s">
        <v>12</v>
      </c>
      <c r="H71" s="4" t="s">
        <v>240</v>
      </c>
      <c r="I71" s="4" t="s">
        <v>22</v>
      </c>
      <c r="J71" s="4" t="s">
        <v>67</v>
      </c>
      <c r="K71" s="4" t="s">
        <v>34</v>
      </c>
      <c r="M71">
        <f t="shared" si="3"/>
        <v>592.36953750000009</v>
      </c>
    </row>
    <row r="72" spans="1:13" ht="14" x14ac:dyDescent="0.2">
      <c r="A72" s="4" t="s">
        <v>241</v>
      </c>
      <c r="B72" s="5">
        <v>31837.089375000003</v>
      </c>
      <c r="C72" s="5">
        <f t="shared" si="2"/>
        <v>31837.089375000003</v>
      </c>
      <c r="D72" s="4">
        <v>1</v>
      </c>
      <c r="E72" s="5" t="s">
        <v>175</v>
      </c>
      <c r="F72" s="4" t="s">
        <v>242</v>
      </c>
      <c r="G72" s="4" t="s">
        <v>12</v>
      </c>
      <c r="H72" s="4" t="s">
        <v>243</v>
      </c>
      <c r="I72" s="4" t="s">
        <v>14</v>
      </c>
      <c r="J72" s="8">
        <v>2E-3</v>
      </c>
      <c r="K72" s="4" t="s">
        <v>244</v>
      </c>
      <c r="M72">
        <f t="shared" si="3"/>
        <v>28653.380437500004</v>
      </c>
    </row>
    <row r="73" spans="1:13" ht="14" x14ac:dyDescent="0.2">
      <c r="A73" s="4" t="s">
        <v>245</v>
      </c>
      <c r="B73" s="5">
        <v>2033.35835625</v>
      </c>
      <c r="C73" s="5">
        <f t="shared" si="2"/>
        <v>72.619941294642857</v>
      </c>
      <c r="D73" s="4">
        <v>28</v>
      </c>
      <c r="E73" s="5" t="s">
        <v>10</v>
      </c>
      <c r="F73" s="4" t="s">
        <v>246</v>
      </c>
      <c r="G73" s="4" t="s">
        <v>12</v>
      </c>
      <c r="H73" s="4" t="s">
        <v>247</v>
      </c>
      <c r="I73" s="4" t="s">
        <v>22</v>
      </c>
      <c r="J73" s="4" t="s">
        <v>248</v>
      </c>
      <c r="K73" s="4" t="s">
        <v>90</v>
      </c>
      <c r="M73">
        <f t="shared" si="3"/>
        <v>65.357947165178572</v>
      </c>
    </row>
    <row r="74" spans="1:13" ht="14" x14ac:dyDescent="0.2">
      <c r="A74" s="4" t="s">
        <v>249</v>
      </c>
      <c r="B74" s="5">
        <v>4991.8781250000002</v>
      </c>
      <c r="C74" s="5">
        <f t="shared" si="2"/>
        <v>499.18781250000001</v>
      </c>
      <c r="D74" s="4">
        <v>10</v>
      </c>
      <c r="E74" s="5" t="s">
        <v>10</v>
      </c>
      <c r="F74" s="4" t="s">
        <v>250</v>
      </c>
      <c r="G74" s="4" t="s">
        <v>20</v>
      </c>
      <c r="H74" s="4" t="s">
        <v>251</v>
      </c>
      <c r="I74" s="4" t="s">
        <v>22</v>
      </c>
      <c r="J74" s="4" t="s">
        <v>67</v>
      </c>
      <c r="K74" s="4" t="s">
        <v>53</v>
      </c>
      <c r="M74">
        <f t="shared" si="3"/>
        <v>449.26903125000001</v>
      </c>
    </row>
    <row r="75" spans="1:13" ht="14" x14ac:dyDescent="0.2">
      <c r="A75" s="4" t="s">
        <v>252</v>
      </c>
      <c r="B75" s="5">
        <v>6101.1843750000007</v>
      </c>
      <c r="C75" s="5">
        <f t="shared" si="2"/>
        <v>610.11843750000003</v>
      </c>
      <c r="D75" s="4">
        <v>10</v>
      </c>
      <c r="E75" s="5" t="s">
        <v>10</v>
      </c>
      <c r="F75" s="4" t="s">
        <v>250</v>
      </c>
      <c r="G75" s="4" t="s">
        <v>20</v>
      </c>
      <c r="H75" s="4" t="s">
        <v>251</v>
      </c>
      <c r="I75" s="4" t="s">
        <v>22</v>
      </c>
      <c r="J75" s="4" t="s">
        <v>207</v>
      </c>
      <c r="K75" s="4" t="s">
        <v>53</v>
      </c>
      <c r="M75">
        <f t="shared" si="3"/>
        <v>549.10659375</v>
      </c>
    </row>
    <row r="76" spans="1:13" ht="14" x14ac:dyDescent="0.2">
      <c r="A76" s="4" t="s">
        <v>253</v>
      </c>
      <c r="B76" s="5">
        <v>4375.1038500000004</v>
      </c>
      <c r="C76" s="5">
        <f t="shared" si="2"/>
        <v>4375.1038500000004</v>
      </c>
      <c r="D76" s="4">
        <v>1</v>
      </c>
      <c r="E76" s="5" t="s">
        <v>18</v>
      </c>
      <c r="F76" s="4" t="s">
        <v>254</v>
      </c>
      <c r="G76" s="4" t="s">
        <v>12</v>
      </c>
      <c r="H76" s="4" t="s">
        <v>255</v>
      </c>
      <c r="I76" s="4" t="s">
        <v>22</v>
      </c>
      <c r="J76" s="6">
        <v>0.01</v>
      </c>
      <c r="K76" s="4" t="s">
        <v>53</v>
      </c>
      <c r="M76">
        <f t="shared" si="3"/>
        <v>3937.5934650000004</v>
      </c>
    </row>
    <row r="77" spans="1:13" ht="14" x14ac:dyDescent="0.2">
      <c r="A77" s="4" t="s">
        <v>256</v>
      </c>
      <c r="B77" s="5">
        <v>15822.035043750004</v>
      </c>
      <c r="C77" s="5">
        <f t="shared" si="2"/>
        <v>1318.5029203125002</v>
      </c>
      <c r="D77" s="4">
        <v>12</v>
      </c>
      <c r="E77" s="5" t="s">
        <v>257</v>
      </c>
      <c r="F77" s="4" t="s">
        <v>258</v>
      </c>
      <c r="G77" s="4" t="s">
        <v>20</v>
      </c>
      <c r="H77" s="4" t="s">
        <v>259</v>
      </c>
      <c r="I77" s="4" t="s">
        <v>22</v>
      </c>
      <c r="J77" s="4" t="s">
        <v>260</v>
      </c>
      <c r="K77" s="4" t="s">
        <v>87</v>
      </c>
      <c r="M77">
        <f t="shared" si="3"/>
        <v>1186.6526282812501</v>
      </c>
    </row>
    <row r="78" spans="1:13" ht="14" x14ac:dyDescent="0.2">
      <c r="A78" s="4" t="s">
        <v>261</v>
      </c>
      <c r="B78" s="5">
        <v>9932.7281624999996</v>
      </c>
      <c r="C78" s="5">
        <f t="shared" si="2"/>
        <v>827.72734687499997</v>
      </c>
      <c r="D78" s="4">
        <v>12</v>
      </c>
      <c r="E78" s="5" t="s">
        <v>257</v>
      </c>
      <c r="F78" s="4" t="s">
        <v>258</v>
      </c>
      <c r="G78" s="4" t="s">
        <v>20</v>
      </c>
      <c r="H78" s="4" t="s">
        <v>259</v>
      </c>
      <c r="I78" s="4" t="s">
        <v>22</v>
      </c>
      <c r="J78" s="4" t="s">
        <v>260</v>
      </c>
      <c r="K78" s="4" t="s">
        <v>87</v>
      </c>
      <c r="M78">
        <f t="shared" si="3"/>
        <v>744.95461218749995</v>
      </c>
    </row>
    <row r="79" spans="1:13" ht="14" x14ac:dyDescent="0.2">
      <c r="A79" s="4" t="s">
        <v>262</v>
      </c>
      <c r="B79" s="5">
        <v>1331.1675</v>
      </c>
      <c r="C79" s="5">
        <f t="shared" si="2"/>
        <v>443.72250000000003</v>
      </c>
      <c r="D79" s="4">
        <v>3</v>
      </c>
      <c r="E79" s="5" t="s">
        <v>10</v>
      </c>
      <c r="F79" s="4" t="s">
        <v>263</v>
      </c>
      <c r="G79" s="4" t="s">
        <v>20</v>
      </c>
      <c r="H79" s="4" t="s">
        <v>264</v>
      </c>
      <c r="I79" s="4" t="s">
        <v>22</v>
      </c>
      <c r="J79" s="4" t="s">
        <v>265</v>
      </c>
      <c r="K79" s="4" t="s">
        <v>108</v>
      </c>
      <c r="M79">
        <f t="shared" si="3"/>
        <v>399.35025000000002</v>
      </c>
    </row>
    <row r="80" spans="1:13" ht="14" x14ac:dyDescent="0.2">
      <c r="A80" s="4" t="s">
        <v>266</v>
      </c>
      <c r="B80" s="5">
        <v>75486.071700000015</v>
      </c>
      <c r="C80" s="5">
        <f t="shared" si="2"/>
        <v>1347.9655660714288</v>
      </c>
      <c r="D80" s="4">
        <v>56</v>
      </c>
      <c r="E80" s="5" t="s">
        <v>30</v>
      </c>
      <c r="F80" s="4" t="s">
        <v>267</v>
      </c>
      <c r="G80" s="4" t="s">
        <v>12</v>
      </c>
      <c r="H80" s="4" t="s">
        <v>267</v>
      </c>
      <c r="I80" s="4" t="s">
        <v>22</v>
      </c>
      <c r="J80" s="4" t="s">
        <v>140</v>
      </c>
      <c r="K80" s="4" t="s">
        <v>227</v>
      </c>
      <c r="M80">
        <f t="shared" si="3"/>
        <v>1213.1690094642859</v>
      </c>
    </row>
    <row r="81" spans="1:13" ht="14" x14ac:dyDescent="0.2">
      <c r="A81" s="4" t="s">
        <v>268</v>
      </c>
      <c r="B81" s="5">
        <v>26013.231562500001</v>
      </c>
      <c r="C81" s="5">
        <f t="shared" si="2"/>
        <v>867.10771875</v>
      </c>
      <c r="D81" s="4">
        <v>30</v>
      </c>
      <c r="E81" s="5" t="s">
        <v>10</v>
      </c>
      <c r="F81" s="4" t="s">
        <v>269</v>
      </c>
      <c r="G81" s="4" t="s">
        <v>12</v>
      </c>
      <c r="H81" s="4" t="s">
        <v>270</v>
      </c>
      <c r="I81" s="4" t="s">
        <v>22</v>
      </c>
      <c r="J81" s="4" t="s">
        <v>271</v>
      </c>
      <c r="K81" s="4" t="s">
        <v>16</v>
      </c>
      <c r="M81">
        <f t="shared" si="3"/>
        <v>780.39694687500003</v>
      </c>
    </row>
    <row r="82" spans="1:13" ht="14" x14ac:dyDescent="0.2">
      <c r="A82" s="4" t="s">
        <v>272</v>
      </c>
      <c r="B82" s="5">
        <v>19967.512500000001</v>
      </c>
      <c r="C82" s="5">
        <f t="shared" si="2"/>
        <v>665.58375000000001</v>
      </c>
      <c r="D82" s="4">
        <v>30</v>
      </c>
      <c r="E82" s="5" t="s">
        <v>10</v>
      </c>
      <c r="F82" s="4" t="s">
        <v>269</v>
      </c>
      <c r="G82" s="4" t="s">
        <v>12</v>
      </c>
      <c r="H82" s="4" t="s">
        <v>270</v>
      </c>
      <c r="I82" s="4" t="s">
        <v>22</v>
      </c>
      <c r="J82" s="4" t="s">
        <v>273</v>
      </c>
      <c r="K82" s="4" t="s">
        <v>16</v>
      </c>
      <c r="M82">
        <f t="shared" si="3"/>
        <v>599.02537500000005</v>
      </c>
    </row>
    <row r="83" spans="1:13" ht="14" x14ac:dyDescent="0.2">
      <c r="A83" s="4" t="s">
        <v>274</v>
      </c>
      <c r="B83" s="5">
        <v>26623.350000000002</v>
      </c>
      <c r="C83" s="5">
        <f t="shared" si="2"/>
        <v>887.44500000000005</v>
      </c>
      <c r="D83" s="4">
        <v>30</v>
      </c>
      <c r="E83" s="5" t="s">
        <v>10</v>
      </c>
      <c r="F83" s="4" t="s">
        <v>269</v>
      </c>
      <c r="G83" s="4" t="s">
        <v>12</v>
      </c>
      <c r="H83" s="4" t="s">
        <v>270</v>
      </c>
      <c r="I83" s="4" t="s">
        <v>22</v>
      </c>
      <c r="J83" s="4" t="s">
        <v>198</v>
      </c>
      <c r="K83" s="4" t="s">
        <v>16</v>
      </c>
      <c r="M83">
        <f t="shared" si="3"/>
        <v>798.70050000000003</v>
      </c>
    </row>
    <row r="84" spans="1:13" ht="14" x14ac:dyDescent="0.2">
      <c r="A84" s="4" t="s">
        <v>275</v>
      </c>
      <c r="B84" s="5">
        <v>27288.933750000004</v>
      </c>
      <c r="C84" s="5">
        <f t="shared" si="2"/>
        <v>909.63112500000011</v>
      </c>
      <c r="D84" s="4">
        <v>30</v>
      </c>
      <c r="E84" s="5" t="s">
        <v>10</v>
      </c>
      <c r="F84" s="4" t="s">
        <v>276</v>
      </c>
      <c r="G84" s="4" t="s">
        <v>12</v>
      </c>
      <c r="H84" s="4" t="s">
        <v>277</v>
      </c>
      <c r="I84" s="4" t="s">
        <v>22</v>
      </c>
      <c r="J84" s="4" t="s">
        <v>278</v>
      </c>
      <c r="K84" s="4" t="s">
        <v>16</v>
      </c>
      <c r="M84">
        <f t="shared" si="3"/>
        <v>818.66801250000003</v>
      </c>
    </row>
    <row r="85" spans="1:13" ht="14" x14ac:dyDescent="0.2">
      <c r="A85" s="4" t="s">
        <v>279</v>
      </c>
      <c r="B85" s="5">
        <v>4104.4331250000005</v>
      </c>
      <c r="C85" s="5">
        <f t="shared" si="2"/>
        <v>684.07218750000004</v>
      </c>
      <c r="D85" s="4">
        <v>6</v>
      </c>
      <c r="E85" s="5" t="s">
        <v>10</v>
      </c>
      <c r="F85" s="4" t="s">
        <v>280</v>
      </c>
      <c r="G85" s="4" t="s">
        <v>20</v>
      </c>
      <c r="H85" s="4" t="s">
        <v>281</v>
      </c>
      <c r="I85" s="4" t="s">
        <v>22</v>
      </c>
      <c r="J85" s="4" t="s">
        <v>282</v>
      </c>
      <c r="K85" s="4" t="s">
        <v>108</v>
      </c>
      <c r="M85">
        <f t="shared" si="3"/>
        <v>615.66496875000007</v>
      </c>
    </row>
    <row r="86" spans="1:13" ht="14" x14ac:dyDescent="0.2">
      <c r="A86" s="4" t="s">
        <v>283</v>
      </c>
      <c r="B86" s="5">
        <v>2795.4517500000006</v>
      </c>
      <c r="C86" s="5">
        <f t="shared" si="2"/>
        <v>465.90862500000009</v>
      </c>
      <c r="D86" s="4">
        <v>6</v>
      </c>
      <c r="E86" s="5" t="s">
        <v>10</v>
      </c>
      <c r="F86" s="4" t="s">
        <v>280</v>
      </c>
      <c r="G86" s="4" t="s">
        <v>20</v>
      </c>
      <c r="H86" s="4" t="s">
        <v>284</v>
      </c>
      <c r="I86" s="4" t="s">
        <v>22</v>
      </c>
      <c r="J86" s="4" t="s">
        <v>282</v>
      </c>
      <c r="K86" s="4" t="s">
        <v>108</v>
      </c>
      <c r="M86">
        <f t="shared" si="3"/>
        <v>419.31776250000007</v>
      </c>
    </row>
    <row r="87" spans="1:13" ht="14" x14ac:dyDescent="0.2">
      <c r="A87" s="4" t="s">
        <v>285</v>
      </c>
      <c r="B87" s="5">
        <v>2551.4043750000001</v>
      </c>
      <c r="C87" s="5">
        <f t="shared" si="2"/>
        <v>2551.4043750000001</v>
      </c>
      <c r="D87" s="4">
        <v>1</v>
      </c>
      <c r="E87" s="5" t="s">
        <v>59</v>
      </c>
      <c r="F87" s="4" t="s">
        <v>280</v>
      </c>
      <c r="G87" s="4" t="s">
        <v>20</v>
      </c>
      <c r="H87" s="4" t="s">
        <v>286</v>
      </c>
      <c r="I87" s="4" t="s">
        <v>22</v>
      </c>
      <c r="J87" s="4" t="s">
        <v>287</v>
      </c>
      <c r="K87" s="4" t="s">
        <v>108</v>
      </c>
      <c r="M87">
        <f t="shared" si="3"/>
        <v>2296.2639374999999</v>
      </c>
    </row>
    <row r="88" spans="1:13" ht="14" x14ac:dyDescent="0.2">
      <c r="A88" s="4" t="s">
        <v>288</v>
      </c>
      <c r="B88" s="5">
        <v>2884.1962500000004</v>
      </c>
      <c r="C88" s="5">
        <f t="shared" si="2"/>
        <v>120.17484375000002</v>
      </c>
      <c r="D88" s="4">
        <v>24</v>
      </c>
      <c r="E88" s="5" t="s">
        <v>10</v>
      </c>
      <c r="F88" s="4" t="s">
        <v>280</v>
      </c>
      <c r="G88" s="4" t="s">
        <v>20</v>
      </c>
      <c r="H88" s="4" t="s">
        <v>286</v>
      </c>
      <c r="I88" s="4" t="s">
        <v>22</v>
      </c>
      <c r="J88" s="4" t="s">
        <v>111</v>
      </c>
      <c r="K88" s="4" t="s">
        <v>108</v>
      </c>
      <c r="M88">
        <f t="shared" si="3"/>
        <v>108.15735937500003</v>
      </c>
    </row>
    <row r="89" spans="1:13" ht="14" x14ac:dyDescent="0.2">
      <c r="A89" s="4" t="s">
        <v>289</v>
      </c>
      <c r="B89" s="5">
        <v>7987.005000000001</v>
      </c>
      <c r="C89" s="5">
        <f t="shared" si="2"/>
        <v>7987.005000000001</v>
      </c>
      <c r="D89" s="4">
        <v>1</v>
      </c>
      <c r="E89" s="5" t="s">
        <v>124</v>
      </c>
      <c r="F89" s="4" t="s">
        <v>290</v>
      </c>
      <c r="G89" s="4" t="s">
        <v>291</v>
      </c>
      <c r="H89" s="4" t="s">
        <v>292</v>
      </c>
      <c r="I89" s="4" t="s">
        <v>14</v>
      </c>
      <c r="J89" s="4" t="s">
        <v>293</v>
      </c>
      <c r="K89" s="4" t="s">
        <v>294</v>
      </c>
      <c r="M89">
        <f t="shared" si="3"/>
        <v>7188.3045000000011</v>
      </c>
    </row>
    <row r="90" spans="1:13" ht="14" x14ac:dyDescent="0.2">
      <c r="A90" s="4" t="s">
        <v>295</v>
      </c>
      <c r="B90" s="5">
        <v>5370.1515562499999</v>
      </c>
      <c r="C90" s="5">
        <f t="shared" si="2"/>
        <v>5370.1515562499999</v>
      </c>
      <c r="D90" s="4">
        <v>1</v>
      </c>
      <c r="E90" s="5" t="s">
        <v>296</v>
      </c>
      <c r="F90" s="4" t="s">
        <v>297</v>
      </c>
      <c r="G90" s="4" t="s">
        <v>12</v>
      </c>
      <c r="H90" s="4" t="s">
        <v>295</v>
      </c>
      <c r="I90" s="4" t="s">
        <v>22</v>
      </c>
      <c r="J90" s="6">
        <v>0.1</v>
      </c>
      <c r="K90" s="4" t="s">
        <v>34</v>
      </c>
      <c r="M90">
        <f t="shared" si="3"/>
        <v>4833.1364006249996</v>
      </c>
    </row>
    <row r="91" spans="1:13" ht="14" x14ac:dyDescent="0.2">
      <c r="A91" s="4" t="s">
        <v>298</v>
      </c>
      <c r="B91" s="5">
        <v>5435.600625</v>
      </c>
      <c r="C91" s="5">
        <f t="shared" si="2"/>
        <v>5435.600625</v>
      </c>
      <c r="D91" s="4">
        <v>1</v>
      </c>
      <c r="E91" s="5" t="s">
        <v>59</v>
      </c>
      <c r="F91" s="4" t="s">
        <v>299</v>
      </c>
      <c r="G91" s="4" t="s">
        <v>12</v>
      </c>
      <c r="H91" s="4" t="s">
        <v>300</v>
      </c>
      <c r="I91" s="4" t="s">
        <v>22</v>
      </c>
      <c r="J91" s="4" t="s">
        <v>301</v>
      </c>
      <c r="K91" s="4" t="s">
        <v>34</v>
      </c>
      <c r="M91">
        <f t="shared" si="3"/>
        <v>4892.0405625000003</v>
      </c>
    </row>
    <row r="92" spans="1:13" ht="14" x14ac:dyDescent="0.2">
      <c r="A92" s="4" t="s">
        <v>302</v>
      </c>
      <c r="B92" s="5">
        <v>3463.2000000000003</v>
      </c>
      <c r="C92" s="5">
        <f t="shared" si="2"/>
        <v>3463.2000000000003</v>
      </c>
      <c r="D92" s="4">
        <v>1</v>
      </c>
      <c r="E92" s="5" t="s">
        <v>59</v>
      </c>
      <c r="F92" s="4" t="s">
        <v>303</v>
      </c>
      <c r="G92" s="4" t="s">
        <v>12</v>
      </c>
      <c r="H92" s="4" t="s">
        <v>302</v>
      </c>
      <c r="I92" s="4" t="s">
        <v>22</v>
      </c>
      <c r="K92" s="4" t="s">
        <v>34</v>
      </c>
      <c r="M92">
        <f t="shared" si="3"/>
        <v>3116.88</v>
      </c>
    </row>
    <row r="93" spans="1:13" ht="14" x14ac:dyDescent="0.2">
      <c r="A93" s="4" t="s">
        <v>304</v>
      </c>
      <c r="B93" s="5">
        <v>9037.5180187499991</v>
      </c>
      <c r="C93" s="5">
        <f t="shared" si="2"/>
        <v>9.0375180187499993</v>
      </c>
      <c r="D93" s="4">
        <v>1000</v>
      </c>
      <c r="E93" s="5" t="s">
        <v>10</v>
      </c>
      <c r="F93" s="4" t="s">
        <v>305</v>
      </c>
      <c r="G93" s="4" t="s">
        <v>12</v>
      </c>
      <c r="H93" s="4" t="s">
        <v>305</v>
      </c>
      <c r="I93" s="4" t="s">
        <v>22</v>
      </c>
      <c r="J93" s="4" t="s">
        <v>140</v>
      </c>
      <c r="K93" s="4" t="s">
        <v>74</v>
      </c>
      <c r="M93">
        <f t="shared" si="3"/>
        <v>8.1337662168749993</v>
      </c>
    </row>
    <row r="94" spans="1:13" ht="14" x14ac:dyDescent="0.2">
      <c r="A94" s="4" t="s">
        <v>306</v>
      </c>
      <c r="B94" s="5">
        <v>2218.6125000000002</v>
      </c>
      <c r="C94" s="5">
        <f t="shared" si="2"/>
        <v>1109.3062500000001</v>
      </c>
      <c r="D94" s="4">
        <v>2</v>
      </c>
      <c r="E94" s="4" t="s">
        <v>124</v>
      </c>
      <c r="F94" s="4" t="s">
        <v>306</v>
      </c>
      <c r="G94" s="4" t="s">
        <v>12</v>
      </c>
      <c r="H94" s="4" t="s">
        <v>307</v>
      </c>
      <c r="I94" s="3" t="s">
        <v>22</v>
      </c>
      <c r="J94" s="4" t="s">
        <v>260</v>
      </c>
      <c r="K94" s="4" t="s">
        <v>74</v>
      </c>
      <c r="M94">
        <f t="shared" ref="M94:M156" si="4">C94-(C94* 10%)</f>
        <v>998.37562500000013</v>
      </c>
    </row>
    <row r="95" spans="1:13" ht="14" x14ac:dyDescent="0.2">
      <c r="A95" s="4" t="s">
        <v>308</v>
      </c>
      <c r="B95" s="5">
        <v>11004.317999999999</v>
      </c>
      <c r="C95" s="5">
        <f t="shared" si="2"/>
        <v>1100.4317999999998</v>
      </c>
      <c r="D95" s="4">
        <v>10</v>
      </c>
      <c r="E95" s="5" t="s">
        <v>124</v>
      </c>
      <c r="F95" s="4" t="s">
        <v>305</v>
      </c>
      <c r="G95" s="4" t="s">
        <v>12</v>
      </c>
      <c r="H95" s="4" t="s">
        <v>305</v>
      </c>
      <c r="I95" s="4" t="s">
        <v>22</v>
      </c>
      <c r="J95" s="4" t="s">
        <v>67</v>
      </c>
      <c r="K95" s="4" t="s">
        <v>74</v>
      </c>
      <c r="M95">
        <f t="shared" si="4"/>
        <v>990.38861999999983</v>
      </c>
    </row>
    <row r="96" spans="1:13" ht="14" x14ac:dyDescent="0.2">
      <c r="A96" s="4" t="s">
        <v>309</v>
      </c>
      <c r="B96" s="5">
        <v>19677.983568750002</v>
      </c>
      <c r="C96" s="5">
        <f t="shared" si="2"/>
        <v>3279.6639281250004</v>
      </c>
      <c r="D96" s="4">
        <v>6</v>
      </c>
      <c r="E96" s="5" t="s">
        <v>124</v>
      </c>
      <c r="F96" s="4" t="s">
        <v>310</v>
      </c>
      <c r="G96" s="4" t="s">
        <v>12</v>
      </c>
      <c r="H96" s="4" t="s">
        <v>310</v>
      </c>
      <c r="I96" s="4" t="s">
        <v>22</v>
      </c>
      <c r="J96" s="4" t="s">
        <v>311</v>
      </c>
      <c r="K96" s="4" t="s">
        <v>312</v>
      </c>
      <c r="M96">
        <f t="shared" si="4"/>
        <v>2951.6975353125003</v>
      </c>
    </row>
    <row r="97" spans="1:13" ht="14" x14ac:dyDescent="0.2">
      <c r="A97" s="4" t="s">
        <v>313</v>
      </c>
      <c r="B97" s="5">
        <v>12639.435412500001</v>
      </c>
      <c r="C97" s="5">
        <f t="shared" si="2"/>
        <v>12639.435412500001</v>
      </c>
      <c r="D97" s="4">
        <v>1</v>
      </c>
      <c r="E97" s="5" t="s">
        <v>124</v>
      </c>
      <c r="F97" s="4" t="s">
        <v>310</v>
      </c>
      <c r="G97" s="4" t="s">
        <v>12</v>
      </c>
      <c r="H97" s="4" t="s">
        <v>314</v>
      </c>
      <c r="I97" s="4" t="s">
        <v>22</v>
      </c>
      <c r="J97" s="4" t="s">
        <v>315</v>
      </c>
      <c r="K97" s="4" t="s">
        <v>312</v>
      </c>
      <c r="M97">
        <f t="shared" si="4"/>
        <v>11375.49187125</v>
      </c>
    </row>
    <row r="98" spans="1:13" ht="14" x14ac:dyDescent="0.2">
      <c r="A98" s="4" t="s">
        <v>316</v>
      </c>
      <c r="B98" s="5">
        <v>9817.3603125000009</v>
      </c>
      <c r="C98" s="5">
        <f t="shared" si="2"/>
        <v>350.62001116071434</v>
      </c>
      <c r="D98" s="4">
        <v>28</v>
      </c>
      <c r="E98" s="5" t="s">
        <v>10</v>
      </c>
      <c r="F98" s="4" t="s">
        <v>310</v>
      </c>
      <c r="G98" s="4" t="s">
        <v>12</v>
      </c>
      <c r="H98" s="4" t="s">
        <v>310</v>
      </c>
      <c r="I98" s="4" t="s">
        <v>22</v>
      </c>
      <c r="J98" s="4" t="s">
        <v>140</v>
      </c>
      <c r="K98" s="4" t="s">
        <v>312</v>
      </c>
      <c r="M98">
        <f t="shared" si="4"/>
        <v>315.55801004464291</v>
      </c>
    </row>
    <row r="99" spans="1:13" ht="14" x14ac:dyDescent="0.2">
      <c r="A99" s="4" t="s">
        <v>317</v>
      </c>
      <c r="B99" s="5">
        <v>13256.209687500001</v>
      </c>
      <c r="C99" s="5">
        <f t="shared" si="2"/>
        <v>473.43606026785716</v>
      </c>
      <c r="D99" s="4">
        <v>28</v>
      </c>
      <c r="E99" s="5" t="s">
        <v>10</v>
      </c>
      <c r="F99" s="4" t="s">
        <v>310</v>
      </c>
      <c r="G99" s="4" t="s">
        <v>12</v>
      </c>
      <c r="H99" s="4" t="s">
        <v>310</v>
      </c>
      <c r="I99" s="4" t="s">
        <v>22</v>
      </c>
      <c r="J99" s="4" t="s">
        <v>95</v>
      </c>
      <c r="K99" s="4" t="s">
        <v>312</v>
      </c>
      <c r="M99">
        <f t="shared" si="4"/>
        <v>426.09245424107144</v>
      </c>
    </row>
    <row r="100" spans="1:13" ht="14" x14ac:dyDescent="0.2">
      <c r="A100" s="4" t="s">
        <v>318</v>
      </c>
      <c r="B100" s="5">
        <v>4437.2250000000004</v>
      </c>
      <c r="C100" s="5">
        <f t="shared" si="2"/>
        <v>158.47232142857143</v>
      </c>
      <c r="D100" s="4">
        <v>28</v>
      </c>
      <c r="E100" s="5" t="s">
        <v>10</v>
      </c>
      <c r="F100" s="4" t="s">
        <v>319</v>
      </c>
      <c r="G100" s="4" t="s">
        <v>12</v>
      </c>
      <c r="H100" s="4" t="s">
        <v>319</v>
      </c>
      <c r="I100" s="4" t="s">
        <v>22</v>
      </c>
      <c r="J100" s="4" t="s">
        <v>146</v>
      </c>
      <c r="K100" s="4" t="s">
        <v>227</v>
      </c>
      <c r="M100">
        <f t="shared" si="4"/>
        <v>142.6250892857143</v>
      </c>
    </row>
    <row r="101" spans="1:13" ht="14" x14ac:dyDescent="0.2">
      <c r="A101" s="4" t="s">
        <v>320</v>
      </c>
      <c r="B101" s="5">
        <v>4437.2250000000004</v>
      </c>
      <c r="C101" s="5">
        <f t="shared" si="2"/>
        <v>158.47232142857143</v>
      </c>
      <c r="D101" s="4">
        <v>28</v>
      </c>
      <c r="E101" s="5" t="s">
        <v>10</v>
      </c>
      <c r="F101" s="4" t="s">
        <v>319</v>
      </c>
      <c r="G101" s="4" t="s">
        <v>12</v>
      </c>
      <c r="H101" s="4" t="s">
        <v>319</v>
      </c>
      <c r="I101" s="4" t="s">
        <v>22</v>
      </c>
      <c r="J101" s="4" t="s">
        <v>15</v>
      </c>
      <c r="K101" s="4" t="s">
        <v>227</v>
      </c>
      <c r="M101">
        <f t="shared" si="4"/>
        <v>142.6250892857143</v>
      </c>
    </row>
    <row r="102" spans="1:13" ht="14" x14ac:dyDescent="0.2">
      <c r="A102" s="4" t="s">
        <v>321</v>
      </c>
      <c r="B102" s="5">
        <v>4437.2250000000004</v>
      </c>
      <c r="C102" s="5">
        <f t="shared" si="2"/>
        <v>158.47232142857143</v>
      </c>
      <c r="D102" s="4">
        <v>28</v>
      </c>
      <c r="E102" s="5" t="s">
        <v>10</v>
      </c>
      <c r="F102" s="4" t="s">
        <v>319</v>
      </c>
      <c r="G102" s="4" t="s">
        <v>12</v>
      </c>
      <c r="H102" s="4" t="s">
        <v>319</v>
      </c>
      <c r="I102" s="4" t="s">
        <v>22</v>
      </c>
      <c r="J102" s="4" t="s">
        <v>78</v>
      </c>
      <c r="K102" s="4" t="s">
        <v>227</v>
      </c>
      <c r="M102">
        <f t="shared" si="4"/>
        <v>142.6250892857143</v>
      </c>
    </row>
    <row r="103" spans="1:13" ht="14" x14ac:dyDescent="0.2">
      <c r="A103" s="4" t="s">
        <v>322</v>
      </c>
      <c r="B103" s="5">
        <v>3771.6412500000001</v>
      </c>
      <c r="C103" s="5">
        <f t="shared" si="2"/>
        <v>134.70147321428573</v>
      </c>
      <c r="D103" s="4">
        <v>28</v>
      </c>
      <c r="E103" s="5" t="s">
        <v>10</v>
      </c>
      <c r="F103" s="4" t="s">
        <v>323</v>
      </c>
      <c r="G103" s="4" t="s">
        <v>12</v>
      </c>
      <c r="H103" s="4" t="s">
        <v>324</v>
      </c>
      <c r="I103" s="4" t="s">
        <v>22</v>
      </c>
      <c r="J103" s="4" t="s">
        <v>146</v>
      </c>
      <c r="K103" s="4" t="s">
        <v>90</v>
      </c>
      <c r="M103">
        <f t="shared" si="4"/>
        <v>121.23132589285716</v>
      </c>
    </row>
    <row r="104" spans="1:13" ht="14" x14ac:dyDescent="0.2">
      <c r="A104" s="4" t="s">
        <v>325</v>
      </c>
      <c r="B104" s="5">
        <v>3106.0575000000003</v>
      </c>
      <c r="C104" s="5">
        <f t="shared" si="2"/>
        <v>110.93062500000001</v>
      </c>
      <c r="D104" s="4">
        <v>28</v>
      </c>
      <c r="E104" s="5" t="s">
        <v>10</v>
      </c>
      <c r="F104" s="4" t="s">
        <v>323</v>
      </c>
      <c r="G104" s="4" t="s">
        <v>12</v>
      </c>
      <c r="H104" s="4" t="s">
        <v>324</v>
      </c>
      <c r="I104" s="4" t="s">
        <v>22</v>
      </c>
      <c r="J104" s="4" t="s">
        <v>200</v>
      </c>
      <c r="K104" s="4" t="s">
        <v>90</v>
      </c>
      <c r="M104">
        <f t="shared" si="4"/>
        <v>99.837562500000004</v>
      </c>
    </row>
    <row r="105" spans="1:13" ht="14" x14ac:dyDescent="0.2">
      <c r="A105" s="4" t="s">
        <v>326</v>
      </c>
      <c r="B105" s="5">
        <v>14310.050625000002</v>
      </c>
      <c r="C105" s="5">
        <f t="shared" si="2"/>
        <v>477.00168750000006</v>
      </c>
      <c r="D105" s="4">
        <v>30</v>
      </c>
      <c r="E105" s="5" t="s">
        <v>10</v>
      </c>
      <c r="F105" s="4" t="s">
        <v>327</v>
      </c>
      <c r="G105" s="4" t="s">
        <v>12</v>
      </c>
      <c r="H105" s="4" t="s">
        <v>327</v>
      </c>
      <c r="I105" s="4" t="s">
        <v>22</v>
      </c>
      <c r="J105" s="4" t="s">
        <v>328</v>
      </c>
      <c r="K105" s="4" t="s">
        <v>90</v>
      </c>
      <c r="M105">
        <f t="shared" si="4"/>
        <v>429.30151875000007</v>
      </c>
    </row>
    <row r="106" spans="1:13" ht="14" x14ac:dyDescent="0.2">
      <c r="A106" s="4" t="s">
        <v>329</v>
      </c>
      <c r="B106" s="5">
        <v>16528.663125000003</v>
      </c>
      <c r="C106" s="5">
        <f t="shared" si="2"/>
        <v>550.95543750000013</v>
      </c>
      <c r="D106" s="4">
        <v>30</v>
      </c>
      <c r="E106" s="5" t="s">
        <v>10</v>
      </c>
      <c r="F106" s="4" t="s">
        <v>330</v>
      </c>
      <c r="G106" s="4" t="s">
        <v>12</v>
      </c>
      <c r="H106" s="4" t="s">
        <v>331</v>
      </c>
      <c r="I106" s="4" t="s">
        <v>22</v>
      </c>
      <c r="J106" s="4" t="s">
        <v>328</v>
      </c>
      <c r="K106" s="4" t="s">
        <v>90</v>
      </c>
      <c r="M106">
        <f t="shared" si="4"/>
        <v>495.85989375000008</v>
      </c>
    </row>
    <row r="107" spans="1:13" ht="14" x14ac:dyDescent="0.2">
      <c r="A107" s="4" t="s">
        <v>332</v>
      </c>
      <c r="B107" s="5">
        <v>3895.8835500000005</v>
      </c>
      <c r="C107" s="5">
        <f t="shared" si="2"/>
        <v>129.862785</v>
      </c>
      <c r="D107" s="4">
        <v>30</v>
      </c>
      <c r="E107" s="5" t="s">
        <v>10</v>
      </c>
      <c r="F107" s="4" t="s">
        <v>323</v>
      </c>
      <c r="G107" s="4" t="s">
        <v>12</v>
      </c>
      <c r="H107" s="4" t="s">
        <v>333</v>
      </c>
      <c r="I107" s="4" t="s">
        <v>22</v>
      </c>
      <c r="J107" s="4" t="s">
        <v>146</v>
      </c>
      <c r="K107" s="4" t="s">
        <v>90</v>
      </c>
      <c r="M107">
        <f t="shared" si="4"/>
        <v>116.8765065</v>
      </c>
    </row>
    <row r="108" spans="1:13" ht="14" x14ac:dyDescent="0.2">
      <c r="A108" s="4" t="s">
        <v>334</v>
      </c>
      <c r="B108" s="5">
        <v>3656.2734000000005</v>
      </c>
      <c r="C108" s="5">
        <f t="shared" si="2"/>
        <v>121.87578000000002</v>
      </c>
      <c r="D108" s="4">
        <v>30</v>
      </c>
      <c r="E108" s="5" t="s">
        <v>10</v>
      </c>
      <c r="F108" s="4" t="s">
        <v>323</v>
      </c>
      <c r="G108" s="4" t="s">
        <v>12</v>
      </c>
      <c r="H108" s="4" t="s">
        <v>333</v>
      </c>
      <c r="I108" s="4" t="s">
        <v>22</v>
      </c>
      <c r="J108" s="4" t="s">
        <v>200</v>
      </c>
      <c r="K108" s="4" t="s">
        <v>90</v>
      </c>
      <c r="M108">
        <f t="shared" si="4"/>
        <v>109.68820200000002</v>
      </c>
    </row>
    <row r="109" spans="1:13" ht="14" x14ac:dyDescent="0.2">
      <c r="A109" s="4" t="s">
        <v>335</v>
      </c>
      <c r="B109" s="5">
        <v>2884.1962500000004</v>
      </c>
      <c r="C109" s="5">
        <f t="shared" si="2"/>
        <v>96.139875000000018</v>
      </c>
      <c r="D109" s="4">
        <v>30</v>
      </c>
      <c r="E109" s="5" t="s">
        <v>10</v>
      </c>
      <c r="F109" s="4" t="s">
        <v>323</v>
      </c>
      <c r="G109" s="4" t="s">
        <v>12</v>
      </c>
      <c r="H109" s="4" t="s">
        <v>336</v>
      </c>
      <c r="I109" s="4" t="s">
        <v>22</v>
      </c>
      <c r="J109" s="4" t="s">
        <v>146</v>
      </c>
      <c r="K109" s="4" t="s">
        <v>90</v>
      </c>
      <c r="M109">
        <f t="shared" si="4"/>
        <v>86.52588750000001</v>
      </c>
    </row>
    <row r="110" spans="1:13" ht="14" x14ac:dyDescent="0.2">
      <c r="A110" s="4" t="s">
        <v>337</v>
      </c>
      <c r="B110" s="5">
        <v>2493.7204499999998</v>
      </c>
      <c r="C110" s="5">
        <f t="shared" si="2"/>
        <v>83.124015</v>
      </c>
      <c r="D110" s="4">
        <v>30</v>
      </c>
      <c r="E110" s="5" t="s">
        <v>10</v>
      </c>
      <c r="F110" s="4" t="s">
        <v>323</v>
      </c>
      <c r="G110" s="4" t="s">
        <v>12</v>
      </c>
      <c r="H110" s="4" t="s">
        <v>336</v>
      </c>
      <c r="I110" s="4" t="s">
        <v>22</v>
      </c>
      <c r="J110" s="4" t="s">
        <v>200</v>
      </c>
      <c r="K110" s="4" t="s">
        <v>90</v>
      </c>
      <c r="M110">
        <f t="shared" si="4"/>
        <v>74.811613499999993</v>
      </c>
    </row>
    <row r="111" spans="1:13" ht="14" x14ac:dyDescent="0.2">
      <c r="A111" s="4" t="s">
        <v>338</v>
      </c>
      <c r="B111" s="5">
        <v>2427.1620749999997</v>
      </c>
      <c r="C111" s="5">
        <f t="shared" si="2"/>
        <v>80.905402499999994</v>
      </c>
      <c r="D111" s="4">
        <v>30</v>
      </c>
      <c r="E111" s="5" t="s">
        <v>10</v>
      </c>
      <c r="F111" s="4" t="s">
        <v>323</v>
      </c>
      <c r="G111" s="4" t="s">
        <v>12</v>
      </c>
      <c r="H111" s="4" t="s">
        <v>339</v>
      </c>
      <c r="I111" s="4" t="s">
        <v>22</v>
      </c>
      <c r="J111" s="4" t="s">
        <v>146</v>
      </c>
      <c r="K111" s="4" t="s">
        <v>90</v>
      </c>
      <c r="M111">
        <f t="shared" si="4"/>
        <v>72.81486224999999</v>
      </c>
    </row>
    <row r="112" spans="1:13" ht="14" x14ac:dyDescent="0.2">
      <c r="A112" s="4" t="s">
        <v>340</v>
      </c>
      <c r="B112" s="5">
        <v>2546.9671500000004</v>
      </c>
      <c r="C112" s="5">
        <f t="shared" si="2"/>
        <v>84.898905000000013</v>
      </c>
      <c r="D112" s="4">
        <v>30</v>
      </c>
      <c r="E112" s="5" t="s">
        <v>10</v>
      </c>
      <c r="F112" s="4" t="s">
        <v>323</v>
      </c>
      <c r="G112" s="4" t="s">
        <v>12</v>
      </c>
      <c r="H112" s="4" t="s">
        <v>339</v>
      </c>
      <c r="I112" s="4" t="s">
        <v>22</v>
      </c>
      <c r="J112" s="4" t="s">
        <v>200</v>
      </c>
      <c r="K112" s="4" t="s">
        <v>90</v>
      </c>
      <c r="M112">
        <f t="shared" si="4"/>
        <v>76.409014500000012</v>
      </c>
    </row>
    <row r="113" spans="1:13" ht="14" x14ac:dyDescent="0.2">
      <c r="A113" s="4" t="s">
        <v>341</v>
      </c>
      <c r="B113" s="5">
        <v>5750.6436000000003</v>
      </c>
      <c r="C113" s="5">
        <f t="shared" si="2"/>
        <v>191.68812</v>
      </c>
      <c r="D113" s="4">
        <v>30</v>
      </c>
      <c r="E113" s="5" t="s">
        <v>10</v>
      </c>
      <c r="F113" s="4" t="s">
        <v>342</v>
      </c>
      <c r="G113" s="4" t="s">
        <v>12</v>
      </c>
      <c r="H113" s="4" t="s">
        <v>343</v>
      </c>
      <c r="I113" s="4" t="s">
        <v>22</v>
      </c>
      <c r="J113" s="4" t="s">
        <v>344</v>
      </c>
      <c r="K113" s="4" t="s">
        <v>90</v>
      </c>
      <c r="M113">
        <f t="shared" si="4"/>
        <v>172.519308</v>
      </c>
    </row>
    <row r="114" spans="1:13" ht="14" x14ac:dyDescent="0.2">
      <c r="A114" s="4" t="s">
        <v>345</v>
      </c>
      <c r="B114" s="5">
        <v>7325.8584750000009</v>
      </c>
      <c r="C114" s="5">
        <f t="shared" si="2"/>
        <v>7325.8584750000009</v>
      </c>
      <c r="D114" s="4">
        <v>1</v>
      </c>
      <c r="E114" s="5" t="s">
        <v>124</v>
      </c>
      <c r="F114" s="4" t="s">
        <v>346</v>
      </c>
      <c r="G114" s="4" t="s">
        <v>20</v>
      </c>
      <c r="H114" s="4" t="s">
        <v>347</v>
      </c>
      <c r="I114" s="4" t="s">
        <v>14</v>
      </c>
      <c r="J114" s="4" t="s">
        <v>348</v>
      </c>
      <c r="K114" s="4" t="s">
        <v>53</v>
      </c>
      <c r="M114">
        <f t="shared" si="4"/>
        <v>6593.2726275000005</v>
      </c>
    </row>
    <row r="115" spans="1:13" ht="14" x14ac:dyDescent="0.2">
      <c r="A115" s="4" t="s">
        <v>349</v>
      </c>
      <c r="B115" s="5">
        <v>13311.675000000001</v>
      </c>
      <c r="C115" s="5">
        <f t="shared" si="2"/>
        <v>950.8339285714286</v>
      </c>
      <c r="D115" s="4">
        <v>14</v>
      </c>
      <c r="E115" s="5" t="s">
        <v>10</v>
      </c>
      <c r="F115" s="4" t="s">
        <v>350</v>
      </c>
      <c r="G115" s="4" t="s">
        <v>20</v>
      </c>
      <c r="H115" s="4" t="s">
        <v>347</v>
      </c>
      <c r="I115" s="4" t="s">
        <v>14</v>
      </c>
      <c r="J115" s="4" t="s">
        <v>351</v>
      </c>
      <c r="K115" s="4" t="s">
        <v>53</v>
      </c>
      <c r="M115">
        <f t="shared" si="4"/>
        <v>855.75053571428577</v>
      </c>
    </row>
    <row r="116" spans="1:13" ht="14" x14ac:dyDescent="0.2">
      <c r="A116" s="4" t="s">
        <v>352</v>
      </c>
      <c r="B116" s="5">
        <v>10660.4330625</v>
      </c>
      <c r="C116" s="5">
        <f t="shared" si="2"/>
        <v>761.45950446428571</v>
      </c>
      <c r="D116" s="4">
        <v>14</v>
      </c>
      <c r="E116" s="5" t="s">
        <v>10</v>
      </c>
      <c r="F116" s="4" t="s">
        <v>350</v>
      </c>
      <c r="G116" s="4" t="s">
        <v>20</v>
      </c>
      <c r="H116" s="4" t="s">
        <v>347</v>
      </c>
      <c r="I116" s="4" t="s">
        <v>14</v>
      </c>
      <c r="J116" s="4" t="s">
        <v>353</v>
      </c>
      <c r="K116" s="4" t="s">
        <v>53</v>
      </c>
      <c r="M116">
        <f t="shared" si="4"/>
        <v>685.31355401785709</v>
      </c>
    </row>
    <row r="117" spans="1:13" ht="14" x14ac:dyDescent="0.2">
      <c r="A117" s="4" t="s">
        <v>354</v>
      </c>
      <c r="B117" s="5">
        <v>7376.8865625000008</v>
      </c>
      <c r="C117" s="5">
        <f t="shared" si="2"/>
        <v>7376.8865625000008</v>
      </c>
      <c r="D117" s="4">
        <v>1</v>
      </c>
      <c r="E117" s="5" t="s">
        <v>181</v>
      </c>
      <c r="F117" s="4" t="s">
        <v>355</v>
      </c>
      <c r="G117" s="4" t="s">
        <v>20</v>
      </c>
      <c r="H117" s="4" t="s">
        <v>347</v>
      </c>
      <c r="I117" s="4" t="s">
        <v>14</v>
      </c>
      <c r="J117" s="4" t="s">
        <v>356</v>
      </c>
      <c r="K117" s="4" t="s">
        <v>53</v>
      </c>
      <c r="M117">
        <f t="shared" si="4"/>
        <v>6639.1979062500004</v>
      </c>
    </row>
    <row r="118" spans="1:13" ht="14" x14ac:dyDescent="0.2">
      <c r="A118" s="4" t="s">
        <v>357</v>
      </c>
      <c r="B118" s="5">
        <v>8319.796875</v>
      </c>
      <c r="C118" s="5">
        <f t="shared" si="2"/>
        <v>8319.796875</v>
      </c>
      <c r="D118" s="4">
        <v>1</v>
      </c>
      <c r="E118" s="5" t="s">
        <v>181</v>
      </c>
      <c r="F118" s="4" t="s">
        <v>355</v>
      </c>
      <c r="G118" s="4" t="s">
        <v>20</v>
      </c>
      <c r="H118" s="4" t="s">
        <v>347</v>
      </c>
      <c r="I118" s="4" t="s">
        <v>14</v>
      </c>
      <c r="J118" s="4" t="s">
        <v>358</v>
      </c>
      <c r="K118" s="4" t="s">
        <v>53</v>
      </c>
      <c r="M118">
        <f t="shared" si="4"/>
        <v>7487.8171874999998</v>
      </c>
    </row>
    <row r="119" spans="1:13" ht="14" x14ac:dyDescent="0.2">
      <c r="A119" s="4" t="s">
        <v>359</v>
      </c>
      <c r="B119" s="5">
        <v>8319.796875</v>
      </c>
      <c r="C119" s="5">
        <f t="shared" si="2"/>
        <v>8319.796875</v>
      </c>
      <c r="D119" s="4">
        <v>1</v>
      </c>
      <c r="E119" s="5" t="s">
        <v>181</v>
      </c>
      <c r="F119" s="4" t="s">
        <v>355</v>
      </c>
      <c r="G119" s="4" t="s">
        <v>20</v>
      </c>
      <c r="H119" s="4" t="s">
        <v>347</v>
      </c>
      <c r="I119" s="4" t="s">
        <v>14</v>
      </c>
      <c r="J119" s="4" t="s">
        <v>360</v>
      </c>
      <c r="K119" s="4" t="s">
        <v>53</v>
      </c>
      <c r="M119">
        <f t="shared" si="4"/>
        <v>7487.8171874999998</v>
      </c>
    </row>
    <row r="120" spans="1:13" ht="14" x14ac:dyDescent="0.2">
      <c r="A120" s="4" t="s">
        <v>361</v>
      </c>
      <c r="B120" s="5">
        <v>10871.20125</v>
      </c>
      <c r="C120" s="5">
        <f t="shared" si="2"/>
        <v>776.51437499999997</v>
      </c>
      <c r="D120" s="4">
        <v>14</v>
      </c>
      <c r="E120" s="5" t="s">
        <v>10</v>
      </c>
      <c r="F120" s="4" t="s">
        <v>350</v>
      </c>
      <c r="G120" s="4" t="s">
        <v>20</v>
      </c>
      <c r="H120" s="4" t="s">
        <v>347</v>
      </c>
      <c r="I120" s="4" t="s">
        <v>14</v>
      </c>
      <c r="J120" s="4" t="s">
        <v>362</v>
      </c>
      <c r="K120" s="4" t="s">
        <v>53</v>
      </c>
      <c r="M120">
        <f t="shared" si="4"/>
        <v>698.86293749999993</v>
      </c>
    </row>
    <row r="121" spans="1:13" ht="14" x14ac:dyDescent="0.2">
      <c r="A121" s="4" t="s">
        <v>363</v>
      </c>
      <c r="B121" s="5">
        <v>831.97968750000007</v>
      </c>
      <c r="C121" s="5">
        <f t="shared" si="2"/>
        <v>83.197968750000001</v>
      </c>
      <c r="D121" s="4">
        <v>10</v>
      </c>
      <c r="E121" s="5" t="s">
        <v>30</v>
      </c>
      <c r="F121" s="4" t="s">
        <v>364</v>
      </c>
      <c r="G121" s="4" t="s">
        <v>20</v>
      </c>
      <c r="H121" s="4" t="s">
        <v>365</v>
      </c>
      <c r="I121" s="4" t="s">
        <v>22</v>
      </c>
      <c r="J121" s="4" t="s">
        <v>67</v>
      </c>
      <c r="K121" s="4" t="s">
        <v>53</v>
      </c>
      <c r="M121">
        <f t="shared" si="4"/>
        <v>74.878171875000007</v>
      </c>
    </row>
    <row r="122" spans="1:13" ht="14" x14ac:dyDescent="0.2">
      <c r="A122" s="4" t="s">
        <v>366</v>
      </c>
      <c r="B122" s="5">
        <v>1109.3062500000001</v>
      </c>
      <c r="C122" s="5">
        <f t="shared" si="2"/>
        <v>110.93062500000001</v>
      </c>
      <c r="D122" s="4">
        <v>10</v>
      </c>
      <c r="E122" s="5" t="s">
        <v>30</v>
      </c>
      <c r="F122" s="4" t="s">
        <v>364</v>
      </c>
      <c r="G122" s="4" t="s">
        <v>20</v>
      </c>
      <c r="H122" s="4" t="s">
        <v>365</v>
      </c>
      <c r="I122" s="4" t="s">
        <v>22</v>
      </c>
      <c r="J122" s="4" t="s">
        <v>207</v>
      </c>
      <c r="K122" s="4" t="s">
        <v>53</v>
      </c>
      <c r="M122">
        <f t="shared" si="4"/>
        <v>99.837562500000004</v>
      </c>
    </row>
    <row r="123" spans="1:13" ht="14" x14ac:dyDescent="0.2">
      <c r="A123" s="4" t="s">
        <v>367</v>
      </c>
      <c r="B123" s="5">
        <v>4159.8984375</v>
      </c>
      <c r="C123" s="5">
        <f t="shared" si="2"/>
        <v>4159.8984375</v>
      </c>
      <c r="D123" s="4">
        <v>1</v>
      </c>
      <c r="E123" s="5" t="s">
        <v>124</v>
      </c>
      <c r="F123" s="4" t="s">
        <v>368</v>
      </c>
      <c r="G123" s="4" t="s">
        <v>20</v>
      </c>
      <c r="H123" s="4" t="s">
        <v>369</v>
      </c>
      <c r="I123" s="4" t="s">
        <v>14</v>
      </c>
      <c r="J123" s="4" t="s">
        <v>370</v>
      </c>
      <c r="K123" s="4" t="s">
        <v>53</v>
      </c>
      <c r="M123">
        <f t="shared" si="4"/>
        <v>3743.9085937499999</v>
      </c>
    </row>
    <row r="124" spans="1:13" ht="14" x14ac:dyDescent="0.2">
      <c r="A124" s="4" t="s">
        <v>371</v>
      </c>
      <c r="B124" s="5">
        <v>3771.6412500000001</v>
      </c>
      <c r="C124" s="5">
        <f t="shared" si="2"/>
        <v>3771.6412500000001</v>
      </c>
      <c r="D124" s="4">
        <v>1</v>
      </c>
      <c r="E124" s="5" t="s">
        <v>59</v>
      </c>
      <c r="F124" s="4" t="s">
        <v>364</v>
      </c>
      <c r="G124" s="4" t="s">
        <v>20</v>
      </c>
      <c r="H124" s="4" t="s">
        <v>372</v>
      </c>
      <c r="I124" s="4" t="s">
        <v>22</v>
      </c>
      <c r="J124" s="4" t="s">
        <v>373</v>
      </c>
      <c r="K124" s="4" t="s">
        <v>53</v>
      </c>
      <c r="M124">
        <f t="shared" si="4"/>
        <v>3394.4771250000003</v>
      </c>
    </row>
    <row r="125" spans="1:13" ht="14" x14ac:dyDescent="0.2">
      <c r="A125" s="7" t="s">
        <v>5184</v>
      </c>
      <c r="B125" s="10">
        <v>2551.4043750000001</v>
      </c>
      <c r="C125" s="5">
        <f t="shared" si="2"/>
        <v>2551.4043750000001</v>
      </c>
      <c r="D125" s="9">
        <v>1</v>
      </c>
      <c r="E125" s="10" t="s">
        <v>5185</v>
      </c>
      <c r="F125" s="7" t="s">
        <v>5186</v>
      </c>
      <c r="H125" s="7" t="s">
        <v>5187</v>
      </c>
      <c r="I125" s="7" t="s">
        <v>22</v>
      </c>
      <c r="J125" s="7" t="s">
        <v>1208</v>
      </c>
      <c r="K125" s="7" t="s">
        <v>53</v>
      </c>
      <c r="M125">
        <f t="shared" si="4"/>
        <v>2296.2639374999999</v>
      </c>
    </row>
    <row r="126" spans="1:13" ht="14" x14ac:dyDescent="0.2">
      <c r="A126" s="4" t="s">
        <v>374</v>
      </c>
      <c r="B126" s="5">
        <v>3549.78</v>
      </c>
      <c r="C126" s="5">
        <f t="shared" si="2"/>
        <v>354.97800000000001</v>
      </c>
      <c r="D126" s="4">
        <v>10</v>
      </c>
      <c r="E126" s="5" t="s">
        <v>30</v>
      </c>
      <c r="F126" s="4" t="s">
        <v>364</v>
      </c>
      <c r="G126" s="4" t="s">
        <v>20</v>
      </c>
      <c r="H126" s="4" t="s">
        <v>375</v>
      </c>
      <c r="I126" s="4" t="s">
        <v>14</v>
      </c>
      <c r="J126" s="4" t="s">
        <v>207</v>
      </c>
      <c r="K126" s="4" t="s">
        <v>53</v>
      </c>
      <c r="M126">
        <f t="shared" si="4"/>
        <v>319.48020000000002</v>
      </c>
    </row>
    <row r="127" spans="1:13" ht="14" x14ac:dyDescent="0.2">
      <c r="A127" s="4" t="s">
        <v>376</v>
      </c>
      <c r="B127" s="5">
        <v>2995.1268750000004</v>
      </c>
      <c r="C127" s="5">
        <f t="shared" si="2"/>
        <v>299.51268750000003</v>
      </c>
      <c r="D127" s="4">
        <v>10</v>
      </c>
      <c r="E127" s="5" t="s">
        <v>30</v>
      </c>
      <c r="F127" s="4" t="s">
        <v>364</v>
      </c>
      <c r="G127" s="4" t="s">
        <v>20</v>
      </c>
      <c r="H127" s="4" t="s">
        <v>375</v>
      </c>
      <c r="I127" s="4" t="s">
        <v>14</v>
      </c>
      <c r="J127" s="4" t="s">
        <v>67</v>
      </c>
      <c r="K127" s="4" t="s">
        <v>53</v>
      </c>
      <c r="M127">
        <f t="shared" si="4"/>
        <v>269.56141875000003</v>
      </c>
    </row>
    <row r="128" spans="1:13" ht="14" x14ac:dyDescent="0.2">
      <c r="A128" s="4" t="s">
        <v>377</v>
      </c>
      <c r="B128" s="5">
        <v>5990.2537500000008</v>
      </c>
      <c r="C128" s="5">
        <f t="shared" si="2"/>
        <v>5990.2537500000008</v>
      </c>
      <c r="D128" s="4">
        <v>1</v>
      </c>
      <c r="E128" s="5" t="s">
        <v>181</v>
      </c>
      <c r="F128" s="4" t="s">
        <v>364</v>
      </c>
      <c r="G128" s="4" t="s">
        <v>20</v>
      </c>
      <c r="H128" s="4" t="s">
        <v>378</v>
      </c>
      <c r="I128" s="4" t="s">
        <v>14</v>
      </c>
      <c r="J128" s="4" t="s">
        <v>379</v>
      </c>
      <c r="K128" s="4" t="s">
        <v>53</v>
      </c>
      <c r="M128">
        <f t="shared" si="4"/>
        <v>5391.2283750000006</v>
      </c>
    </row>
    <row r="129" spans="1:13" ht="14" x14ac:dyDescent="0.2">
      <c r="A129" s="4" t="s">
        <v>380</v>
      </c>
      <c r="B129" s="5">
        <v>998.37562500000013</v>
      </c>
      <c r="C129" s="5">
        <f t="shared" si="2"/>
        <v>99.837562500000018</v>
      </c>
      <c r="D129" s="4">
        <v>10</v>
      </c>
      <c r="E129" s="5" t="s">
        <v>30</v>
      </c>
      <c r="F129" s="4" t="s">
        <v>381</v>
      </c>
      <c r="G129" s="4" t="s">
        <v>20</v>
      </c>
      <c r="H129" s="4" t="s">
        <v>381</v>
      </c>
      <c r="I129" s="4" t="s">
        <v>22</v>
      </c>
      <c r="J129" s="4" t="s">
        <v>67</v>
      </c>
      <c r="K129" s="4" t="s">
        <v>53</v>
      </c>
      <c r="M129">
        <f t="shared" si="4"/>
        <v>89.853806250000019</v>
      </c>
    </row>
    <row r="130" spans="1:13" ht="14" x14ac:dyDescent="0.2">
      <c r="A130" s="4" t="s">
        <v>382</v>
      </c>
      <c r="B130" s="5">
        <v>2551.4043750000001</v>
      </c>
      <c r="C130" s="5">
        <f t="shared" si="2"/>
        <v>255.14043750000002</v>
      </c>
      <c r="D130" s="4">
        <v>10</v>
      </c>
      <c r="E130" s="5" t="s">
        <v>10</v>
      </c>
      <c r="F130" s="4" t="s">
        <v>383</v>
      </c>
      <c r="G130" s="4" t="s">
        <v>20</v>
      </c>
      <c r="H130" s="4" t="s">
        <v>384</v>
      </c>
      <c r="I130" s="4" t="s">
        <v>22</v>
      </c>
      <c r="J130" s="4" t="s">
        <v>207</v>
      </c>
      <c r="K130" s="4" t="s">
        <v>53</v>
      </c>
      <c r="M130">
        <f t="shared" si="4"/>
        <v>229.62639375000001</v>
      </c>
    </row>
    <row r="131" spans="1:13" ht="14" x14ac:dyDescent="0.2">
      <c r="A131" s="4" t="s">
        <v>385</v>
      </c>
      <c r="B131" s="5">
        <v>3771.6412500000001</v>
      </c>
      <c r="C131" s="5">
        <f t="shared" ref="C131:C194" si="5">(B131/D131)</f>
        <v>377.16412500000001</v>
      </c>
      <c r="D131" s="4">
        <v>10</v>
      </c>
      <c r="E131" s="5" t="s">
        <v>30</v>
      </c>
      <c r="F131" s="4" t="s">
        <v>386</v>
      </c>
      <c r="G131" s="4" t="s">
        <v>20</v>
      </c>
      <c r="H131" s="4" t="s">
        <v>387</v>
      </c>
      <c r="I131" s="4" t="s">
        <v>14</v>
      </c>
      <c r="J131" s="4" t="s">
        <v>207</v>
      </c>
      <c r="K131" s="4" t="s">
        <v>53</v>
      </c>
      <c r="M131">
        <f t="shared" si="4"/>
        <v>339.44771250000002</v>
      </c>
    </row>
    <row r="132" spans="1:13" ht="14" x14ac:dyDescent="0.2">
      <c r="A132" s="4" t="s">
        <v>388</v>
      </c>
      <c r="B132" s="5">
        <v>9429.1031250000015</v>
      </c>
      <c r="C132" s="5">
        <f t="shared" si="5"/>
        <v>9429.1031250000015</v>
      </c>
      <c r="D132" s="4">
        <v>1</v>
      </c>
      <c r="E132" s="5" t="s">
        <v>186</v>
      </c>
      <c r="F132" s="4" t="s">
        <v>389</v>
      </c>
      <c r="G132" s="4" t="s">
        <v>20</v>
      </c>
      <c r="H132" s="4" t="s">
        <v>384</v>
      </c>
      <c r="I132" s="4" t="s">
        <v>22</v>
      </c>
      <c r="J132" s="4" t="s">
        <v>390</v>
      </c>
      <c r="K132" s="4" t="s">
        <v>53</v>
      </c>
      <c r="M132">
        <f t="shared" si="4"/>
        <v>8486.1928125000013</v>
      </c>
    </row>
    <row r="133" spans="1:13" ht="14" x14ac:dyDescent="0.2">
      <c r="A133" s="4" t="s">
        <v>391</v>
      </c>
      <c r="B133" s="5">
        <v>5484.410100000001</v>
      </c>
      <c r="C133" s="5">
        <f t="shared" si="5"/>
        <v>5484.410100000001</v>
      </c>
      <c r="D133" s="4">
        <v>1</v>
      </c>
      <c r="E133" s="5" t="s">
        <v>59</v>
      </c>
      <c r="F133" s="4" t="s">
        <v>386</v>
      </c>
      <c r="G133" s="4" t="s">
        <v>20</v>
      </c>
      <c r="H133" s="4" t="s">
        <v>392</v>
      </c>
      <c r="I133" s="4" t="s">
        <v>14</v>
      </c>
      <c r="J133" s="4" t="s">
        <v>393</v>
      </c>
      <c r="K133" s="4" t="s">
        <v>53</v>
      </c>
      <c r="M133">
        <f t="shared" si="4"/>
        <v>4935.9690900000005</v>
      </c>
    </row>
    <row r="134" spans="1:13" ht="14" x14ac:dyDescent="0.2">
      <c r="A134" s="4" t="s">
        <v>394</v>
      </c>
      <c r="B134" s="5">
        <v>6651.400275</v>
      </c>
      <c r="C134" s="5">
        <f t="shared" si="5"/>
        <v>332.57001374999999</v>
      </c>
      <c r="D134" s="4">
        <v>20</v>
      </c>
      <c r="E134" s="5" t="s">
        <v>10</v>
      </c>
      <c r="F134" s="4" t="s">
        <v>395</v>
      </c>
      <c r="G134" s="4" t="s">
        <v>12</v>
      </c>
      <c r="H134" s="4" t="s">
        <v>396</v>
      </c>
      <c r="I134" s="4" t="s">
        <v>22</v>
      </c>
      <c r="J134" s="4" t="s">
        <v>397</v>
      </c>
      <c r="K134" s="4" t="s">
        <v>227</v>
      </c>
      <c r="M134">
        <f t="shared" si="4"/>
        <v>299.31301237499997</v>
      </c>
    </row>
    <row r="135" spans="1:13" ht="14" x14ac:dyDescent="0.2">
      <c r="A135" s="4" t="s">
        <v>398</v>
      </c>
      <c r="B135" s="5">
        <v>10728.100743750001</v>
      </c>
      <c r="C135" s="5">
        <f t="shared" si="5"/>
        <v>536.40503718750006</v>
      </c>
      <c r="D135" s="4">
        <v>20</v>
      </c>
      <c r="E135" s="5" t="s">
        <v>10</v>
      </c>
      <c r="F135" s="4" t="s">
        <v>395</v>
      </c>
      <c r="G135" s="4" t="s">
        <v>12</v>
      </c>
      <c r="H135" s="4" t="s">
        <v>396</v>
      </c>
      <c r="I135" s="4" t="s">
        <v>22</v>
      </c>
      <c r="J135" s="4" t="s">
        <v>397</v>
      </c>
      <c r="K135" s="4" t="s">
        <v>227</v>
      </c>
      <c r="M135">
        <f t="shared" si="4"/>
        <v>482.76453346875007</v>
      </c>
    </row>
    <row r="136" spans="1:13" ht="14" x14ac:dyDescent="0.2">
      <c r="A136" s="4" t="s">
        <v>399</v>
      </c>
      <c r="B136" s="5">
        <v>18893.70405</v>
      </c>
      <c r="C136" s="5">
        <f t="shared" si="5"/>
        <v>674.77514464285719</v>
      </c>
      <c r="D136" s="4">
        <v>28</v>
      </c>
      <c r="E136" s="5" t="s">
        <v>10</v>
      </c>
      <c r="F136" s="4" t="s">
        <v>400</v>
      </c>
      <c r="G136" s="4" t="s">
        <v>12</v>
      </c>
      <c r="H136" s="4" t="s">
        <v>400</v>
      </c>
      <c r="I136" s="4" t="s">
        <v>22</v>
      </c>
      <c r="J136" s="4" t="s">
        <v>271</v>
      </c>
      <c r="K136" s="4" t="s">
        <v>68</v>
      </c>
      <c r="M136">
        <f t="shared" si="4"/>
        <v>607.29763017857147</v>
      </c>
    </row>
    <row r="137" spans="1:13" ht="14" x14ac:dyDescent="0.2">
      <c r="A137" s="4" t="s">
        <v>401</v>
      </c>
      <c r="B137" s="5">
        <v>6709.0842000000002</v>
      </c>
      <c r="C137" s="5">
        <f t="shared" si="5"/>
        <v>223.63614000000001</v>
      </c>
      <c r="D137" s="4">
        <v>30</v>
      </c>
      <c r="E137" s="5" t="s">
        <v>10</v>
      </c>
      <c r="F137" s="4" t="s">
        <v>400</v>
      </c>
      <c r="G137" s="4" t="s">
        <v>12</v>
      </c>
      <c r="H137" s="4" t="s">
        <v>400</v>
      </c>
      <c r="I137" s="4" t="s">
        <v>22</v>
      </c>
      <c r="J137" s="4" t="s">
        <v>273</v>
      </c>
      <c r="K137" s="4" t="s">
        <v>68</v>
      </c>
      <c r="M137">
        <f t="shared" si="4"/>
        <v>201.272526</v>
      </c>
    </row>
    <row r="138" spans="1:13" ht="14" x14ac:dyDescent="0.2">
      <c r="A138" s="4" t="s">
        <v>402</v>
      </c>
      <c r="B138" s="5">
        <v>554.65312500000005</v>
      </c>
      <c r="C138" s="5">
        <f t="shared" si="5"/>
        <v>554.65312500000005</v>
      </c>
      <c r="D138" s="4">
        <v>1</v>
      </c>
      <c r="E138" s="5" t="s">
        <v>202</v>
      </c>
      <c r="F138" s="4" t="s">
        <v>403</v>
      </c>
      <c r="G138" s="4" t="s">
        <v>20</v>
      </c>
      <c r="H138" s="4" t="s">
        <v>404</v>
      </c>
      <c r="I138" s="4" t="s">
        <v>14</v>
      </c>
      <c r="J138" s="4" t="s">
        <v>405</v>
      </c>
      <c r="K138" s="4" t="s">
        <v>406</v>
      </c>
      <c r="M138">
        <f t="shared" si="4"/>
        <v>499.18781250000006</v>
      </c>
    </row>
    <row r="139" spans="1:13" ht="14" x14ac:dyDescent="0.2">
      <c r="A139" s="4" t="s">
        <v>407</v>
      </c>
      <c r="B139" s="5">
        <v>13906.263150000001</v>
      </c>
      <c r="C139" s="5">
        <f t="shared" si="5"/>
        <v>463.54210500000005</v>
      </c>
      <c r="D139" s="4">
        <v>30</v>
      </c>
      <c r="E139" s="5" t="s">
        <v>10</v>
      </c>
      <c r="F139" s="4" t="s">
        <v>408</v>
      </c>
      <c r="G139" s="4" t="s">
        <v>12</v>
      </c>
      <c r="H139" s="4" t="s">
        <v>409</v>
      </c>
      <c r="I139" s="4" t="s">
        <v>22</v>
      </c>
      <c r="J139" s="4" t="s">
        <v>140</v>
      </c>
      <c r="K139" s="4" t="s">
        <v>90</v>
      </c>
      <c r="M139">
        <f t="shared" si="4"/>
        <v>417.18789450000003</v>
      </c>
    </row>
    <row r="140" spans="1:13" ht="14" x14ac:dyDescent="0.2">
      <c r="A140" s="4" t="s">
        <v>410</v>
      </c>
      <c r="B140" s="5">
        <v>9096.3112500000007</v>
      </c>
      <c r="C140" s="5">
        <f t="shared" si="5"/>
        <v>303.210375</v>
      </c>
      <c r="D140" s="4">
        <v>30</v>
      </c>
      <c r="E140" s="5" t="s">
        <v>10</v>
      </c>
      <c r="F140" s="4" t="s">
        <v>408</v>
      </c>
      <c r="G140" s="4" t="s">
        <v>12</v>
      </c>
      <c r="H140" s="4" t="s">
        <v>409</v>
      </c>
      <c r="I140" s="4" t="s">
        <v>22</v>
      </c>
      <c r="J140" s="4" t="s">
        <v>15</v>
      </c>
      <c r="K140" s="4" t="s">
        <v>90</v>
      </c>
      <c r="M140">
        <f t="shared" si="4"/>
        <v>272.88933750000001</v>
      </c>
    </row>
    <row r="141" spans="1:13" ht="14" x14ac:dyDescent="0.2">
      <c r="A141" s="4" t="s">
        <v>411</v>
      </c>
      <c r="B141" s="5">
        <v>10316.548125000001</v>
      </c>
      <c r="C141" s="5">
        <f t="shared" si="5"/>
        <v>343.88493750000004</v>
      </c>
      <c r="D141" s="4">
        <v>30</v>
      </c>
      <c r="E141" s="5" t="s">
        <v>10</v>
      </c>
      <c r="F141" s="4" t="s">
        <v>408</v>
      </c>
      <c r="G141" s="4" t="s">
        <v>12</v>
      </c>
      <c r="H141" s="4" t="s">
        <v>409</v>
      </c>
      <c r="I141" s="4" t="s">
        <v>22</v>
      </c>
      <c r="J141" s="4" t="s">
        <v>78</v>
      </c>
      <c r="K141" s="4" t="s">
        <v>90</v>
      </c>
      <c r="M141">
        <f t="shared" si="4"/>
        <v>309.49644375000003</v>
      </c>
    </row>
    <row r="142" spans="1:13" ht="14" x14ac:dyDescent="0.2">
      <c r="A142" s="4" t="s">
        <v>412</v>
      </c>
      <c r="B142" s="5">
        <v>11448.040500000001</v>
      </c>
      <c r="C142" s="5">
        <f t="shared" si="5"/>
        <v>381.60135000000002</v>
      </c>
      <c r="D142" s="4">
        <v>30</v>
      </c>
      <c r="E142" s="5" t="s">
        <v>10</v>
      </c>
      <c r="F142" s="4" t="s">
        <v>413</v>
      </c>
      <c r="G142" s="4" t="s">
        <v>12</v>
      </c>
      <c r="H142" s="4" t="s">
        <v>414</v>
      </c>
      <c r="I142" s="4" t="s">
        <v>22</v>
      </c>
      <c r="J142" s="4" t="s">
        <v>415</v>
      </c>
      <c r="K142" s="4" t="s">
        <v>90</v>
      </c>
      <c r="M142">
        <f t="shared" si="4"/>
        <v>343.441215</v>
      </c>
    </row>
    <row r="143" spans="1:13" ht="14" x14ac:dyDescent="0.2">
      <c r="A143" s="4" t="s">
        <v>416</v>
      </c>
      <c r="B143" s="5">
        <v>19412.859375</v>
      </c>
      <c r="C143" s="5">
        <f t="shared" si="5"/>
        <v>19412.859375</v>
      </c>
      <c r="D143" s="4">
        <v>1</v>
      </c>
      <c r="E143" s="5" t="s">
        <v>219</v>
      </c>
      <c r="F143" s="4" t="s">
        <v>416</v>
      </c>
      <c r="G143" s="4" t="s">
        <v>12</v>
      </c>
      <c r="H143" s="4" t="s">
        <v>416</v>
      </c>
      <c r="I143" s="4" t="s">
        <v>22</v>
      </c>
      <c r="J143" s="4">
        <v>1</v>
      </c>
      <c r="K143" s="4" t="s">
        <v>417</v>
      </c>
      <c r="M143">
        <f t="shared" si="4"/>
        <v>17471.573437499999</v>
      </c>
    </row>
    <row r="144" spans="1:13" ht="14" x14ac:dyDescent="0.2">
      <c r="A144" s="4" t="s">
        <v>418</v>
      </c>
      <c r="B144" s="5">
        <v>3327.9187500000003</v>
      </c>
      <c r="C144" s="5">
        <f t="shared" si="5"/>
        <v>332.791875</v>
      </c>
      <c r="D144" s="4">
        <v>10</v>
      </c>
      <c r="E144" s="5" t="s">
        <v>10</v>
      </c>
      <c r="F144" s="4" t="s">
        <v>419</v>
      </c>
      <c r="G144" s="4" t="s">
        <v>20</v>
      </c>
      <c r="H144" s="4" t="s">
        <v>420</v>
      </c>
      <c r="I144" s="4" t="s">
        <v>22</v>
      </c>
      <c r="J144" s="4" t="s">
        <v>421</v>
      </c>
      <c r="K144" s="4" t="s">
        <v>87</v>
      </c>
      <c r="M144">
        <f t="shared" si="4"/>
        <v>299.51268750000003</v>
      </c>
    </row>
    <row r="145" spans="1:13" ht="14" x14ac:dyDescent="0.2">
      <c r="A145" s="7" t="s">
        <v>5188</v>
      </c>
      <c r="B145" s="10">
        <v>12202.368750000001</v>
      </c>
      <c r="C145" s="5">
        <f t="shared" si="5"/>
        <v>610.11843750000003</v>
      </c>
      <c r="D145" s="9">
        <v>20</v>
      </c>
      <c r="E145" s="10" t="s">
        <v>5189</v>
      </c>
      <c r="F145" s="7" t="s">
        <v>5190</v>
      </c>
      <c r="H145" s="7" t="s">
        <v>3796</v>
      </c>
      <c r="J145" s="7" t="s">
        <v>5191</v>
      </c>
      <c r="K145" s="7" t="s">
        <v>87</v>
      </c>
      <c r="M145">
        <f t="shared" si="4"/>
        <v>549.10659375</v>
      </c>
    </row>
    <row r="146" spans="1:13" ht="14" x14ac:dyDescent="0.2">
      <c r="A146" s="4" t="s">
        <v>422</v>
      </c>
      <c r="B146" s="5">
        <v>3549.78</v>
      </c>
      <c r="C146" s="5">
        <f t="shared" si="5"/>
        <v>3549.78</v>
      </c>
      <c r="D146" s="4">
        <v>1</v>
      </c>
      <c r="E146" s="5" t="s">
        <v>175</v>
      </c>
      <c r="F146" s="4" t="s">
        <v>423</v>
      </c>
      <c r="G146" s="4" t="s">
        <v>20</v>
      </c>
      <c r="H146" s="4" t="s">
        <v>424</v>
      </c>
      <c r="I146" s="4" t="s">
        <v>22</v>
      </c>
      <c r="J146" s="8">
        <v>5.0000000000000001E-4</v>
      </c>
      <c r="K146" s="4" t="s">
        <v>179</v>
      </c>
      <c r="M146">
        <f t="shared" si="4"/>
        <v>3194.8020000000001</v>
      </c>
    </row>
    <row r="147" spans="1:13" ht="14" x14ac:dyDescent="0.2">
      <c r="A147" s="4" t="s">
        <v>425</v>
      </c>
      <c r="B147" s="5">
        <v>8724.6936562500014</v>
      </c>
      <c r="C147" s="5">
        <f t="shared" si="5"/>
        <v>8724.6936562500014</v>
      </c>
      <c r="D147" s="4">
        <v>1</v>
      </c>
      <c r="E147" s="5" t="s">
        <v>55</v>
      </c>
      <c r="F147" s="4" t="s">
        <v>426</v>
      </c>
      <c r="G147" s="4" t="s">
        <v>20</v>
      </c>
      <c r="H147" s="4" t="s">
        <v>427</v>
      </c>
      <c r="I147" s="4" t="s">
        <v>22</v>
      </c>
      <c r="J147" s="6">
        <v>0.02</v>
      </c>
      <c r="K147" s="4" t="s">
        <v>118</v>
      </c>
      <c r="M147">
        <f t="shared" si="4"/>
        <v>7852.2242906250012</v>
      </c>
    </row>
    <row r="148" spans="1:13" ht="14" x14ac:dyDescent="0.2">
      <c r="A148" s="4" t="s">
        <v>428</v>
      </c>
      <c r="B148" s="5">
        <v>7353.5911312500011</v>
      </c>
      <c r="C148" s="5">
        <f t="shared" si="5"/>
        <v>7353.5911312500011</v>
      </c>
      <c r="D148" s="4">
        <v>1</v>
      </c>
      <c r="E148" s="5" t="s">
        <v>429</v>
      </c>
      <c r="F148" s="4" t="s">
        <v>430</v>
      </c>
      <c r="G148" s="4" t="s">
        <v>12</v>
      </c>
      <c r="H148" s="4" t="s">
        <v>428</v>
      </c>
      <c r="I148" s="4" t="s">
        <v>22</v>
      </c>
      <c r="J148" s="6">
        <v>0.01</v>
      </c>
      <c r="K148" s="4" t="s">
        <v>103</v>
      </c>
      <c r="M148">
        <f t="shared" si="4"/>
        <v>6618.2320181250006</v>
      </c>
    </row>
    <row r="149" spans="1:13" ht="14" x14ac:dyDescent="0.2">
      <c r="A149" s="4" t="s">
        <v>431</v>
      </c>
      <c r="B149" s="5">
        <v>942.91031250000003</v>
      </c>
      <c r="C149" s="5">
        <f t="shared" si="5"/>
        <v>314.30343750000003</v>
      </c>
      <c r="D149" s="4">
        <v>3</v>
      </c>
      <c r="E149" s="5" t="s">
        <v>10</v>
      </c>
      <c r="F149" s="4" t="s">
        <v>432</v>
      </c>
      <c r="G149" s="4" t="s">
        <v>20</v>
      </c>
      <c r="H149" s="4" t="s">
        <v>433</v>
      </c>
      <c r="I149" s="4" t="s">
        <v>22</v>
      </c>
      <c r="J149" s="4" t="s">
        <v>265</v>
      </c>
      <c r="K149" s="4" t="s">
        <v>108</v>
      </c>
      <c r="M149">
        <f t="shared" si="4"/>
        <v>282.87309375000001</v>
      </c>
    </row>
    <row r="150" spans="1:13" ht="14" x14ac:dyDescent="0.2">
      <c r="A150" s="4" t="s">
        <v>434</v>
      </c>
      <c r="B150" s="5">
        <v>12135.810375000001</v>
      </c>
      <c r="C150" s="5">
        <f t="shared" si="5"/>
        <v>12135.810375000001</v>
      </c>
      <c r="D150" s="4">
        <v>1</v>
      </c>
      <c r="E150" s="5" t="s">
        <v>55</v>
      </c>
      <c r="F150" s="4" t="s">
        <v>435</v>
      </c>
      <c r="G150" s="4" t="s">
        <v>20</v>
      </c>
      <c r="H150" s="4" t="s">
        <v>436</v>
      </c>
      <c r="I150" s="4" t="s">
        <v>14</v>
      </c>
      <c r="J150" s="8">
        <v>1.0249999999999999</v>
      </c>
      <c r="K150" s="4" t="s">
        <v>406</v>
      </c>
      <c r="M150">
        <f t="shared" si="4"/>
        <v>10922.229337500001</v>
      </c>
    </row>
    <row r="151" spans="1:13" ht="14" x14ac:dyDescent="0.2">
      <c r="A151" s="4" t="s">
        <v>437</v>
      </c>
      <c r="B151" s="5">
        <v>9983.7562500000004</v>
      </c>
      <c r="C151" s="5">
        <f t="shared" si="5"/>
        <v>9983.7562500000004</v>
      </c>
      <c r="D151" s="4">
        <v>1</v>
      </c>
      <c r="E151" s="5" t="s">
        <v>55</v>
      </c>
      <c r="F151" s="4" t="s">
        <v>435</v>
      </c>
      <c r="G151" s="4" t="s">
        <v>20</v>
      </c>
      <c r="H151" s="4" t="s">
        <v>436</v>
      </c>
      <c r="I151" s="4" t="s">
        <v>14</v>
      </c>
      <c r="J151" s="8">
        <v>2.5000000000000001E-2</v>
      </c>
      <c r="K151" s="4" t="s">
        <v>406</v>
      </c>
      <c r="M151">
        <f t="shared" si="4"/>
        <v>8985.3806249999998</v>
      </c>
    </row>
    <row r="152" spans="1:13" ht="14" x14ac:dyDescent="0.2">
      <c r="A152" s="4" t="s">
        <v>438</v>
      </c>
      <c r="B152" s="5">
        <v>10871.20125</v>
      </c>
      <c r="C152" s="5">
        <f t="shared" si="5"/>
        <v>10871.20125</v>
      </c>
      <c r="D152" s="4">
        <v>1</v>
      </c>
      <c r="E152" s="5" t="s">
        <v>18</v>
      </c>
      <c r="F152" s="4" t="s">
        <v>439</v>
      </c>
      <c r="G152" s="4" t="s">
        <v>20</v>
      </c>
      <c r="H152" s="4" t="s">
        <v>440</v>
      </c>
      <c r="I152" s="4" t="s">
        <v>14</v>
      </c>
      <c r="J152" s="8">
        <v>2.5000000000000001E-2</v>
      </c>
      <c r="K152" s="4" t="s">
        <v>406</v>
      </c>
      <c r="M152">
        <f t="shared" si="4"/>
        <v>9784.0811250000006</v>
      </c>
    </row>
    <row r="153" spans="1:13" ht="14" x14ac:dyDescent="0.2">
      <c r="A153" s="4" t="s">
        <v>441</v>
      </c>
      <c r="B153" s="5">
        <v>12202.368750000001</v>
      </c>
      <c r="C153" s="5">
        <f t="shared" si="5"/>
        <v>12202.368750000001</v>
      </c>
      <c r="D153" s="4">
        <v>1</v>
      </c>
      <c r="E153" s="5" t="s">
        <v>18</v>
      </c>
      <c r="F153" s="4" t="s">
        <v>439</v>
      </c>
      <c r="G153" s="4" t="s">
        <v>20</v>
      </c>
      <c r="H153" s="4" t="s">
        <v>442</v>
      </c>
      <c r="I153" s="4" t="s">
        <v>14</v>
      </c>
      <c r="J153" s="8">
        <v>2.5000000000000001E-2</v>
      </c>
      <c r="K153" s="4" t="s">
        <v>406</v>
      </c>
      <c r="M153">
        <f t="shared" si="4"/>
        <v>10982.131875000001</v>
      </c>
    </row>
    <row r="154" spans="1:13" ht="14" x14ac:dyDescent="0.2">
      <c r="A154" s="4" t="s">
        <v>443</v>
      </c>
      <c r="B154" s="5">
        <v>14420.981250000001</v>
      </c>
      <c r="C154" s="5">
        <f t="shared" si="5"/>
        <v>1201.7484375000001</v>
      </c>
      <c r="D154" s="4">
        <v>12</v>
      </c>
      <c r="E154" s="5" t="s">
        <v>18</v>
      </c>
      <c r="F154" s="4" t="s">
        <v>439</v>
      </c>
      <c r="G154" s="4" t="s">
        <v>20</v>
      </c>
      <c r="H154" s="4" t="s">
        <v>442</v>
      </c>
      <c r="I154" s="4" t="s">
        <v>14</v>
      </c>
      <c r="J154" s="8">
        <v>2.5000000000000001E-2</v>
      </c>
      <c r="K154" s="4" t="s">
        <v>406</v>
      </c>
      <c r="M154">
        <f t="shared" si="4"/>
        <v>1081.5735937500001</v>
      </c>
    </row>
    <row r="155" spans="1:13" ht="14" x14ac:dyDescent="0.2">
      <c r="A155" s="4" t="s">
        <v>444</v>
      </c>
      <c r="B155" s="5">
        <v>19967.512500000001</v>
      </c>
      <c r="C155" s="5">
        <f t="shared" si="5"/>
        <v>1663.9593750000001</v>
      </c>
      <c r="D155" s="4">
        <v>12</v>
      </c>
      <c r="E155" s="5" t="s">
        <v>10</v>
      </c>
      <c r="F155" s="4" t="s">
        <v>445</v>
      </c>
      <c r="G155" s="4" t="s">
        <v>20</v>
      </c>
      <c r="H155" s="4" t="s">
        <v>446</v>
      </c>
      <c r="I155" s="4" t="s">
        <v>14</v>
      </c>
      <c r="J155" s="4" t="s">
        <v>447</v>
      </c>
      <c r="K155" s="4" t="s">
        <v>406</v>
      </c>
      <c r="M155">
        <f t="shared" si="4"/>
        <v>1497.5634375000002</v>
      </c>
    </row>
    <row r="156" spans="1:13" ht="14" x14ac:dyDescent="0.2">
      <c r="A156" s="4" t="s">
        <v>448</v>
      </c>
      <c r="B156" s="5">
        <v>2368.3688437500005</v>
      </c>
      <c r="C156" s="5">
        <f t="shared" si="5"/>
        <v>592.09221093750011</v>
      </c>
      <c r="D156" s="4">
        <v>4</v>
      </c>
      <c r="E156" s="5" t="s">
        <v>10</v>
      </c>
      <c r="F156" s="4" t="s">
        <v>449</v>
      </c>
      <c r="G156" s="4" t="s">
        <v>12</v>
      </c>
      <c r="H156" s="4" t="s">
        <v>450</v>
      </c>
      <c r="I156" s="4" t="s">
        <v>22</v>
      </c>
      <c r="J156" s="4" t="s">
        <v>146</v>
      </c>
      <c r="K156" s="4" t="s">
        <v>155</v>
      </c>
      <c r="M156">
        <f t="shared" si="4"/>
        <v>532.88298984375012</v>
      </c>
    </row>
    <row r="157" spans="1:13" ht="14" x14ac:dyDescent="0.2">
      <c r="A157" s="4" t="s">
        <v>451</v>
      </c>
      <c r="B157" s="5">
        <v>4251.97085625</v>
      </c>
      <c r="C157" s="5">
        <f t="shared" si="5"/>
        <v>1062.9927140625</v>
      </c>
      <c r="D157" s="4">
        <v>4</v>
      </c>
      <c r="E157" s="5" t="s">
        <v>10</v>
      </c>
      <c r="F157" s="4" t="s">
        <v>449</v>
      </c>
      <c r="G157" s="4" t="s">
        <v>12</v>
      </c>
      <c r="H157" s="4" t="s">
        <v>452</v>
      </c>
      <c r="I157" s="4" t="s">
        <v>22</v>
      </c>
      <c r="J157" s="4" t="s">
        <v>148</v>
      </c>
      <c r="K157" s="4" t="s">
        <v>155</v>
      </c>
      <c r="M157">
        <f t="shared" ref="M157:M220" si="6">C157-(C157* 10%)</f>
        <v>956.69344265625</v>
      </c>
    </row>
    <row r="158" spans="1:13" ht="14" x14ac:dyDescent="0.2">
      <c r="A158" s="4" t="s">
        <v>453</v>
      </c>
      <c r="B158" s="5">
        <v>5990.2537500000008</v>
      </c>
      <c r="C158" s="5">
        <f t="shared" si="5"/>
        <v>5990.2537500000008</v>
      </c>
      <c r="D158" s="4">
        <v>1</v>
      </c>
      <c r="E158" s="5" t="s">
        <v>59</v>
      </c>
      <c r="F158" s="4" t="s">
        <v>454</v>
      </c>
      <c r="G158" s="4" t="s">
        <v>12</v>
      </c>
      <c r="H158" s="4" t="s">
        <v>455</v>
      </c>
      <c r="I158" s="4" t="s">
        <v>14</v>
      </c>
      <c r="J158" s="4" t="s">
        <v>456</v>
      </c>
      <c r="K158" s="4" t="s">
        <v>34</v>
      </c>
      <c r="M158">
        <f t="shared" si="6"/>
        <v>5391.2283750000006</v>
      </c>
    </row>
    <row r="159" spans="1:13" ht="14" x14ac:dyDescent="0.2">
      <c r="A159" s="4" t="s">
        <v>457</v>
      </c>
      <c r="B159" s="5">
        <v>35497.800000000003</v>
      </c>
      <c r="C159" s="5">
        <f t="shared" si="5"/>
        <v>35497.800000000003</v>
      </c>
      <c r="D159" s="4">
        <v>1</v>
      </c>
      <c r="E159" s="5" t="s">
        <v>124</v>
      </c>
      <c r="F159" s="4" t="s">
        <v>458</v>
      </c>
      <c r="G159" s="4" t="s">
        <v>12</v>
      </c>
      <c r="H159" s="4" t="s">
        <v>459</v>
      </c>
      <c r="I159" s="4" t="s">
        <v>22</v>
      </c>
      <c r="J159" s="4" t="s">
        <v>460</v>
      </c>
      <c r="K159" s="4" t="s">
        <v>16</v>
      </c>
      <c r="M159">
        <f t="shared" si="6"/>
        <v>31948.020000000004</v>
      </c>
    </row>
    <row r="160" spans="1:13" ht="14" x14ac:dyDescent="0.2">
      <c r="A160" s="4" t="s">
        <v>461</v>
      </c>
      <c r="B160" s="5">
        <v>20189.373750000002</v>
      </c>
      <c r="C160" s="5">
        <f t="shared" si="5"/>
        <v>2018.9373750000002</v>
      </c>
      <c r="D160" s="4">
        <v>10</v>
      </c>
      <c r="E160" s="5" t="s">
        <v>10</v>
      </c>
      <c r="F160" s="4" t="s">
        <v>462</v>
      </c>
      <c r="G160" s="4" t="s">
        <v>12</v>
      </c>
      <c r="H160" s="4" t="s">
        <v>462</v>
      </c>
      <c r="I160" s="4" t="s">
        <v>22</v>
      </c>
      <c r="J160" s="4" t="s">
        <v>200</v>
      </c>
      <c r="K160" s="4" t="s">
        <v>312</v>
      </c>
      <c r="M160">
        <f t="shared" si="6"/>
        <v>1817.0436375000002</v>
      </c>
    </row>
    <row r="161" spans="1:13" ht="14" x14ac:dyDescent="0.2">
      <c r="A161" s="4" t="s">
        <v>463</v>
      </c>
      <c r="B161" s="5">
        <v>10161.24525</v>
      </c>
      <c r="C161" s="5">
        <f t="shared" si="5"/>
        <v>10161.24525</v>
      </c>
      <c r="D161" s="4">
        <v>1</v>
      </c>
      <c r="E161" s="5" t="s">
        <v>175</v>
      </c>
      <c r="F161" s="4" t="s">
        <v>464</v>
      </c>
      <c r="G161" s="4" t="s">
        <v>12</v>
      </c>
      <c r="H161" s="4" t="s">
        <v>465</v>
      </c>
      <c r="I161" s="4" t="s">
        <v>22</v>
      </c>
      <c r="J161" s="8">
        <v>1E-4</v>
      </c>
      <c r="K161" s="4" t="s">
        <v>244</v>
      </c>
      <c r="M161">
        <f t="shared" si="6"/>
        <v>9145.1207250000007</v>
      </c>
    </row>
    <row r="162" spans="1:13" ht="14" x14ac:dyDescent="0.2">
      <c r="A162" s="4" t="s">
        <v>466</v>
      </c>
      <c r="B162" s="5">
        <v>7432.3518750000003</v>
      </c>
      <c r="C162" s="5">
        <f t="shared" si="5"/>
        <v>7432.3518750000003</v>
      </c>
      <c r="D162" s="4">
        <v>1</v>
      </c>
      <c r="E162" s="5" t="s">
        <v>18</v>
      </c>
      <c r="F162" s="4" t="s">
        <v>464</v>
      </c>
      <c r="G162" s="4" t="s">
        <v>12</v>
      </c>
      <c r="H162" s="4" t="s">
        <v>467</v>
      </c>
      <c r="I162" s="4" t="s">
        <v>22</v>
      </c>
      <c r="K162" s="4" t="s">
        <v>244</v>
      </c>
      <c r="M162">
        <f t="shared" si="6"/>
        <v>6689.1166874999999</v>
      </c>
    </row>
    <row r="163" spans="1:13" ht="14" x14ac:dyDescent="0.2">
      <c r="A163" s="4" t="s">
        <v>468</v>
      </c>
      <c r="B163" s="5">
        <v>42819.221250000002</v>
      </c>
      <c r="C163" s="5">
        <f t="shared" si="5"/>
        <v>1529.2579017857145</v>
      </c>
      <c r="D163" s="4">
        <v>28</v>
      </c>
      <c r="E163" s="5" t="s">
        <v>10</v>
      </c>
      <c r="F163" s="4" t="s">
        <v>469</v>
      </c>
      <c r="G163" s="4" t="s">
        <v>12</v>
      </c>
      <c r="H163" s="4" t="s">
        <v>470</v>
      </c>
      <c r="I163" s="4" t="s">
        <v>14</v>
      </c>
      <c r="J163" s="4" t="s">
        <v>471</v>
      </c>
      <c r="K163" s="4" t="s">
        <v>90</v>
      </c>
      <c r="M163">
        <f t="shared" si="6"/>
        <v>1376.3321116071429</v>
      </c>
    </row>
    <row r="164" spans="1:13" ht="14" x14ac:dyDescent="0.2">
      <c r="A164" s="4" t="s">
        <v>472</v>
      </c>
      <c r="B164" s="5">
        <v>38825.71875</v>
      </c>
      <c r="C164" s="5">
        <f t="shared" si="5"/>
        <v>1386.6328125</v>
      </c>
      <c r="D164" s="4">
        <v>28</v>
      </c>
      <c r="E164" s="5" t="s">
        <v>10</v>
      </c>
      <c r="F164" s="4" t="s">
        <v>469</v>
      </c>
      <c r="G164" s="4" t="s">
        <v>12</v>
      </c>
      <c r="H164" s="4" t="s">
        <v>470</v>
      </c>
      <c r="I164" s="4" t="s">
        <v>14</v>
      </c>
      <c r="J164" s="4" t="s">
        <v>473</v>
      </c>
      <c r="K164" s="4" t="s">
        <v>90</v>
      </c>
      <c r="M164">
        <f t="shared" si="6"/>
        <v>1247.96953125</v>
      </c>
    </row>
    <row r="165" spans="1:13" ht="14" x14ac:dyDescent="0.2">
      <c r="A165" s="4" t="s">
        <v>474</v>
      </c>
      <c r="B165" s="5">
        <v>39935.025000000001</v>
      </c>
      <c r="C165" s="5">
        <f t="shared" si="5"/>
        <v>1426.2508928571428</v>
      </c>
      <c r="D165" s="4">
        <v>28</v>
      </c>
      <c r="E165" s="5" t="s">
        <v>10</v>
      </c>
      <c r="F165" s="4" t="s">
        <v>469</v>
      </c>
      <c r="G165" s="4" t="s">
        <v>12</v>
      </c>
      <c r="H165" s="4" t="s">
        <v>470</v>
      </c>
      <c r="I165" s="4" t="s">
        <v>14</v>
      </c>
      <c r="J165" s="4" t="s">
        <v>475</v>
      </c>
      <c r="K165" s="4" t="s">
        <v>90</v>
      </c>
      <c r="M165">
        <f t="shared" si="6"/>
        <v>1283.6258035714286</v>
      </c>
    </row>
    <row r="166" spans="1:13" ht="14" x14ac:dyDescent="0.2">
      <c r="A166" s="4" t="s">
        <v>476</v>
      </c>
      <c r="B166" s="5">
        <v>39380.371875000004</v>
      </c>
      <c r="C166" s="5">
        <f t="shared" si="5"/>
        <v>1406.4418526785716</v>
      </c>
      <c r="D166" s="4">
        <v>28</v>
      </c>
      <c r="E166" s="5" t="s">
        <v>10</v>
      </c>
      <c r="F166" s="4" t="s">
        <v>469</v>
      </c>
      <c r="G166" s="4" t="s">
        <v>12</v>
      </c>
      <c r="H166" s="4" t="s">
        <v>470</v>
      </c>
      <c r="I166" s="4" t="s">
        <v>14</v>
      </c>
      <c r="J166" s="4" t="s">
        <v>477</v>
      </c>
      <c r="K166" s="4" t="s">
        <v>90</v>
      </c>
      <c r="M166">
        <f t="shared" si="6"/>
        <v>1265.7976674107144</v>
      </c>
    </row>
    <row r="167" spans="1:13" ht="14" x14ac:dyDescent="0.2">
      <c r="A167" s="4" t="s">
        <v>478</v>
      </c>
      <c r="B167" s="5">
        <v>36607.106250000004</v>
      </c>
      <c r="C167" s="5">
        <f t="shared" si="5"/>
        <v>1307.3966517857145</v>
      </c>
      <c r="D167" s="4">
        <v>28</v>
      </c>
      <c r="E167" s="5" t="s">
        <v>10</v>
      </c>
      <c r="F167" s="4" t="s">
        <v>479</v>
      </c>
      <c r="G167" s="4" t="s">
        <v>12</v>
      </c>
      <c r="H167" s="4" t="s">
        <v>480</v>
      </c>
      <c r="I167" s="4" t="s">
        <v>14</v>
      </c>
      <c r="J167" s="4" t="s">
        <v>481</v>
      </c>
      <c r="K167" s="4" t="s">
        <v>90</v>
      </c>
      <c r="M167">
        <f t="shared" si="6"/>
        <v>1176.6569866071432</v>
      </c>
    </row>
    <row r="168" spans="1:13" ht="14" x14ac:dyDescent="0.2">
      <c r="A168" s="4" t="s">
        <v>482</v>
      </c>
      <c r="B168" s="5">
        <v>36607.106250000004</v>
      </c>
      <c r="C168" s="5">
        <f t="shared" si="5"/>
        <v>1307.3966517857145</v>
      </c>
      <c r="D168" s="4">
        <v>28</v>
      </c>
      <c r="E168" s="5" t="s">
        <v>10</v>
      </c>
      <c r="F168" s="4" t="s">
        <v>479</v>
      </c>
      <c r="G168" s="4" t="s">
        <v>12</v>
      </c>
      <c r="H168" s="4" t="s">
        <v>480</v>
      </c>
      <c r="I168" s="4" t="s">
        <v>14</v>
      </c>
      <c r="J168" s="4" t="s">
        <v>47</v>
      </c>
      <c r="K168" s="4" t="s">
        <v>90</v>
      </c>
      <c r="M168">
        <f t="shared" si="6"/>
        <v>1176.6569866071432</v>
      </c>
    </row>
    <row r="169" spans="1:13" ht="14" x14ac:dyDescent="0.2">
      <c r="A169" s="4" t="s">
        <v>483</v>
      </c>
      <c r="B169" s="5">
        <v>4215.3637500000004</v>
      </c>
      <c r="C169" s="5">
        <f t="shared" si="5"/>
        <v>4215.3637500000004</v>
      </c>
      <c r="D169" s="4">
        <v>1</v>
      </c>
      <c r="E169" s="5" t="s">
        <v>175</v>
      </c>
      <c r="F169" s="4" t="s">
        <v>484</v>
      </c>
      <c r="G169" s="4" t="s">
        <v>12</v>
      </c>
      <c r="H169" s="4" t="s">
        <v>485</v>
      </c>
      <c r="I169" s="4" t="s">
        <v>22</v>
      </c>
      <c r="J169" s="8">
        <v>7.0000000000000001E-3</v>
      </c>
      <c r="K169" s="4" t="s">
        <v>244</v>
      </c>
      <c r="M169">
        <f t="shared" si="6"/>
        <v>3793.8273750000003</v>
      </c>
    </row>
    <row r="170" spans="1:13" ht="14" x14ac:dyDescent="0.2">
      <c r="A170" s="4" t="s">
        <v>486</v>
      </c>
      <c r="B170" s="5">
        <v>4215.3637500000004</v>
      </c>
      <c r="C170" s="5">
        <f t="shared" si="5"/>
        <v>4215.3637500000004</v>
      </c>
      <c r="D170" s="4">
        <v>1</v>
      </c>
      <c r="E170" s="5" t="s">
        <v>181</v>
      </c>
      <c r="F170" s="4" t="s">
        <v>355</v>
      </c>
      <c r="G170" s="4" t="s">
        <v>20</v>
      </c>
      <c r="H170" s="4" t="s">
        <v>487</v>
      </c>
      <c r="I170" s="4" t="s">
        <v>22</v>
      </c>
      <c r="J170" s="4" t="s">
        <v>488</v>
      </c>
      <c r="K170" s="4" t="s">
        <v>53</v>
      </c>
      <c r="M170">
        <f t="shared" si="6"/>
        <v>3793.8273750000003</v>
      </c>
    </row>
    <row r="171" spans="1:13" ht="14" x14ac:dyDescent="0.2">
      <c r="A171" s="4" t="s">
        <v>489</v>
      </c>
      <c r="B171" s="5">
        <v>5435.600625</v>
      </c>
      <c r="C171" s="5">
        <f t="shared" si="5"/>
        <v>388.25718749999999</v>
      </c>
      <c r="D171" s="4">
        <v>14</v>
      </c>
      <c r="E171" s="5" t="s">
        <v>10</v>
      </c>
      <c r="F171" s="4" t="s">
        <v>355</v>
      </c>
      <c r="G171" s="4" t="s">
        <v>20</v>
      </c>
      <c r="H171" s="4" t="s">
        <v>490</v>
      </c>
      <c r="I171" s="4" t="s">
        <v>22</v>
      </c>
      <c r="J171" s="4" t="s">
        <v>491</v>
      </c>
      <c r="K171" s="4" t="s">
        <v>53</v>
      </c>
      <c r="M171">
        <f t="shared" si="6"/>
        <v>349.43146874999996</v>
      </c>
    </row>
    <row r="172" spans="1:13" ht="14" x14ac:dyDescent="0.2">
      <c r="A172" s="4" t="s">
        <v>492</v>
      </c>
      <c r="B172" s="5">
        <v>10982.131875000001</v>
      </c>
      <c r="C172" s="5">
        <f t="shared" si="5"/>
        <v>366.07106250000004</v>
      </c>
      <c r="D172" s="4">
        <v>30</v>
      </c>
      <c r="E172" s="5" t="s">
        <v>25</v>
      </c>
      <c r="F172" s="4" t="s">
        <v>493</v>
      </c>
      <c r="G172" s="4" t="s">
        <v>12</v>
      </c>
      <c r="H172" s="4" t="s">
        <v>494</v>
      </c>
      <c r="I172" s="4" t="s">
        <v>22</v>
      </c>
      <c r="J172" s="4" t="s">
        <v>495</v>
      </c>
      <c r="K172" s="4" t="s">
        <v>90</v>
      </c>
      <c r="M172">
        <f t="shared" si="6"/>
        <v>329.46395625000002</v>
      </c>
    </row>
    <row r="173" spans="1:13" ht="14" x14ac:dyDescent="0.2">
      <c r="A173" s="4" t="s">
        <v>496</v>
      </c>
      <c r="B173" s="5">
        <v>10982.131875000001</v>
      </c>
      <c r="C173" s="5">
        <f t="shared" si="5"/>
        <v>366.07106250000004</v>
      </c>
      <c r="D173" s="4">
        <v>30</v>
      </c>
      <c r="E173" s="5" t="s">
        <v>10</v>
      </c>
      <c r="F173" s="4" t="s">
        <v>493</v>
      </c>
      <c r="G173" s="4" t="s">
        <v>12</v>
      </c>
      <c r="H173" s="4" t="s">
        <v>494</v>
      </c>
      <c r="I173" s="4" t="s">
        <v>22</v>
      </c>
      <c r="J173" s="4" t="s">
        <v>497</v>
      </c>
      <c r="K173" s="4" t="s">
        <v>90</v>
      </c>
      <c r="M173">
        <f t="shared" si="6"/>
        <v>329.46395625000002</v>
      </c>
    </row>
    <row r="174" spans="1:13" ht="14" x14ac:dyDescent="0.2">
      <c r="A174" s="4" t="s">
        <v>498</v>
      </c>
      <c r="B174" s="5">
        <v>10982.131875000001</v>
      </c>
      <c r="C174" s="5">
        <f t="shared" si="5"/>
        <v>366.07106250000004</v>
      </c>
      <c r="D174" s="4">
        <v>30</v>
      </c>
      <c r="E174" s="5" t="s">
        <v>10</v>
      </c>
      <c r="F174" s="4" t="s">
        <v>499</v>
      </c>
      <c r="G174" s="4" t="s">
        <v>12</v>
      </c>
      <c r="H174" s="4" t="s">
        <v>500</v>
      </c>
      <c r="I174" s="4" t="s">
        <v>22</v>
      </c>
      <c r="J174" s="4" t="s">
        <v>501</v>
      </c>
      <c r="K174" s="4" t="s">
        <v>90</v>
      </c>
      <c r="M174">
        <f t="shared" si="6"/>
        <v>329.46395625000002</v>
      </c>
    </row>
    <row r="175" spans="1:13" ht="14" x14ac:dyDescent="0.2">
      <c r="A175" s="4" t="s">
        <v>502</v>
      </c>
      <c r="B175" s="5">
        <v>10982.131875000001</v>
      </c>
      <c r="C175" s="5">
        <f t="shared" si="5"/>
        <v>366.07106250000004</v>
      </c>
      <c r="D175" s="4">
        <v>30</v>
      </c>
      <c r="E175" s="5" t="s">
        <v>10</v>
      </c>
      <c r="F175" s="4" t="s">
        <v>499</v>
      </c>
      <c r="G175" s="4" t="s">
        <v>12</v>
      </c>
      <c r="H175" s="4" t="s">
        <v>500</v>
      </c>
      <c r="I175" s="4" t="s">
        <v>22</v>
      </c>
      <c r="J175" s="4" t="s">
        <v>503</v>
      </c>
      <c r="K175" s="4" t="s">
        <v>90</v>
      </c>
      <c r="M175">
        <f t="shared" si="6"/>
        <v>329.46395625000002</v>
      </c>
    </row>
    <row r="176" spans="1:13" ht="14" x14ac:dyDescent="0.2">
      <c r="A176" s="4" t="s">
        <v>504</v>
      </c>
      <c r="B176" s="5">
        <v>12202.368750000001</v>
      </c>
      <c r="C176" s="5">
        <f t="shared" si="5"/>
        <v>406.74562500000008</v>
      </c>
      <c r="D176" s="4">
        <v>30</v>
      </c>
      <c r="E176" s="5" t="s">
        <v>10</v>
      </c>
      <c r="F176" s="4" t="s">
        <v>505</v>
      </c>
      <c r="G176" s="4" t="s">
        <v>12</v>
      </c>
      <c r="H176" s="4" t="s">
        <v>506</v>
      </c>
      <c r="I176" s="4" t="s">
        <v>22</v>
      </c>
      <c r="J176" s="4" t="s">
        <v>507</v>
      </c>
      <c r="K176" s="4" t="s">
        <v>90</v>
      </c>
      <c r="M176">
        <f t="shared" si="6"/>
        <v>366.07106250000004</v>
      </c>
    </row>
    <row r="177" spans="1:13" ht="14" x14ac:dyDescent="0.2">
      <c r="A177" s="4" t="s">
        <v>508</v>
      </c>
      <c r="B177" s="5">
        <v>62646.961162500003</v>
      </c>
      <c r="C177" s="5">
        <f t="shared" si="5"/>
        <v>2237.391470089286</v>
      </c>
      <c r="D177" s="4">
        <v>28</v>
      </c>
      <c r="E177" s="5" t="s">
        <v>10</v>
      </c>
      <c r="F177" s="4" t="s">
        <v>509</v>
      </c>
      <c r="G177" s="4" t="s">
        <v>12</v>
      </c>
      <c r="H177" s="4" t="s">
        <v>510</v>
      </c>
      <c r="I177" s="4" t="s">
        <v>22</v>
      </c>
      <c r="J177" s="4" t="s">
        <v>271</v>
      </c>
      <c r="K177" s="4" t="s">
        <v>511</v>
      </c>
      <c r="M177">
        <f t="shared" si="6"/>
        <v>2013.6523230803573</v>
      </c>
    </row>
    <row r="178" spans="1:13" ht="14" x14ac:dyDescent="0.2">
      <c r="A178" s="4" t="s">
        <v>512</v>
      </c>
      <c r="B178" s="5">
        <v>9910.5420375000012</v>
      </c>
      <c r="C178" s="5">
        <f t="shared" si="5"/>
        <v>353.94792991071432</v>
      </c>
      <c r="D178" s="4">
        <v>28</v>
      </c>
      <c r="E178" s="5" t="s">
        <v>10</v>
      </c>
      <c r="F178" s="4" t="s">
        <v>513</v>
      </c>
      <c r="G178" s="4" t="s">
        <v>12</v>
      </c>
      <c r="H178" s="4" t="s">
        <v>513</v>
      </c>
      <c r="I178" s="4" t="s">
        <v>22</v>
      </c>
      <c r="J178" s="4" t="s">
        <v>146</v>
      </c>
      <c r="K178" s="4" t="s">
        <v>227</v>
      </c>
      <c r="M178">
        <f t="shared" si="6"/>
        <v>318.5531369196429</v>
      </c>
    </row>
    <row r="179" spans="1:13" ht="14" x14ac:dyDescent="0.2">
      <c r="A179" s="4" t="s">
        <v>514</v>
      </c>
      <c r="B179" s="5">
        <v>8518.3626937500012</v>
      </c>
      <c r="C179" s="5">
        <f t="shared" si="5"/>
        <v>304.22723906250002</v>
      </c>
      <c r="D179" s="4">
        <v>28</v>
      </c>
      <c r="E179" s="5" t="s">
        <v>10</v>
      </c>
      <c r="F179" s="4" t="s">
        <v>513</v>
      </c>
      <c r="G179" s="4" t="s">
        <v>12</v>
      </c>
      <c r="H179" s="4" t="s">
        <v>513</v>
      </c>
      <c r="I179" s="4" t="s">
        <v>22</v>
      </c>
      <c r="J179" s="4" t="s">
        <v>200</v>
      </c>
      <c r="K179" s="4" t="s">
        <v>227</v>
      </c>
      <c r="M179">
        <f t="shared" si="6"/>
        <v>273.80451515625003</v>
      </c>
    </row>
    <row r="180" spans="1:13" ht="14" x14ac:dyDescent="0.2">
      <c r="A180" s="4" t="s">
        <v>515</v>
      </c>
      <c r="B180" s="5">
        <v>3638.5245</v>
      </c>
      <c r="C180" s="5">
        <f t="shared" si="5"/>
        <v>3638.5245</v>
      </c>
      <c r="D180" s="4">
        <v>1</v>
      </c>
      <c r="E180" s="5" t="s">
        <v>175</v>
      </c>
      <c r="F180" s="4" t="s">
        <v>516</v>
      </c>
      <c r="G180" s="4" t="s">
        <v>12</v>
      </c>
      <c r="H180" s="4" t="s">
        <v>517</v>
      </c>
      <c r="I180" s="4" t="s">
        <v>22</v>
      </c>
      <c r="J180" s="4" t="s">
        <v>518</v>
      </c>
      <c r="K180" s="4" t="s">
        <v>53</v>
      </c>
      <c r="M180">
        <f t="shared" si="6"/>
        <v>3274.6720500000001</v>
      </c>
    </row>
    <row r="181" spans="1:13" ht="14" x14ac:dyDescent="0.2">
      <c r="A181" s="4" t="s">
        <v>519</v>
      </c>
      <c r="B181" s="5">
        <v>3074.9969250000008</v>
      </c>
      <c r="C181" s="5">
        <f t="shared" si="5"/>
        <v>3074.9969250000008</v>
      </c>
      <c r="D181" s="4">
        <v>1</v>
      </c>
      <c r="E181" s="5" t="s">
        <v>142</v>
      </c>
      <c r="F181" s="4" t="s">
        <v>516</v>
      </c>
      <c r="G181" s="4" t="s">
        <v>12</v>
      </c>
      <c r="H181" s="4" t="s">
        <v>517</v>
      </c>
      <c r="I181" s="4" t="s">
        <v>22</v>
      </c>
      <c r="J181" s="4" t="s">
        <v>518</v>
      </c>
      <c r="K181" s="4" t="s">
        <v>53</v>
      </c>
      <c r="M181">
        <f t="shared" si="6"/>
        <v>2767.4972325000008</v>
      </c>
    </row>
    <row r="182" spans="1:13" ht="14" x14ac:dyDescent="0.2">
      <c r="A182" s="4" t="s">
        <v>520</v>
      </c>
      <c r="B182" s="5">
        <v>3145.9925250000001</v>
      </c>
      <c r="C182" s="5">
        <f t="shared" si="5"/>
        <v>3145.9925250000001</v>
      </c>
      <c r="D182" s="4">
        <v>1</v>
      </c>
      <c r="E182" s="5" t="s">
        <v>175</v>
      </c>
      <c r="F182" s="4" t="s">
        <v>521</v>
      </c>
      <c r="G182" s="4" t="s">
        <v>12</v>
      </c>
      <c r="H182" s="4" t="s">
        <v>522</v>
      </c>
      <c r="I182" s="4" t="s">
        <v>22</v>
      </c>
      <c r="J182" s="6">
        <v>0.02</v>
      </c>
      <c r="K182" s="4" t="s">
        <v>227</v>
      </c>
      <c r="M182">
        <f t="shared" si="6"/>
        <v>2831.3932725</v>
      </c>
    </row>
    <row r="183" spans="1:13" ht="14" x14ac:dyDescent="0.2">
      <c r="A183" s="4" t="s">
        <v>523</v>
      </c>
      <c r="B183" s="5">
        <v>3944.6930250000005</v>
      </c>
      <c r="C183" s="5">
        <f t="shared" si="5"/>
        <v>131.48976750000003</v>
      </c>
      <c r="D183" s="4">
        <v>30</v>
      </c>
      <c r="E183" s="5" t="s">
        <v>10</v>
      </c>
      <c r="F183" s="4" t="s">
        <v>524</v>
      </c>
      <c r="G183" s="4" t="s">
        <v>12</v>
      </c>
      <c r="H183" s="4" t="s">
        <v>525</v>
      </c>
      <c r="I183" s="4" t="s">
        <v>14</v>
      </c>
      <c r="J183" s="4" t="s">
        <v>200</v>
      </c>
      <c r="K183" s="4" t="s">
        <v>227</v>
      </c>
      <c r="M183">
        <f t="shared" si="6"/>
        <v>118.34079075000002</v>
      </c>
    </row>
    <row r="184" spans="1:13" ht="14" x14ac:dyDescent="0.2">
      <c r="A184" s="4" t="s">
        <v>526</v>
      </c>
      <c r="B184" s="5">
        <v>1916.8812000000003</v>
      </c>
      <c r="C184" s="5">
        <f t="shared" si="5"/>
        <v>319.48020000000002</v>
      </c>
      <c r="D184" s="4">
        <v>6</v>
      </c>
      <c r="E184" s="5" t="s">
        <v>10</v>
      </c>
      <c r="F184" s="4" t="s">
        <v>110</v>
      </c>
      <c r="G184" s="4" t="s">
        <v>20</v>
      </c>
      <c r="H184" s="4" t="s">
        <v>527</v>
      </c>
      <c r="I184" s="4" t="s">
        <v>22</v>
      </c>
      <c r="J184" s="4" t="s">
        <v>282</v>
      </c>
      <c r="K184" s="4" t="s">
        <v>108</v>
      </c>
      <c r="M184">
        <f t="shared" si="6"/>
        <v>287.53218000000004</v>
      </c>
    </row>
    <row r="185" spans="1:13" ht="14" x14ac:dyDescent="0.2">
      <c r="A185" s="4" t="s">
        <v>528</v>
      </c>
      <c r="B185" s="5">
        <v>4659.0862500000003</v>
      </c>
      <c r="C185" s="5">
        <f t="shared" si="5"/>
        <v>776.51437500000009</v>
      </c>
      <c r="D185" s="4">
        <v>6</v>
      </c>
      <c r="E185" s="5" t="s">
        <v>124</v>
      </c>
      <c r="F185" s="4" t="s">
        <v>529</v>
      </c>
      <c r="G185" s="4" t="s">
        <v>20</v>
      </c>
      <c r="H185" s="4" t="s">
        <v>529</v>
      </c>
      <c r="I185" s="4" t="s">
        <v>22</v>
      </c>
      <c r="J185" s="4" t="s">
        <v>497</v>
      </c>
      <c r="K185" s="4" t="s">
        <v>108</v>
      </c>
      <c r="M185">
        <f t="shared" si="6"/>
        <v>698.86293750000004</v>
      </c>
    </row>
    <row r="186" spans="1:13" ht="14" x14ac:dyDescent="0.2">
      <c r="A186" s="4" t="s">
        <v>530</v>
      </c>
      <c r="B186" s="5">
        <v>4614.7139999999999</v>
      </c>
      <c r="C186" s="5">
        <f t="shared" si="5"/>
        <v>1153.6785</v>
      </c>
      <c r="D186" s="4">
        <v>4</v>
      </c>
      <c r="E186" s="5" t="s">
        <v>10</v>
      </c>
      <c r="F186" s="4" t="s">
        <v>531</v>
      </c>
      <c r="G186" s="4" t="s">
        <v>20</v>
      </c>
      <c r="H186" s="4" t="s">
        <v>532</v>
      </c>
      <c r="I186" s="4" t="s">
        <v>22</v>
      </c>
      <c r="J186" s="4" t="s">
        <v>533</v>
      </c>
      <c r="K186" s="4" t="s">
        <v>108</v>
      </c>
      <c r="M186">
        <f t="shared" si="6"/>
        <v>1038.3106499999999</v>
      </c>
    </row>
    <row r="187" spans="1:13" ht="14" x14ac:dyDescent="0.2">
      <c r="A187" s="4" t="s">
        <v>534</v>
      </c>
      <c r="B187" s="5">
        <v>6212.1150000000007</v>
      </c>
      <c r="C187" s="5">
        <f t="shared" si="5"/>
        <v>1035.3525000000002</v>
      </c>
      <c r="D187" s="4">
        <v>6</v>
      </c>
      <c r="E187" s="5" t="s">
        <v>10</v>
      </c>
      <c r="F187" s="4" t="s">
        <v>535</v>
      </c>
      <c r="G187" s="4" t="s">
        <v>20</v>
      </c>
      <c r="H187" s="4" t="s">
        <v>536</v>
      </c>
      <c r="I187" s="4" t="s">
        <v>22</v>
      </c>
      <c r="J187" s="4" t="s">
        <v>537</v>
      </c>
      <c r="K187" s="4" t="s">
        <v>108</v>
      </c>
      <c r="M187">
        <f t="shared" si="6"/>
        <v>931.81725000000017</v>
      </c>
    </row>
    <row r="188" spans="1:13" ht="14" x14ac:dyDescent="0.2">
      <c r="A188" s="4" t="s">
        <v>538</v>
      </c>
      <c r="B188" s="5">
        <v>9650.9643750000014</v>
      </c>
      <c r="C188" s="5">
        <f t="shared" si="5"/>
        <v>1608.4940625000002</v>
      </c>
      <c r="D188" s="4">
        <v>6</v>
      </c>
      <c r="E188" s="5" t="s">
        <v>10</v>
      </c>
      <c r="F188" s="4" t="s">
        <v>539</v>
      </c>
      <c r="G188" s="4" t="s">
        <v>20</v>
      </c>
      <c r="H188" s="4" t="s">
        <v>540</v>
      </c>
      <c r="I188" s="4" t="s">
        <v>14</v>
      </c>
      <c r="J188" s="4" t="s">
        <v>541</v>
      </c>
      <c r="K188" s="4" t="s">
        <v>108</v>
      </c>
      <c r="M188">
        <f t="shared" si="6"/>
        <v>1447.64465625</v>
      </c>
    </row>
    <row r="189" spans="1:13" ht="14" x14ac:dyDescent="0.2">
      <c r="A189" s="4" t="s">
        <v>542</v>
      </c>
      <c r="B189" s="5">
        <v>6212.1150000000007</v>
      </c>
      <c r="C189" s="5">
        <f t="shared" si="5"/>
        <v>1035.3525000000002</v>
      </c>
      <c r="D189" s="4">
        <v>6</v>
      </c>
      <c r="E189" s="5" t="s">
        <v>10</v>
      </c>
      <c r="F189" s="4" t="s">
        <v>535</v>
      </c>
      <c r="G189" s="4" t="s">
        <v>20</v>
      </c>
      <c r="H189" s="4" t="s">
        <v>536</v>
      </c>
      <c r="I189" s="4" t="s">
        <v>14</v>
      </c>
      <c r="J189" s="4" t="s">
        <v>537</v>
      </c>
      <c r="K189" s="4" t="s">
        <v>108</v>
      </c>
      <c r="M189">
        <f t="shared" si="6"/>
        <v>931.81725000000017</v>
      </c>
    </row>
    <row r="190" spans="1:13" ht="14" x14ac:dyDescent="0.2">
      <c r="A190" s="4" t="s">
        <v>543</v>
      </c>
      <c r="B190" s="5">
        <v>5435.600625</v>
      </c>
      <c r="C190" s="5">
        <f t="shared" si="5"/>
        <v>5435.600625</v>
      </c>
      <c r="D190" s="4">
        <v>1</v>
      </c>
      <c r="E190" s="5" t="s">
        <v>124</v>
      </c>
      <c r="F190" s="4" t="s">
        <v>544</v>
      </c>
      <c r="G190" s="4" t="s">
        <v>12</v>
      </c>
      <c r="H190" s="4" t="s">
        <v>545</v>
      </c>
      <c r="I190" s="4" t="s">
        <v>14</v>
      </c>
      <c r="J190" s="4" t="s">
        <v>546</v>
      </c>
      <c r="K190" s="4" t="s">
        <v>108</v>
      </c>
      <c r="M190">
        <f t="shared" si="6"/>
        <v>4892.0405625000003</v>
      </c>
    </row>
    <row r="191" spans="1:13" ht="14" x14ac:dyDescent="0.2">
      <c r="A191" s="4" t="s">
        <v>547</v>
      </c>
      <c r="B191" s="5">
        <v>3327.9187500000003</v>
      </c>
      <c r="C191" s="5">
        <f t="shared" si="5"/>
        <v>3327.9187500000003</v>
      </c>
      <c r="D191" s="4">
        <v>1</v>
      </c>
      <c r="E191" s="5" t="s">
        <v>124</v>
      </c>
      <c r="F191" s="4" t="s">
        <v>544</v>
      </c>
      <c r="G191" s="4" t="s">
        <v>12</v>
      </c>
      <c r="H191" s="4" t="s">
        <v>545</v>
      </c>
      <c r="I191" s="4" t="s">
        <v>14</v>
      </c>
      <c r="J191" s="4" t="s">
        <v>548</v>
      </c>
      <c r="K191" s="4" t="s">
        <v>108</v>
      </c>
      <c r="M191">
        <f t="shared" si="6"/>
        <v>2995.1268750000004</v>
      </c>
    </row>
    <row r="192" spans="1:13" ht="14" x14ac:dyDescent="0.2">
      <c r="A192" s="4" t="s">
        <v>549</v>
      </c>
      <c r="B192" s="5">
        <v>4215.3637500000004</v>
      </c>
      <c r="C192" s="5">
        <f t="shared" si="5"/>
        <v>4215.3637500000004</v>
      </c>
      <c r="D192" s="4">
        <v>1</v>
      </c>
      <c r="E192" s="5" t="s">
        <v>124</v>
      </c>
      <c r="F192" s="4" t="s">
        <v>544</v>
      </c>
      <c r="G192" s="4" t="s">
        <v>12</v>
      </c>
      <c r="H192" s="4" t="s">
        <v>545</v>
      </c>
      <c r="I192" s="4" t="s">
        <v>14</v>
      </c>
      <c r="J192" s="4" t="s">
        <v>550</v>
      </c>
      <c r="K192" s="4" t="s">
        <v>108</v>
      </c>
      <c r="M192">
        <f t="shared" si="6"/>
        <v>3793.8273750000003</v>
      </c>
    </row>
    <row r="193" spans="1:13" ht="14" x14ac:dyDescent="0.2">
      <c r="A193" s="4" t="s">
        <v>551</v>
      </c>
      <c r="B193" s="5">
        <v>1153.6785</v>
      </c>
      <c r="C193" s="5">
        <f t="shared" si="5"/>
        <v>96.139875000000004</v>
      </c>
      <c r="D193" s="4">
        <v>12</v>
      </c>
      <c r="E193" s="5" t="s">
        <v>10</v>
      </c>
      <c r="F193" s="4" t="s">
        <v>544</v>
      </c>
      <c r="G193" s="4" t="s">
        <v>20</v>
      </c>
      <c r="H193" s="4" t="s">
        <v>552</v>
      </c>
      <c r="I193" s="4" t="s">
        <v>14</v>
      </c>
      <c r="J193" s="4" t="s">
        <v>78</v>
      </c>
      <c r="K193" s="4" t="s">
        <v>108</v>
      </c>
      <c r="M193">
        <f t="shared" si="6"/>
        <v>86.52588750000001</v>
      </c>
    </row>
    <row r="194" spans="1:13" ht="14" x14ac:dyDescent="0.2">
      <c r="A194" s="4" t="s">
        <v>553</v>
      </c>
      <c r="B194" s="5">
        <v>2662.335</v>
      </c>
      <c r="C194" s="5">
        <f t="shared" si="5"/>
        <v>2662.335</v>
      </c>
      <c r="D194" s="4">
        <v>1</v>
      </c>
      <c r="E194" s="5" t="s">
        <v>124</v>
      </c>
      <c r="F194" s="4" t="s">
        <v>544</v>
      </c>
      <c r="G194" s="4" t="s">
        <v>12</v>
      </c>
      <c r="H194" s="4" t="s">
        <v>544</v>
      </c>
      <c r="I194" s="4" t="s">
        <v>22</v>
      </c>
      <c r="J194" s="4" t="s">
        <v>546</v>
      </c>
      <c r="K194" s="4" t="s">
        <v>108</v>
      </c>
      <c r="M194">
        <f t="shared" si="6"/>
        <v>2396.1015000000002</v>
      </c>
    </row>
    <row r="195" spans="1:13" ht="14" x14ac:dyDescent="0.2">
      <c r="A195" s="4" t="s">
        <v>554</v>
      </c>
      <c r="B195" s="5">
        <v>1303.43484375</v>
      </c>
      <c r="C195" s="5">
        <f t="shared" ref="C195:C258" si="7">(B195/D195)</f>
        <v>217.239140625</v>
      </c>
      <c r="D195" s="4">
        <v>6</v>
      </c>
      <c r="E195" s="5" t="s">
        <v>10</v>
      </c>
      <c r="F195" s="4" t="s">
        <v>555</v>
      </c>
      <c r="G195" s="4" t="s">
        <v>20</v>
      </c>
      <c r="H195" s="4" t="s">
        <v>556</v>
      </c>
      <c r="I195" s="4" t="s">
        <v>22</v>
      </c>
      <c r="J195" s="4" t="s">
        <v>557</v>
      </c>
      <c r="K195" s="4" t="s">
        <v>108</v>
      </c>
      <c r="M195">
        <f t="shared" si="6"/>
        <v>195.5152265625</v>
      </c>
    </row>
    <row r="196" spans="1:13" ht="14" x14ac:dyDescent="0.2">
      <c r="A196" s="4" t="s">
        <v>558</v>
      </c>
      <c r="B196" s="5">
        <v>1553.0287500000002</v>
      </c>
      <c r="C196" s="5">
        <f t="shared" si="7"/>
        <v>1553.0287500000002</v>
      </c>
      <c r="D196" s="4">
        <v>1</v>
      </c>
      <c r="E196" s="5" t="s">
        <v>59</v>
      </c>
      <c r="F196" s="4" t="s">
        <v>544</v>
      </c>
      <c r="G196" s="4" t="s">
        <v>20</v>
      </c>
      <c r="H196" s="4" t="s">
        <v>544</v>
      </c>
      <c r="I196" s="4" t="s">
        <v>22</v>
      </c>
      <c r="J196" s="4" t="s">
        <v>559</v>
      </c>
      <c r="K196" s="4" t="s">
        <v>108</v>
      </c>
      <c r="M196">
        <f t="shared" si="6"/>
        <v>1397.7258750000001</v>
      </c>
    </row>
    <row r="197" spans="1:13" ht="14" x14ac:dyDescent="0.2">
      <c r="A197" s="4" t="s">
        <v>560</v>
      </c>
      <c r="B197" s="5">
        <v>2662.335</v>
      </c>
      <c r="C197" s="5">
        <f t="shared" si="7"/>
        <v>221.86125000000001</v>
      </c>
      <c r="D197" s="4">
        <v>12</v>
      </c>
      <c r="E197" s="5" t="s">
        <v>10</v>
      </c>
      <c r="F197" s="4" t="s">
        <v>544</v>
      </c>
      <c r="G197" s="4" t="s">
        <v>20</v>
      </c>
      <c r="H197" s="4" t="s">
        <v>561</v>
      </c>
      <c r="I197" s="4" t="s">
        <v>22</v>
      </c>
      <c r="J197" s="4" t="s">
        <v>78</v>
      </c>
      <c r="K197" s="4" t="s">
        <v>108</v>
      </c>
      <c r="M197">
        <f t="shared" si="6"/>
        <v>199.67512500000001</v>
      </c>
    </row>
    <row r="198" spans="1:13" ht="14" x14ac:dyDescent="0.2">
      <c r="A198" s="4" t="s">
        <v>562</v>
      </c>
      <c r="B198" s="5">
        <v>2875.3218000000002</v>
      </c>
      <c r="C198" s="5">
        <f t="shared" si="7"/>
        <v>479.22030000000001</v>
      </c>
      <c r="D198" s="4">
        <v>6</v>
      </c>
      <c r="E198" s="5" t="s">
        <v>10</v>
      </c>
      <c r="F198" s="4" t="s">
        <v>280</v>
      </c>
      <c r="G198" s="4" t="s">
        <v>20</v>
      </c>
      <c r="H198" s="4" t="s">
        <v>563</v>
      </c>
      <c r="I198" s="4" t="s">
        <v>22</v>
      </c>
      <c r="J198" s="4" t="s">
        <v>564</v>
      </c>
      <c r="K198" s="4" t="s">
        <v>108</v>
      </c>
      <c r="M198">
        <f t="shared" si="6"/>
        <v>431.29827</v>
      </c>
    </row>
    <row r="199" spans="1:13" ht="14" x14ac:dyDescent="0.2">
      <c r="A199" s="4" t="s">
        <v>565</v>
      </c>
      <c r="B199" s="5">
        <v>2036.6862750000005</v>
      </c>
      <c r="C199" s="5">
        <f t="shared" si="7"/>
        <v>2036.6862750000005</v>
      </c>
      <c r="D199" s="4">
        <v>1</v>
      </c>
      <c r="E199" s="5" t="s">
        <v>181</v>
      </c>
      <c r="F199" s="4" t="s">
        <v>280</v>
      </c>
      <c r="G199" s="4" t="s">
        <v>20</v>
      </c>
      <c r="H199" s="4" t="s">
        <v>566</v>
      </c>
      <c r="I199" s="4" t="s">
        <v>22</v>
      </c>
      <c r="J199" s="4" t="s">
        <v>287</v>
      </c>
      <c r="K199" s="4" t="s">
        <v>108</v>
      </c>
      <c r="M199">
        <f t="shared" si="6"/>
        <v>1833.0176475000003</v>
      </c>
    </row>
    <row r="200" spans="1:13" ht="14" x14ac:dyDescent="0.2">
      <c r="A200" s="4" t="s">
        <v>567</v>
      </c>
      <c r="B200" s="5">
        <v>17194.246875000001</v>
      </c>
      <c r="C200" s="5">
        <f t="shared" si="7"/>
        <v>573.14156250000008</v>
      </c>
      <c r="D200" s="4">
        <v>30</v>
      </c>
      <c r="E200" s="5" t="s">
        <v>30</v>
      </c>
      <c r="F200" s="4" t="s">
        <v>568</v>
      </c>
      <c r="G200" s="4" t="s">
        <v>12</v>
      </c>
      <c r="H200" s="4" t="s">
        <v>569</v>
      </c>
      <c r="I200" s="4" t="s">
        <v>14</v>
      </c>
      <c r="J200" s="4" t="s">
        <v>570</v>
      </c>
      <c r="K200" s="4" t="s">
        <v>34</v>
      </c>
      <c r="M200">
        <f t="shared" si="6"/>
        <v>515.82740625000008</v>
      </c>
    </row>
    <row r="201" spans="1:13" ht="14" x14ac:dyDescent="0.2">
      <c r="A201" s="4" t="s">
        <v>571</v>
      </c>
      <c r="B201" s="5">
        <v>20854.9575</v>
      </c>
      <c r="C201" s="5">
        <f t="shared" si="7"/>
        <v>695.16525000000001</v>
      </c>
      <c r="D201" s="4">
        <v>30</v>
      </c>
      <c r="E201" s="5" t="s">
        <v>30</v>
      </c>
      <c r="F201" s="4" t="s">
        <v>572</v>
      </c>
      <c r="G201" s="4" t="s">
        <v>12</v>
      </c>
      <c r="H201" s="4" t="s">
        <v>573</v>
      </c>
      <c r="I201" s="4" t="s">
        <v>14</v>
      </c>
      <c r="K201" s="4" t="s">
        <v>34</v>
      </c>
      <c r="M201">
        <f t="shared" si="6"/>
        <v>625.64872500000001</v>
      </c>
    </row>
    <row r="202" spans="1:13" ht="14" x14ac:dyDescent="0.2">
      <c r="A202" s="4" t="s">
        <v>574</v>
      </c>
      <c r="B202" s="5">
        <v>9018.6598125</v>
      </c>
      <c r="C202" s="5">
        <f t="shared" si="7"/>
        <v>300.62199375</v>
      </c>
      <c r="D202" s="4">
        <v>30</v>
      </c>
      <c r="E202" s="5" t="s">
        <v>30</v>
      </c>
      <c r="F202" s="4" t="s">
        <v>575</v>
      </c>
      <c r="G202" s="4" t="s">
        <v>12</v>
      </c>
      <c r="H202" s="4" t="s">
        <v>576</v>
      </c>
      <c r="I202" s="4" t="s">
        <v>22</v>
      </c>
      <c r="K202" s="4" t="s">
        <v>34</v>
      </c>
      <c r="M202">
        <f t="shared" si="6"/>
        <v>270.55979437500002</v>
      </c>
    </row>
    <row r="203" spans="1:13" ht="14" x14ac:dyDescent="0.2">
      <c r="A203" s="4" t="s">
        <v>577</v>
      </c>
      <c r="B203" s="5">
        <v>4548.1556250000003</v>
      </c>
      <c r="C203" s="5">
        <f t="shared" si="7"/>
        <v>454.81556250000006</v>
      </c>
      <c r="D203" s="4">
        <v>10</v>
      </c>
      <c r="E203" s="5" t="s">
        <v>10</v>
      </c>
      <c r="F203" s="4" t="s">
        <v>578</v>
      </c>
      <c r="G203" s="4" t="s">
        <v>20</v>
      </c>
      <c r="H203" s="4" t="s">
        <v>579</v>
      </c>
      <c r="I203" s="4" t="s">
        <v>14</v>
      </c>
      <c r="J203" s="4" t="s">
        <v>397</v>
      </c>
      <c r="K203" s="4" t="s">
        <v>87</v>
      </c>
      <c r="M203">
        <f t="shared" si="6"/>
        <v>409.33400625000002</v>
      </c>
    </row>
    <row r="204" spans="1:13" ht="14" x14ac:dyDescent="0.2">
      <c r="A204" s="4" t="s">
        <v>580</v>
      </c>
      <c r="B204" s="5">
        <v>2817.6378750000003</v>
      </c>
      <c r="C204" s="5">
        <f t="shared" si="7"/>
        <v>2817.6378750000003</v>
      </c>
      <c r="D204" s="4">
        <v>1</v>
      </c>
      <c r="E204" s="5" t="s">
        <v>59</v>
      </c>
      <c r="F204" s="4" t="s">
        <v>581</v>
      </c>
      <c r="G204" s="4" t="s">
        <v>20</v>
      </c>
      <c r="H204" s="4" t="s">
        <v>582</v>
      </c>
      <c r="I204" s="4" t="s">
        <v>22</v>
      </c>
      <c r="J204" s="4" t="s">
        <v>184</v>
      </c>
      <c r="K204" s="4" t="s">
        <v>34</v>
      </c>
      <c r="M204">
        <f t="shared" si="6"/>
        <v>2535.8740875000003</v>
      </c>
    </row>
    <row r="205" spans="1:13" ht="14" x14ac:dyDescent="0.2">
      <c r="A205" s="4" t="s">
        <v>583</v>
      </c>
      <c r="B205" s="5">
        <v>2817.6378750000003</v>
      </c>
      <c r="C205" s="5">
        <f t="shared" si="7"/>
        <v>2817.6378750000003</v>
      </c>
      <c r="D205" s="4">
        <v>1</v>
      </c>
      <c r="E205" s="5" t="s">
        <v>59</v>
      </c>
      <c r="F205" s="4" t="s">
        <v>581</v>
      </c>
      <c r="G205" s="4" t="s">
        <v>20</v>
      </c>
      <c r="H205" s="4" t="s">
        <v>584</v>
      </c>
      <c r="I205" s="4" t="s">
        <v>22</v>
      </c>
      <c r="J205" s="4" t="s">
        <v>585</v>
      </c>
      <c r="K205" s="4" t="s">
        <v>34</v>
      </c>
      <c r="M205">
        <f t="shared" si="6"/>
        <v>2535.8740875000003</v>
      </c>
    </row>
    <row r="206" spans="1:13" ht="14" x14ac:dyDescent="0.2">
      <c r="A206" s="4" t="s">
        <v>586</v>
      </c>
      <c r="B206" s="5">
        <v>2757.7353375000002</v>
      </c>
      <c r="C206" s="5">
        <f t="shared" si="7"/>
        <v>2757.7353375000002</v>
      </c>
      <c r="D206" s="4">
        <v>1</v>
      </c>
      <c r="E206" s="5" t="s">
        <v>59</v>
      </c>
      <c r="F206" s="4" t="s">
        <v>581</v>
      </c>
      <c r="G206" s="4" t="s">
        <v>20</v>
      </c>
      <c r="H206" s="4" t="s">
        <v>587</v>
      </c>
      <c r="I206" s="4" t="s">
        <v>22</v>
      </c>
      <c r="J206" s="4" t="s">
        <v>588</v>
      </c>
      <c r="K206" s="4" t="s">
        <v>34</v>
      </c>
      <c r="M206">
        <f t="shared" si="6"/>
        <v>2481.9618037500004</v>
      </c>
    </row>
    <row r="207" spans="1:13" ht="14" x14ac:dyDescent="0.2">
      <c r="A207" s="4" t="s">
        <v>589</v>
      </c>
      <c r="B207" s="5">
        <v>2877.5404125</v>
      </c>
      <c r="C207" s="5">
        <f t="shared" si="7"/>
        <v>28.775404125000001</v>
      </c>
      <c r="D207" s="4">
        <v>100</v>
      </c>
      <c r="E207" s="5" t="s">
        <v>10</v>
      </c>
      <c r="F207" s="4" t="s">
        <v>581</v>
      </c>
      <c r="G207" s="4" t="s">
        <v>20</v>
      </c>
      <c r="H207" s="4" t="s">
        <v>590</v>
      </c>
      <c r="I207" s="4" t="s">
        <v>22</v>
      </c>
      <c r="J207" s="4" t="s">
        <v>140</v>
      </c>
      <c r="K207" s="4" t="s">
        <v>34</v>
      </c>
      <c r="M207">
        <f t="shared" si="6"/>
        <v>25.897863712500001</v>
      </c>
    </row>
    <row r="208" spans="1:13" ht="14" x14ac:dyDescent="0.2">
      <c r="A208" s="4" t="s">
        <v>591</v>
      </c>
      <c r="B208" s="5">
        <v>3106.0575000000003</v>
      </c>
      <c r="C208" s="5">
        <f t="shared" si="7"/>
        <v>3106.0575000000003</v>
      </c>
      <c r="D208" s="4">
        <v>1</v>
      </c>
      <c r="E208" s="5" t="s">
        <v>59</v>
      </c>
      <c r="F208" s="4" t="s">
        <v>592</v>
      </c>
      <c r="G208" s="4" t="s">
        <v>20</v>
      </c>
      <c r="H208" s="4" t="s">
        <v>593</v>
      </c>
      <c r="I208" s="4" t="s">
        <v>22</v>
      </c>
      <c r="J208" s="4" t="s">
        <v>594</v>
      </c>
      <c r="K208" s="4" t="s">
        <v>74</v>
      </c>
      <c r="M208">
        <f t="shared" si="6"/>
        <v>2795.4517500000002</v>
      </c>
    </row>
    <row r="209" spans="1:25" ht="14" x14ac:dyDescent="0.2">
      <c r="A209" s="4" t="s">
        <v>595</v>
      </c>
      <c r="B209" s="5">
        <v>2440.4737500000001</v>
      </c>
      <c r="C209" s="5">
        <f t="shared" si="7"/>
        <v>2440.4737500000001</v>
      </c>
      <c r="D209" s="4">
        <v>1</v>
      </c>
      <c r="E209" s="5" t="s">
        <v>59</v>
      </c>
      <c r="F209" s="4" t="s">
        <v>596</v>
      </c>
      <c r="G209" s="4" t="s">
        <v>20</v>
      </c>
      <c r="H209" s="4" t="s">
        <v>597</v>
      </c>
      <c r="I209" s="4" t="s">
        <v>22</v>
      </c>
      <c r="J209" s="4" t="s">
        <v>456</v>
      </c>
      <c r="K209" s="4" t="s">
        <v>74</v>
      </c>
      <c r="M209">
        <f t="shared" si="6"/>
        <v>2196.426375</v>
      </c>
    </row>
    <row r="210" spans="1:25" ht="14" x14ac:dyDescent="0.2">
      <c r="A210" s="4" t="s">
        <v>598</v>
      </c>
      <c r="B210" s="5">
        <v>3124.9157062500003</v>
      </c>
      <c r="C210" s="5">
        <f t="shared" si="7"/>
        <v>31.249157062500004</v>
      </c>
      <c r="D210" s="4">
        <v>100</v>
      </c>
      <c r="E210" s="5" t="s">
        <v>10</v>
      </c>
      <c r="F210" s="4" t="s">
        <v>171</v>
      </c>
      <c r="G210" s="4" t="s">
        <v>20</v>
      </c>
      <c r="H210" s="4" t="s">
        <v>599</v>
      </c>
      <c r="I210" s="4" t="s">
        <v>22</v>
      </c>
      <c r="J210" s="4" t="s">
        <v>273</v>
      </c>
      <c r="K210" s="4" t="s">
        <v>74</v>
      </c>
      <c r="M210">
        <f t="shared" si="6"/>
        <v>28.124241356250003</v>
      </c>
    </row>
    <row r="211" spans="1:25" ht="14" x14ac:dyDescent="0.2">
      <c r="A211" s="4" t="s">
        <v>600</v>
      </c>
      <c r="B211" s="5">
        <v>10971.038812500001</v>
      </c>
      <c r="C211" s="5">
        <f t="shared" si="7"/>
        <v>365.70129375000005</v>
      </c>
      <c r="D211" s="4">
        <v>30</v>
      </c>
      <c r="E211" s="5" t="s">
        <v>10</v>
      </c>
      <c r="F211" s="4" t="s">
        <v>601</v>
      </c>
      <c r="G211" s="4" t="s">
        <v>12</v>
      </c>
      <c r="H211" s="4" t="s">
        <v>602</v>
      </c>
      <c r="I211" s="4" t="s">
        <v>14</v>
      </c>
      <c r="J211" s="4" t="s">
        <v>603</v>
      </c>
      <c r="K211" s="4" t="s">
        <v>90</v>
      </c>
      <c r="M211">
        <f t="shared" si="6"/>
        <v>329.13116437500003</v>
      </c>
    </row>
    <row r="212" spans="1:25" ht="14" x14ac:dyDescent="0.2">
      <c r="A212" s="4" t="s">
        <v>604</v>
      </c>
      <c r="B212" s="5">
        <v>13311.675000000001</v>
      </c>
      <c r="C212" s="5">
        <f t="shared" si="7"/>
        <v>443.72250000000003</v>
      </c>
      <c r="D212" s="4">
        <v>30</v>
      </c>
      <c r="E212" s="5" t="s">
        <v>10</v>
      </c>
      <c r="F212" s="4" t="s">
        <v>601</v>
      </c>
      <c r="G212" s="4" t="s">
        <v>12</v>
      </c>
      <c r="H212" s="4" t="s">
        <v>602</v>
      </c>
      <c r="I212" s="4" t="s">
        <v>14</v>
      </c>
      <c r="J212" s="4" t="s">
        <v>200</v>
      </c>
      <c r="K212" s="4" t="s">
        <v>90</v>
      </c>
      <c r="M212">
        <f t="shared" si="6"/>
        <v>399.35025000000002</v>
      </c>
    </row>
    <row r="213" spans="1:25" ht="14" x14ac:dyDescent="0.2">
      <c r="A213" s="4" t="s">
        <v>605</v>
      </c>
      <c r="B213" s="5">
        <v>4870.125</v>
      </c>
      <c r="C213" s="5">
        <f t="shared" si="7"/>
        <v>162.33750000000001</v>
      </c>
      <c r="D213" s="4">
        <v>30</v>
      </c>
      <c r="E213" s="5" t="s">
        <v>10</v>
      </c>
      <c r="F213" s="4" t="s">
        <v>606</v>
      </c>
      <c r="G213" s="4" t="s">
        <v>12</v>
      </c>
      <c r="H213" s="4" t="s">
        <v>607</v>
      </c>
      <c r="I213" s="4" t="s">
        <v>22</v>
      </c>
      <c r="J213" s="4" t="s">
        <v>608</v>
      </c>
      <c r="K213" s="4" t="s">
        <v>312</v>
      </c>
      <c r="M213">
        <f t="shared" si="6"/>
        <v>146.10374999999999</v>
      </c>
    </row>
    <row r="214" spans="1:25" ht="14" x14ac:dyDescent="0.2">
      <c r="A214" s="4" t="s">
        <v>609</v>
      </c>
      <c r="B214" s="5">
        <v>1320.0744374999999</v>
      </c>
      <c r="C214" s="5">
        <f t="shared" si="7"/>
        <v>132.00744374999999</v>
      </c>
      <c r="D214" s="4">
        <v>10</v>
      </c>
      <c r="E214" s="5" t="s">
        <v>10</v>
      </c>
      <c r="F214" s="4" t="s">
        <v>606</v>
      </c>
      <c r="G214" s="4" t="s">
        <v>12</v>
      </c>
      <c r="H214" s="4" t="s">
        <v>610</v>
      </c>
      <c r="I214" s="4" t="s">
        <v>22</v>
      </c>
      <c r="J214" s="4" t="s">
        <v>608</v>
      </c>
      <c r="K214" s="4" t="s">
        <v>312</v>
      </c>
      <c r="M214">
        <f t="shared" si="6"/>
        <v>118.80669937499999</v>
      </c>
    </row>
    <row r="215" spans="1:25" ht="14" x14ac:dyDescent="0.2">
      <c r="A215" s="4" t="s">
        <v>611</v>
      </c>
      <c r="B215" s="5">
        <v>4009.0327875000003</v>
      </c>
      <c r="C215" s="5">
        <f t="shared" si="7"/>
        <v>133.63442625000002</v>
      </c>
      <c r="D215" s="4">
        <v>30</v>
      </c>
      <c r="E215" s="5" t="s">
        <v>10</v>
      </c>
      <c r="F215" s="4" t="s">
        <v>606</v>
      </c>
      <c r="G215" s="4" t="s">
        <v>12</v>
      </c>
      <c r="H215" s="4" t="s">
        <v>612</v>
      </c>
      <c r="I215" s="4" t="s">
        <v>22</v>
      </c>
      <c r="J215" s="4" t="s">
        <v>140</v>
      </c>
      <c r="K215" s="4" t="s">
        <v>87</v>
      </c>
      <c r="M215">
        <f t="shared" si="6"/>
        <v>120.27098362500001</v>
      </c>
    </row>
    <row r="216" spans="1:25" ht="14" x14ac:dyDescent="0.2">
      <c r="A216" s="4" t="s">
        <v>613</v>
      </c>
      <c r="B216" s="5">
        <v>1663.9593750000001</v>
      </c>
      <c r="C216" s="5">
        <f t="shared" si="7"/>
        <v>166.3959375</v>
      </c>
      <c r="D216" s="4">
        <v>10</v>
      </c>
      <c r="E216" s="5" t="s">
        <v>10</v>
      </c>
      <c r="F216" s="4" t="s">
        <v>613</v>
      </c>
      <c r="G216" s="4" t="s">
        <v>12</v>
      </c>
      <c r="H216" s="4" t="s">
        <v>614</v>
      </c>
      <c r="I216" s="4" t="s">
        <v>22</v>
      </c>
      <c r="J216" s="4" t="s">
        <v>608</v>
      </c>
      <c r="K216" s="4" t="s">
        <v>312</v>
      </c>
      <c r="M216">
        <f t="shared" si="6"/>
        <v>149.75634375000001</v>
      </c>
    </row>
    <row r="217" spans="1:25" ht="14" x14ac:dyDescent="0.2">
      <c r="A217" s="4" t="s">
        <v>615</v>
      </c>
      <c r="B217" s="5">
        <v>2396.1015000000002</v>
      </c>
      <c r="C217" s="5">
        <f t="shared" si="7"/>
        <v>79.870050000000006</v>
      </c>
      <c r="D217" s="4">
        <v>30</v>
      </c>
      <c r="E217" s="5" t="s">
        <v>10</v>
      </c>
      <c r="F217" s="4" t="s">
        <v>606</v>
      </c>
      <c r="G217" s="4" t="s">
        <v>12</v>
      </c>
      <c r="H217" s="4" t="s">
        <v>610</v>
      </c>
      <c r="I217" s="4" t="s">
        <v>22</v>
      </c>
      <c r="J217" s="4" t="s">
        <v>47</v>
      </c>
      <c r="K217" s="4" t="s">
        <v>87</v>
      </c>
      <c r="M217">
        <f t="shared" si="6"/>
        <v>71.88304500000001</v>
      </c>
    </row>
    <row r="218" spans="1:25" ht="14" x14ac:dyDescent="0.2">
      <c r="A218" s="7" t="s">
        <v>5192</v>
      </c>
      <c r="B218" s="10">
        <v>5324.67</v>
      </c>
      <c r="C218" s="5">
        <f t="shared" si="7"/>
        <v>177.489</v>
      </c>
      <c r="D218" s="9">
        <v>30</v>
      </c>
      <c r="E218" s="10" t="s">
        <v>5193</v>
      </c>
      <c r="F218" s="7" t="s">
        <v>655</v>
      </c>
      <c r="G218" s="7" t="s">
        <v>12</v>
      </c>
      <c r="H218" s="7" t="s">
        <v>5194</v>
      </c>
      <c r="I218" s="7" t="s">
        <v>22</v>
      </c>
      <c r="J218" s="7" t="s">
        <v>1696</v>
      </c>
      <c r="K218" s="7" t="s">
        <v>90</v>
      </c>
      <c r="L218" s="4"/>
      <c r="M218">
        <f t="shared" si="6"/>
        <v>159.74010000000001</v>
      </c>
      <c r="N218" s="3"/>
      <c r="O218" s="3"/>
      <c r="P218" s="3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" x14ac:dyDescent="0.2">
      <c r="A219" s="4" t="s">
        <v>616</v>
      </c>
      <c r="B219" s="5">
        <v>5990.2537500000008</v>
      </c>
      <c r="C219" s="5">
        <f t="shared" si="7"/>
        <v>299.51268750000003</v>
      </c>
      <c r="D219" s="4">
        <v>20</v>
      </c>
      <c r="E219" s="5" t="s">
        <v>30</v>
      </c>
      <c r="F219" s="4" t="s">
        <v>617</v>
      </c>
      <c r="G219" s="4" t="s">
        <v>20</v>
      </c>
      <c r="H219" s="4" t="s">
        <v>618</v>
      </c>
      <c r="I219" s="4" t="s">
        <v>14</v>
      </c>
      <c r="J219" s="4" t="s">
        <v>25</v>
      </c>
      <c r="K219" s="4" t="s">
        <v>34</v>
      </c>
      <c r="M219">
        <f t="shared" si="6"/>
        <v>269.56141875000003</v>
      </c>
    </row>
    <row r="220" spans="1:25" ht="14" x14ac:dyDescent="0.2">
      <c r="A220" s="4" t="s">
        <v>619</v>
      </c>
      <c r="B220" s="5">
        <v>6212.1150000000007</v>
      </c>
      <c r="C220" s="5">
        <f t="shared" si="7"/>
        <v>6212.1150000000007</v>
      </c>
      <c r="D220" s="4">
        <v>1</v>
      </c>
      <c r="E220" s="5" t="s">
        <v>59</v>
      </c>
      <c r="F220" s="4" t="s">
        <v>620</v>
      </c>
      <c r="G220" s="4" t="s">
        <v>20</v>
      </c>
      <c r="H220" s="4" t="s">
        <v>621</v>
      </c>
      <c r="I220" s="4" t="s">
        <v>14</v>
      </c>
      <c r="J220" s="4" t="s">
        <v>622</v>
      </c>
      <c r="K220" s="4" t="s">
        <v>34</v>
      </c>
      <c r="M220">
        <f t="shared" si="6"/>
        <v>5590.9035000000003</v>
      </c>
    </row>
    <row r="221" spans="1:25" ht="14" x14ac:dyDescent="0.2">
      <c r="A221" s="4" t="s">
        <v>623</v>
      </c>
      <c r="B221" s="5">
        <v>5990.2537500000008</v>
      </c>
      <c r="C221" s="5">
        <f t="shared" si="7"/>
        <v>299.51268750000003</v>
      </c>
      <c r="D221" s="4">
        <v>20</v>
      </c>
      <c r="E221" s="5" t="s">
        <v>30</v>
      </c>
      <c r="F221" s="4" t="s">
        <v>624</v>
      </c>
      <c r="G221" s="4" t="s">
        <v>20</v>
      </c>
      <c r="H221" s="4" t="s">
        <v>625</v>
      </c>
      <c r="I221" s="4" t="s">
        <v>14</v>
      </c>
      <c r="J221" s="4" t="s">
        <v>25</v>
      </c>
      <c r="K221" s="4" t="s">
        <v>34</v>
      </c>
      <c r="M221">
        <f t="shared" ref="M221:M284" si="8">C221-(C221* 10%)</f>
        <v>269.56141875000003</v>
      </c>
    </row>
    <row r="222" spans="1:25" ht="14" x14ac:dyDescent="0.2">
      <c r="A222" s="4" t="s">
        <v>626</v>
      </c>
      <c r="B222" s="5">
        <v>3216.9881250000003</v>
      </c>
      <c r="C222" s="5">
        <f t="shared" si="7"/>
        <v>3216.9881250000003</v>
      </c>
      <c r="D222" s="4">
        <v>1</v>
      </c>
      <c r="E222" s="5" t="s">
        <v>59</v>
      </c>
      <c r="F222" s="4" t="s">
        <v>617</v>
      </c>
      <c r="G222" s="4" t="s">
        <v>20</v>
      </c>
      <c r="H222" s="4" t="s">
        <v>626</v>
      </c>
      <c r="I222" s="4" t="s">
        <v>14</v>
      </c>
      <c r="J222" s="4" t="s">
        <v>25</v>
      </c>
      <c r="K222" s="4" t="s">
        <v>34</v>
      </c>
      <c r="M222">
        <f t="shared" si="8"/>
        <v>2895.2893125000001</v>
      </c>
    </row>
    <row r="223" spans="1:25" ht="14" x14ac:dyDescent="0.2">
      <c r="A223" s="4" t="s">
        <v>627</v>
      </c>
      <c r="B223" s="5">
        <v>4132.1657812500007</v>
      </c>
      <c r="C223" s="5">
        <f t="shared" si="7"/>
        <v>4132.1657812500007</v>
      </c>
      <c r="D223" s="4">
        <v>1</v>
      </c>
      <c r="E223" s="5" t="s">
        <v>296</v>
      </c>
      <c r="F223" s="4" t="s">
        <v>627</v>
      </c>
      <c r="G223" s="4" t="s">
        <v>20</v>
      </c>
      <c r="H223" s="4" t="s">
        <v>627</v>
      </c>
      <c r="I223" s="4" t="s">
        <v>22</v>
      </c>
      <c r="J223" s="4" t="s">
        <v>628</v>
      </c>
      <c r="K223" s="4" t="s">
        <v>34</v>
      </c>
      <c r="M223">
        <f t="shared" si="8"/>
        <v>3718.9492031250006</v>
      </c>
    </row>
    <row r="224" spans="1:25" ht="14" x14ac:dyDescent="0.2">
      <c r="A224" s="4" t="s">
        <v>629</v>
      </c>
      <c r="B224" s="5">
        <v>6212.1150000000007</v>
      </c>
      <c r="C224" s="5">
        <f t="shared" si="7"/>
        <v>6212.1150000000007</v>
      </c>
      <c r="D224" s="4">
        <v>1</v>
      </c>
      <c r="E224" s="5" t="s">
        <v>59</v>
      </c>
      <c r="F224" s="4" t="s">
        <v>620</v>
      </c>
      <c r="G224" s="4" t="s">
        <v>20</v>
      </c>
      <c r="H224" s="4" t="s">
        <v>629</v>
      </c>
      <c r="I224" s="4" t="s">
        <v>14</v>
      </c>
      <c r="J224" s="4" t="s">
        <v>622</v>
      </c>
      <c r="K224" s="4" t="s">
        <v>34</v>
      </c>
      <c r="M224">
        <f t="shared" si="8"/>
        <v>5590.9035000000003</v>
      </c>
    </row>
    <row r="225" spans="1:13" ht="14" x14ac:dyDescent="0.2">
      <c r="A225" s="4" t="s">
        <v>630</v>
      </c>
      <c r="B225" s="5">
        <v>35996.987812500003</v>
      </c>
      <c r="C225" s="5">
        <f t="shared" si="7"/>
        <v>1285.6067075892859</v>
      </c>
      <c r="D225" s="4">
        <v>28</v>
      </c>
      <c r="E225" s="5" t="s">
        <v>10</v>
      </c>
      <c r="F225" s="4" t="s">
        <v>159</v>
      </c>
      <c r="G225" s="4" t="s">
        <v>12</v>
      </c>
      <c r="H225" s="4" t="s">
        <v>631</v>
      </c>
      <c r="I225" s="4" t="s">
        <v>22</v>
      </c>
      <c r="J225" s="4" t="s">
        <v>161</v>
      </c>
      <c r="K225" s="4" t="s">
        <v>90</v>
      </c>
      <c r="M225">
        <f t="shared" si="8"/>
        <v>1157.0460368303573</v>
      </c>
    </row>
    <row r="226" spans="1:13" ht="14" x14ac:dyDescent="0.2">
      <c r="A226" s="4" t="s">
        <v>632</v>
      </c>
      <c r="B226" s="5">
        <v>37361.434500000003</v>
      </c>
      <c r="C226" s="5">
        <f t="shared" si="7"/>
        <v>1334.3369464285715</v>
      </c>
      <c r="D226" s="4">
        <v>28</v>
      </c>
      <c r="E226" s="5" t="s">
        <v>10</v>
      </c>
      <c r="F226" s="4" t="s">
        <v>159</v>
      </c>
      <c r="G226" s="4" t="s">
        <v>12</v>
      </c>
      <c r="H226" s="4" t="s">
        <v>631</v>
      </c>
      <c r="I226" s="4" t="s">
        <v>22</v>
      </c>
      <c r="J226" s="4" t="s">
        <v>633</v>
      </c>
      <c r="K226" s="4" t="s">
        <v>90</v>
      </c>
      <c r="M226">
        <f t="shared" si="8"/>
        <v>1200.9032517857145</v>
      </c>
    </row>
    <row r="227" spans="1:13" ht="14" x14ac:dyDescent="0.2">
      <c r="A227" s="4" t="s">
        <v>634</v>
      </c>
      <c r="B227" s="5">
        <v>35675.289000000012</v>
      </c>
      <c r="C227" s="5">
        <f t="shared" si="7"/>
        <v>1274.1174642857147</v>
      </c>
      <c r="D227" s="4">
        <v>28</v>
      </c>
      <c r="E227" s="5" t="s">
        <v>10</v>
      </c>
      <c r="F227" s="4" t="s">
        <v>159</v>
      </c>
      <c r="G227" s="4" t="s">
        <v>12</v>
      </c>
      <c r="H227" s="4" t="s">
        <v>631</v>
      </c>
      <c r="I227" s="4" t="s">
        <v>22</v>
      </c>
      <c r="J227" s="4" t="s">
        <v>163</v>
      </c>
      <c r="K227" s="4" t="s">
        <v>90</v>
      </c>
      <c r="M227">
        <f t="shared" si="8"/>
        <v>1146.7057178571433</v>
      </c>
    </row>
    <row r="228" spans="1:13" ht="14" x14ac:dyDescent="0.2">
      <c r="A228" s="4" t="s">
        <v>635</v>
      </c>
      <c r="B228" s="5">
        <v>43595.735625000001</v>
      </c>
      <c r="C228" s="5">
        <f t="shared" si="7"/>
        <v>1556.9905580357142</v>
      </c>
      <c r="D228" s="4">
        <v>28</v>
      </c>
      <c r="E228" s="5" t="s">
        <v>10</v>
      </c>
      <c r="F228" s="4" t="s">
        <v>636</v>
      </c>
      <c r="G228" s="4" t="s">
        <v>12</v>
      </c>
      <c r="H228" s="4" t="s">
        <v>637</v>
      </c>
      <c r="I228" s="4" t="s">
        <v>22</v>
      </c>
      <c r="J228" s="4" t="s">
        <v>638</v>
      </c>
      <c r="K228" s="4" t="s">
        <v>90</v>
      </c>
      <c r="M228">
        <f t="shared" si="8"/>
        <v>1401.2915022321429</v>
      </c>
    </row>
    <row r="229" spans="1:13" ht="14" x14ac:dyDescent="0.2">
      <c r="A229" s="4" t="s">
        <v>639</v>
      </c>
      <c r="B229" s="5">
        <v>45026.740687500002</v>
      </c>
      <c r="C229" s="5">
        <f t="shared" si="7"/>
        <v>1608.0978816964287</v>
      </c>
      <c r="D229" s="4">
        <v>28</v>
      </c>
      <c r="E229" s="5" t="s">
        <v>10</v>
      </c>
      <c r="F229" s="4" t="s">
        <v>636</v>
      </c>
      <c r="G229" s="4" t="s">
        <v>12</v>
      </c>
      <c r="H229" s="4" t="s">
        <v>637</v>
      </c>
      <c r="I229" s="4" t="s">
        <v>22</v>
      </c>
      <c r="J229" s="4" t="s">
        <v>640</v>
      </c>
      <c r="K229" s="4" t="s">
        <v>90</v>
      </c>
      <c r="M229">
        <f t="shared" si="8"/>
        <v>1447.2880935267858</v>
      </c>
    </row>
    <row r="230" spans="1:13" ht="14" x14ac:dyDescent="0.2">
      <c r="A230" s="4" t="s">
        <v>641</v>
      </c>
      <c r="B230" s="5">
        <v>45026.740687500002</v>
      </c>
      <c r="C230" s="5">
        <f t="shared" si="7"/>
        <v>1608.0978816964287</v>
      </c>
      <c r="D230" s="4">
        <v>28</v>
      </c>
      <c r="E230" s="5" t="s">
        <v>10</v>
      </c>
      <c r="F230" s="4" t="s">
        <v>166</v>
      </c>
      <c r="G230" s="4" t="s">
        <v>12</v>
      </c>
      <c r="H230" s="4" t="s">
        <v>637</v>
      </c>
      <c r="I230" s="4" t="s">
        <v>22</v>
      </c>
      <c r="J230" s="4" t="s">
        <v>642</v>
      </c>
      <c r="K230" s="4" t="s">
        <v>90</v>
      </c>
      <c r="M230">
        <f t="shared" si="8"/>
        <v>1447.2880935267858</v>
      </c>
    </row>
    <row r="231" spans="1:13" ht="14" x14ac:dyDescent="0.2">
      <c r="A231" s="4" t="s">
        <v>643</v>
      </c>
      <c r="B231" s="5">
        <v>2052.2165625000002</v>
      </c>
      <c r="C231" s="5">
        <f t="shared" si="7"/>
        <v>2052.2165625000002</v>
      </c>
      <c r="D231" s="4">
        <v>1</v>
      </c>
      <c r="E231" s="5" t="s">
        <v>59</v>
      </c>
      <c r="F231" s="4" t="s">
        <v>644</v>
      </c>
      <c r="G231" s="4" t="s">
        <v>20</v>
      </c>
      <c r="H231" s="4" t="s">
        <v>645</v>
      </c>
      <c r="I231" s="4" t="s">
        <v>22</v>
      </c>
      <c r="J231" s="4" t="s">
        <v>646</v>
      </c>
      <c r="K231" s="4" t="s">
        <v>118</v>
      </c>
      <c r="M231">
        <f t="shared" si="8"/>
        <v>1846.9949062500002</v>
      </c>
    </row>
    <row r="232" spans="1:13" ht="14" x14ac:dyDescent="0.2">
      <c r="A232" s="4" t="s">
        <v>647</v>
      </c>
      <c r="B232" s="5">
        <v>714.28500000000008</v>
      </c>
      <c r="C232" s="5">
        <f t="shared" si="7"/>
        <v>71.428500000000014</v>
      </c>
      <c r="D232" s="4">
        <v>10</v>
      </c>
      <c r="E232" s="5" t="s">
        <v>10</v>
      </c>
      <c r="F232" s="4" t="s">
        <v>644</v>
      </c>
      <c r="G232" s="4" t="s">
        <v>20</v>
      </c>
      <c r="H232" s="4" t="s">
        <v>645</v>
      </c>
      <c r="I232" s="4" t="s">
        <v>22</v>
      </c>
      <c r="J232" s="4" t="s">
        <v>146</v>
      </c>
      <c r="K232" s="4" t="s">
        <v>118</v>
      </c>
      <c r="M232">
        <f t="shared" si="8"/>
        <v>64.285650000000018</v>
      </c>
    </row>
    <row r="233" spans="1:13" ht="14" x14ac:dyDescent="0.2">
      <c r="A233" s="4" t="s">
        <v>648</v>
      </c>
      <c r="B233" s="5">
        <v>5102.8087500000001</v>
      </c>
      <c r="C233" s="5">
        <f t="shared" si="7"/>
        <v>182.24316964285714</v>
      </c>
      <c r="D233" s="4">
        <v>28</v>
      </c>
      <c r="E233" s="5" t="s">
        <v>10</v>
      </c>
      <c r="F233" s="4" t="s">
        <v>649</v>
      </c>
      <c r="G233" s="4" t="s">
        <v>12</v>
      </c>
      <c r="H233" s="4" t="s">
        <v>650</v>
      </c>
      <c r="I233" s="4" t="s">
        <v>22</v>
      </c>
      <c r="J233" s="4" t="s">
        <v>78</v>
      </c>
      <c r="K233" s="4" t="s">
        <v>90</v>
      </c>
      <c r="M233">
        <f t="shared" si="8"/>
        <v>164.01885267857142</v>
      </c>
    </row>
    <row r="234" spans="1:13" ht="14" x14ac:dyDescent="0.2">
      <c r="A234" s="4" t="s">
        <v>651</v>
      </c>
      <c r="B234" s="5">
        <v>6877.6987500000005</v>
      </c>
      <c r="C234" s="5">
        <f t="shared" si="7"/>
        <v>245.63209821428572</v>
      </c>
      <c r="D234" s="4">
        <v>28</v>
      </c>
      <c r="E234" s="5" t="s">
        <v>10</v>
      </c>
      <c r="F234" s="4" t="s">
        <v>649</v>
      </c>
      <c r="G234" s="4" t="s">
        <v>12</v>
      </c>
      <c r="H234" s="4" t="s">
        <v>649</v>
      </c>
      <c r="I234" s="4" t="s">
        <v>22</v>
      </c>
      <c r="J234" s="4" t="s">
        <v>140</v>
      </c>
      <c r="K234" s="4" t="s">
        <v>90</v>
      </c>
      <c r="M234">
        <f t="shared" si="8"/>
        <v>221.06888839285716</v>
      </c>
    </row>
    <row r="235" spans="1:13" ht="14" x14ac:dyDescent="0.2">
      <c r="A235" s="4" t="s">
        <v>652</v>
      </c>
      <c r="B235" s="5">
        <v>4770.0168750000003</v>
      </c>
      <c r="C235" s="5">
        <f t="shared" si="7"/>
        <v>170.35774553571429</v>
      </c>
      <c r="D235" s="4">
        <v>28</v>
      </c>
      <c r="E235" s="5" t="s">
        <v>10</v>
      </c>
      <c r="F235" s="4" t="s">
        <v>649</v>
      </c>
      <c r="G235" s="4" t="s">
        <v>12</v>
      </c>
      <c r="H235" s="4" t="s">
        <v>649</v>
      </c>
      <c r="I235" s="4" t="s">
        <v>22</v>
      </c>
      <c r="J235" s="4" t="s">
        <v>15</v>
      </c>
      <c r="K235" s="4" t="s">
        <v>90</v>
      </c>
      <c r="M235">
        <f t="shared" si="8"/>
        <v>153.32197098214286</v>
      </c>
    </row>
    <row r="236" spans="1:13" ht="14" x14ac:dyDescent="0.2">
      <c r="A236" s="4" t="s">
        <v>653</v>
      </c>
      <c r="B236" s="5">
        <v>4991.8781250000002</v>
      </c>
      <c r="C236" s="5">
        <f t="shared" si="7"/>
        <v>178.28136160714286</v>
      </c>
      <c r="D236" s="4">
        <v>28</v>
      </c>
      <c r="E236" s="5" t="s">
        <v>10</v>
      </c>
      <c r="F236" s="4" t="s">
        <v>649</v>
      </c>
      <c r="G236" s="4" t="s">
        <v>12</v>
      </c>
      <c r="H236" s="4" t="s">
        <v>649</v>
      </c>
      <c r="I236" s="4" t="s">
        <v>22</v>
      </c>
      <c r="J236" s="4" t="s">
        <v>78</v>
      </c>
      <c r="K236" s="4" t="s">
        <v>90</v>
      </c>
      <c r="M236">
        <f t="shared" si="8"/>
        <v>160.45322544642858</v>
      </c>
    </row>
    <row r="237" spans="1:13" ht="14" x14ac:dyDescent="0.2">
      <c r="A237" s="4" t="s">
        <v>654</v>
      </c>
      <c r="B237" s="5">
        <v>6877.6987500000005</v>
      </c>
      <c r="C237" s="5">
        <f t="shared" si="7"/>
        <v>245.63209821428572</v>
      </c>
      <c r="D237" s="4">
        <v>28</v>
      </c>
      <c r="E237" s="5" t="s">
        <v>10</v>
      </c>
      <c r="F237" s="4" t="s">
        <v>655</v>
      </c>
      <c r="G237" s="4" t="s">
        <v>12</v>
      </c>
      <c r="H237" s="4" t="s">
        <v>655</v>
      </c>
      <c r="I237" s="4" t="s">
        <v>22</v>
      </c>
      <c r="J237" s="4" t="s">
        <v>146</v>
      </c>
      <c r="K237" s="4" t="s">
        <v>312</v>
      </c>
      <c r="M237">
        <f t="shared" si="8"/>
        <v>221.06888839285716</v>
      </c>
    </row>
    <row r="238" spans="1:13" ht="14" x14ac:dyDescent="0.2">
      <c r="A238" s="4" t="s">
        <v>656</v>
      </c>
      <c r="B238" s="5">
        <v>8319.796875</v>
      </c>
      <c r="C238" s="5">
        <f t="shared" si="7"/>
        <v>297.13560267857144</v>
      </c>
      <c r="D238" s="4">
        <v>28</v>
      </c>
      <c r="E238" s="5" t="s">
        <v>10</v>
      </c>
      <c r="F238" s="4" t="s">
        <v>655</v>
      </c>
      <c r="G238" s="4" t="s">
        <v>12</v>
      </c>
      <c r="H238" s="4" t="s">
        <v>655</v>
      </c>
      <c r="I238" s="4" t="s">
        <v>22</v>
      </c>
      <c r="J238" s="4" t="s">
        <v>148</v>
      </c>
      <c r="K238" s="4" t="s">
        <v>312</v>
      </c>
      <c r="M238">
        <f t="shared" si="8"/>
        <v>267.42204241071431</v>
      </c>
    </row>
    <row r="239" spans="1:13" ht="14" x14ac:dyDescent="0.2">
      <c r="A239" s="4" t="s">
        <v>657</v>
      </c>
      <c r="B239" s="5">
        <v>3407.7888000000007</v>
      </c>
      <c r="C239" s="5">
        <f t="shared" si="7"/>
        <v>3407.7888000000007</v>
      </c>
      <c r="D239" s="4">
        <v>1</v>
      </c>
      <c r="E239" s="5" t="s">
        <v>175</v>
      </c>
      <c r="F239" s="4" t="s">
        <v>658</v>
      </c>
      <c r="G239" s="4" t="s">
        <v>12</v>
      </c>
      <c r="H239" s="4" t="s">
        <v>658</v>
      </c>
      <c r="I239" s="4" t="s">
        <v>22</v>
      </c>
      <c r="J239" s="8">
        <v>5.0000000000000001E-3</v>
      </c>
      <c r="K239" s="4" t="s">
        <v>227</v>
      </c>
      <c r="M239">
        <f t="shared" si="8"/>
        <v>3067.0099200000004</v>
      </c>
    </row>
    <row r="240" spans="1:13" ht="14" x14ac:dyDescent="0.2">
      <c r="A240" s="4" t="s">
        <v>659</v>
      </c>
      <c r="B240" s="5">
        <v>6960.8967187500002</v>
      </c>
      <c r="C240" s="5">
        <f t="shared" si="7"/>
        <v>6960.8967187500002</v>
      </c>
      <c r="D240" s="4">
        <v>1</v>
      </c>
      <c r="E240" s="5" t="s">
        <v>124</v>
      </c>
      <c r="F240" s="4" t="s">
        <v>658</v>
      </c>
      <c r="G240" s="4" t="s">
        <v>12</v>
      </c>
      <c r="H240" s="4" t="s">
        <v>658</v>
      </c>
      <c r="I240" s="4" t="s">
        <v>22</v>
      </c>
      <c r="J240" s="4" t="s">
        <v>660</v>
      </c>
      <c r="K240" s="4" t="s">
        <v>227</v>
      </c>
      <c r="M240">
        <f t="shared" si="8"/>
        <v>6264.8070468750002</v>
      </c>
    </row>
    <row r="241" spans="1:25" ht="14" x14ac:dyDescent="0.2">
      <c r="A241" s="4" t="s">
        <v>661</v>
      </c>
      <c r="B241" s="5">
        <v>34582.622343750001</v>
      </c>
      <c r="C241" s="5">
        <f t="shared" si="7"/>
        <v>34582.622343750001</v>
      </c>
      <c r="D241" s="4">
        <v>1</v>
      </c>
      <c r="E241" s="5" t="s">
        <v>170</v>
      </c>
      <c r="F241" s="4" t="s">
        <v>662</v>
      </c>
      <c r="G241" s="4" t="s">
        <v>12</v>
      </c>
      <c r="H241" s="4" t="s">
        <v>663</v>
      </c>
      <c r="I241" s="4" t="s">
        <v>22</v>
      </c>
      <c r="J241" s="4" t="s">
        <v>664</v>
      </c>
      <c r="K241" s="4" t="s">
        <v>227</v>
      </c>
      <c r="M241">
        <f t="shared" si="8"/>
        <v>31124.360109375</v>
      </c>
    </row>
    <row r="242" spans="1:25" ht="14" x14ac:dyDescent="0.2">
      <c r="A242" s="4" t="s">
        <v>665</v>
      </c>
      <c r="B242" s="5">
        <v>4659.0862500000003</v>
      </c>
      <c r="C242" s="5">
        <f t="shared" si="7"/>
        <v>332.791875</v>
      </c>
      <c r="D242" s="4">
        <v>14</v>
      </c>
      <c r="E242" s="5" t="s">
        <v>10</v>
      </c>
      <c r="F242" s="4" t="s">
        <v>666</v>
      </c>
      <c r="G242" s="4" t="s">
        <v>20</v>
      </c>
      <c r="H242" s="4" t="s">
        <v>667</v>
      </c>
      <c r="I242" s="4" t="s">
        <v>22</v>
      </c>
      <c r="J242" s="4" t="s">
        <v>362</v>
      </c>
      <c r="K242" s="4" t="s">
        <v>53</v>
      </c>
      <c r="M242">
        <f t="shared" si="8"/>
        <v>299.51268750000003</v>
      </c>
    </row>
    <row r="243" spans="1:25" ht="14" x14ac:dyDescent="0.2">
      <c r="A243" s="4" t="s">
        <v>668</v>
      </c>
      <c r="B243" s="5">
        <v>15530.287500000002</v>
      </c>
      <c r="C243" s="5">
        <f t="shared" si="7"/>
        <v>1035.3525000000002</v>
      </c>
      <c r="D243" s="4">
        <v>15</v>
      </c>
      <c r="E243" s="5" t="s">
        <v>10</v>
      </c>
      <c r="F243" s="4" t="s">
        <v>346</v>
      </c>
      <c r="G243" s="4" t="s">
        <v>20</v>
      </c>
      <c r="H243" s="4" t="s">
        <v>669</v>
      </c>
      <c r="I243" s="4" t="s">
        <v>14</v>
      </c>
      <c r="J243" s="4" t="s">
        <v>353</v>
      </c>
      <c r="K243" s="4" t="s">
        <v>53</v>
      </c>
      <c r="M243">
        <f t="shared" si="8"/>
        <v>931.81725000000017</v>
      </c>
    </row>
    <row r="244" spans="1:25" ht="14" x14ac:dyDescent="0.2">
      <c r="A244" s="4" t="s">
        <v>670</v>
      </c>
      <c r="B244" s="5">
        <v>11381.482125</v>
      </c>
      <c r="C244" s="5">
        <f t="shared" si="7"/>
        <v>11381.482125</v>
      </c>
      <c r="D244" s="4">
        <v>1</v>
      </c>
      <c r="E244" s="5" t="s">
        <v>181</v>
      </c>
      <c r="F244" s="4" t="s">
        <v>346</v>
      </c>
      <c r="G244" s="4" t="s">
        <v>20</v>
      </c>
      <c r="H244" s="4" t="s">
        <v>671</v>
      </c>
      <c r="I244" s="4" t="s">
        <v>14</v>
      </c>
      <c r="J244" s="4" t="s">
        <v>672</v>
      </c>
      <c r="K244" s="4" t="s">
        <v>53</v>
      </c>
      <c r="M244">
        <f t="shared" si="8"/>
        <v>10243.3339125</v>
      </c>
    </row>
    <row r="245" spans="1:25" ht="14" x14ac:dyDescent="0.2">
      <c r="A245" s="4" t="s">
        <v>673</v>
      </c>
      <c r="B245" s="5">
        <v>28753.218000000001</v>
      </c>
      <c r="C245" s="5">
        <f t="shared" si="7"/>
        <v>28753.218000000001</v>
      </c>
      <c r="D245" s="4">
        <v>1</v>
      </c>
      <c r="E245" s="5" t="s">
        <v>181</v>
      </c>
      <c r="F245" s="4" t="s">
        <v>346</v>
      </c>
      <c r="G245" s="4" t="s">
        <v>20</v>
      </c>
      <c r="H245" s="4" t="s">
        <v>674</v>
      </c>
      <c r="I245" s="4" t="s">
        <v>14</v>
      </c>
      <c r="J245" s="4" t="s">
        <v>675</v>
      </c>
      <c r="K245" s="4" t="s">
        <v>53</v>
      </c>
      <c r="M245">
        <f t="shared" si="8"/>
        <v>25877.896199999999</v>
      </c>
    </row>
    <row r="246" spans="1:25" ht="14" x14ac:dyDescent="0.2">
      <c r="A246" s="4" t="s">
        <v>676</v>
      </c>
      <c r="B246" s="5">
        <v>10247.771137500002</v>
      </c>
      <c r="C246" s="5">
        <f t="shared" si="7"/>
        <v>10247.771137500002</v>
      </c>
      <c r="D246" s="4">
        <v>1</v>
      </c>
      <c r="E246" s="5" t="s">
        <v>124</v>
      </c>
      <c r="F246" s="4" t="s">
        <v>346</v>
      </c>
      <c r="G246" s="4" t="s">
        <v>20</v>
      </c>
      <c r="H246" s="4" t="s">
        <v>669</v>
      </c>
      <c r="I246" s="4" t="s">
        <v>14</v>
      </c>
      <c r="J246" s="4" t="s">
        <v>677</v>
      </c>
      <c r="K246" s="4" t="s">
        <v>53</v>
      </c>
      <c r="M246">
        <f t="shared" si="8"/>
        <v>9222.9940237500014</v>
      </c>
    </row>
    <row r="247" spans="1:25" ht="14" x14ac:dyDescent="0.2">
      <c r="A247" s="4" t="s">
        <v>678</v>
      </c>
      <c r="B247" s="5">
        <v>5781.7041750000008</v>
      </c>
      <c r="C247" s="5">
        <f t="shared" si="7"/>
        <v>5781.7041750000008</v>
      </c>
      <c r="D247" s="4">
        <v>1</v>
      </c>
      <c r="E247" s="5" t="s">
        <v>124</v>
      </c>
      <c r="F247" s="4" t="s">
        <v>346</v>
      </c>
      <c r="G247" s="4" t="s">
        <v>20</v>
      </c>
      <c r="H247" s="4" t="s">
        <v>669</v>
      </c>
      <c r="I247" s="4" t="s">
        <v>14</v>
      </c>
      <c r="J247" s="4" t="s">
        <v>679</v>
      </c>
      <c r="K247" s="4" t="s">
        <v>53</v>
      </c>
      <c r="M247">
        <f t="shared" si="8"/>
        <v>5203.5337575000003</v>
      </c>
    </row>
    <row r="248" spans="1:25" ht="14" x14ac:dyDescent="0.2">
      <c r="A248" s="4" t="s">
        <v>680</v>
      </c>
      <c r="B248" s="5">
        <v>9584.4060000000009</v>
      </c>
      <c r="C248" s="5">
        <f t="shared" si="7"/>
        <v>684.60042857142867</v>
      </c>
      <c r="D248" s="4">
        <v>14</v>
      </c>
      <c r="E248" s="5" t="s">
        <v>10</v>
      </c>
      <c r="F248" s="4" t="s">
        <v>355</v>
      </c>
      <c r="G248" s="4" t="s">
        <v>20</v>
      </c>
      <c r="H248" s="4" t="s">
        <v>681</v>
      </c>
      <c r="I248" s="4" t="s">
        <v>14</v>
      </c>
      <c r="J248" s="4" t="s">
        <v>682</v>
      </c>
      <c r="K248" s="4" t="s">
        <v>53</v>
      </c>
      <c r="M248">
        <f t="shared" si="8"/>
        <v>616.1403857142858</v>
      </c>
    </row>
    <row r="249" spans="1:25" ht="14" x14ac:dyDescent="0.2">
      <c r="A249" s="4" t="s">
        <v>683</v>
      </c>
      <c r="B249" s="5">
        <v>12202.368750000001</v>
      </c>
      <c r="C249" s="5">
        <f t="shared" si="7"/>
        <v>12202.368750000001</v>
      </c>
      <c r="D249" s="4">
        <v>1</v>
      </c>
      <c r="E249" s="5" t="s">
        <v>59</v>
      </c>
      <c r="F249" s="4" t="s">
        <v>346</v>
      </c>
      <c r="G249" s="4" t="s">
        <v>20</v>
      </c>
      <c r="H249" s="4" t="s">
        <v>669</v>
      </c>
      <c r="I249" s="4" t="s">
        <v>14</v>
      </c>
      <c r="J249" s="4" t="s">
        <v>684</v>
      </c>
      <c r="K249" s="4" t="s">
        <v>53</v>
      </c>
      <c r="M249">
        <f t="shared" si="8"/>
        <v>10982.131875000001</v>
      </c>
    </row>
    <row r="250" spans="1:25" ht="14" x14ac:dyDescent="0.2">
      <c r="A250" s="4" t="s">
        <v>685</v>
      </c>
      <c r="B250" s="5">
        <v>17748.900000000001</v>
      </c>
      <c r="C250" s="5">
        <f t="shared" si="7"/>
        <v>17748.900000000001</v>
      </c>
      <c r="D250" s="4">
        <v>1</v>
      </c>
      <c r="E250" s="5" t="s">
        <v>181</v>
      </c>
      <c r="F250" s="4" t="s">
        <v>368</v>
      </c>
      <c r="G250" s="4" t="s">
        <v>20</v>
      </c>
      <c r="H250" s="4" t="s">
        <v>669</v>
      </c>
      <c r="I250" s="4" t="s">
        <v>14</v>
      </c>
      <c r="J250" s="4" t="s">
        <v>686</v>
      </c>
      <c r="K250" s="4" t="s">
        <v>53</v>
      </c>
      <c r="M250">
        <f t="shared" si="8"/>
        <v>15974.010000000002</v>
      </c>
    </row>
    <row r="251" spans="1:25" ht="14" x14ac:dyDescent="0.2">
      <c r="A251" s="4" t="s">
        <v>687</v>
      </c>
      <c r="B251" s="5">
        <v>19967.512500000001</v>
      </c>
      <c r="C251" s="5">
        <f t="shared" si="7"/>
        <v>1426.2508928571428</v>
      </c>
      <c r="D251" s="4">
        <v>14</v>
      </c>
      <c r="E251" s="5" t="s">
        <v>10</v>
      </c>
      <c r="F251" s="4" t="s">
        <v>346</v>
      </c>
      <c r="G251" s="4" t="s">
        <v>20</v>
      </c>
      <c r="H251" s="4" t="s">
        <v>669</v>
      </c>
      <c r="I251" s="4" t="s">
        <v>14</v>
      </c>
      <c r="J251" s="4" t="s">
        <v>293</v>
      </c>
      <c r="K251" s="4" t="s">
        <v>53</v>
      </c>
      <c r="M251">
        <f t="shared" si="8"/>
        <v>1283.6258035714286</v>
      </c>
    </row>
    <row r="252" spans="1:25" ht="14" x14ac:dyDescent="0.2">
      <c r="A252" s="4" t="s">
        <v>688</v>
      </c>
      <c r="B252" s="5">
        <v>18636.345000000001</v>
      </c>
      <c r="C252" s="5">
        <f t="shared" si="7"/>
        <v>1331.1675</v>
      </c>
      <c r="D252" s="4">
        <v>14</v>
      </c>
      <c r="E252" s="5" t="s">
        <v>10</v>
      </c>
      <c r="F252" s="4" t="s">
        <v>350</v>
      </c>
      <c r="G252" s="4" t="s">
        <v>20</v>
      </c>
      <c r="H252" s="4" t="s">
        <v>669</v>
      </c>
      <c r="I252" s="4" t="s">
        <v>14</v>
      </c>
      <c r="J252" s="4" t="s">
        <v>362</v>
      </c>
      <c r="K252" s="4" t="s">
        <v>53</v>
      </c>
      <c r="M252">
        <f t="shared" si="8"/>
        <v>1198.0507500000001</v>
      </c>
    </row>
    <row r="253" spans="1:25" ht="14" x14ac:dyDescent="0.2">
      <c r="A253" s="4" t="s">
        <v>689</v>
      </c>
      <c r="B253" s="5">
        <v>44372.250000000007</v>
      </c>
      <c r="C253" s="5">
        <f t="shared" si="7"/>
        <v>44372.250000000007</v>
      </c>
      <c r="D253" s="4">
        <v>1</v>
      </c>
      <c r="E253" s="5" t="s">
        <v>690</v>
      </c>
      <c r="F253" s="4" t="s">
        <v>691</v>
      </c>
      <c r="G253" s="4" t="s">
        <v>20</v>
      </c>
      <c r="H253" s="4" t="s">
        <v>689</v>
      </c>
      <c r="I253" s="4" t="s">
        <v>14</v>
      </c>
      <c r="J253" s="4" t="s">
        <v>692</v>
      </c>
      <c r="K253" s="4" t="s">
        <v>179</v>
      </c>
      <c r="M253">
        <f t="shared" si="8"/>
        <v>39935.025000000009</v>
      </c>
    </row>
    <row r="254" spans="1:25" ht="14" x14ac:dyDescent="0.2">
      <c r="A254" s="4" t="s">
        <v>693</v>
      </c>
      <c r="B254" s="5">
        <v>3771.6412500000001</v>
      </c>
      <c r="C254" s="5">
        <f t="shared" si="7"/>
        <v>3771.6412500000001</v>
      </c>
      <c r="D254" s="4">
        <v>1</v>
      </c>
      <c r="E254" s="5" t="s">
        <v>124</v>
      </c>
      <c r="F254" s="4" t="s">
        <v>694</v>
      </c>
      <c r="G254" s="4" t="s">
        <v>12</v>
      </c>
      <c r="H254" s="4" t="s">
        <v>695</v>
      </c>
      <c r="I254" s="4" t="s">
        <v>22</v>
      </c>
      <c r="J254" s="4" t="s">
        <v>696</v>
      </c>
      <c r="K254" s="4" t="s">
        <v>53</v>
      </c>
      <c r="M254">
        <f t="shared" si="8"/>
        <v>3394.4771250000003</v>
      </c>
    </row>
    <row r="255" spans="1:25" ht="14" x14ac:dyDescent="0.2">
      <c r="A255" s="4" t="s">
        <v>697</v>
      </c>
      <c r="B255" s="5">
        <v>1431.0050625000001</v>
      </c>
      <c r="C255" s="5">
        <f t="shared" si="7"/>
        <v>1431.0050625000001</v>
      </c>
      <c r="D255" s="4">
        <v>1</v>
      </c>
      <c r="E255" s="5" t="s">
        <v>59</v>
      </c>
      <c r="F255" s="4" t="s">
        <v>258</v>
      </c>
      <c r="G255" s="4" t="s">
        <v>20</v>
      </c>
      <c r="H255" s="4" t="s">
        <v>698</v>
      </c>
      <c r="I255" s="4" t="s">
        <v>22</v>
      </c>
      <c r="J255" s="4" t="s">
        <v>699</v>
      </c>
      <c r="K255" s="4" t="s">
        <v>87</v>
      </c>
      <c r="M255">
        <f t="shared" si="8"/>
        <v>1287.90455625</v>
      </c>
    </row>
    <row r="256" spans="1:25" ht="14" x14ac:dyDescent="0.2">
      <c r="A256" s="7" t="s">
        <v>5195</v>
      </c>
      <c r="B256" s="10">
        <v>31948.020000000004</v>
      </c>
      <c r="C256" s="5">
        <f t="shared" si="7"/>
        <v>31948.020000000004</v>
      </c>
      <c r="D256" s="9">
        <v>1</v>
      </c>
      <c r="E256" s="10" t="s">
        <v>5196</v>
      </c>
      <c r="F256" s="7" t="s">
        <v>5197</v>
      </c>
      <c r="G256" s="7" t="s">
        <v>12</v>
      </c>
      <c r="H256" s="7" t="s">
        <v>5198</v>
      </c>
      <c r="I256" s="7" t="s">
        <v>22</v>
      </c>
      <c r="J256" s="12">
        <v>0.95</v>
      </c>
      <c r="K256" s="7" t="s">
        <v>23</v>
      </c>
      <c r="L256" s="4"/>
      <c r="M256">
        <f t="shared" si="8"/>
        <v>28753.218000000004</v>
      </c>
      <c r="N256" s="3"/>
      <c r="O256" s="3"/>
      <c r="P256" s="3"/>
      <c r="Q256" s="2"/>
      <c r="R256" s="2"/>
      <c r="S256" s="2"/>
      <c r="T256" s="2"/>
      <c r="U256" s="2"/>
      <c r="V256" s="2"/>
      <c r="W256" s="2"/>
      <c r="X256" s="2"/>
      <c r="Y256" s="2"/>
    </row>
    <row r="257" spans="1:13" ht="14" x14ac:dyDescent="0.2">
      <c r="A257" s="4" t="s">
        <v>700</v>
      </c>
      <c r="B257" s="5">
        <v>4799.9681437500003</v>
      </c>
      <c r="C257" s="5">
        <f t="shared" si="7"/>
        <v>4799.9681437500003</v>
      </c>
      <c r="D257" s="4">
        <v>1</v>
      </c>
      <c r="E257" s="5" t="s">
        <v>701</v>
      </c>
      <c r="F257" s="4" t="s">
        <v>702</v>
      </c>
      <c r="G257" s="4" t="s">
        <v>12</v>
      </c>
      <c r="H257" s="4" t="s">
        <v>700</v>
      </c>
      <c r="I257" s="4" t="s">
        <v>22</v>
      </c>
      <c r="J257" s="4" t="s">
        <v>703</v>
      </c>
      <c r="K257" s="4" t="s">
        <v>23</v>
      </c>
      <c r="M257">
        <f t="shared" si="8"/>
        <v>4319.9713293750001</v>
      </c>
    </row>
    <row r="258" spans="1:13" ht="14" x14ac:dyDescent="0.2">
      <c r="A258" s="4" t="s">
        <v>704</v>
      </c>
      <c r="B258" s="5">
        <v>29152.568250000004</v>
      </c>
      <c r="C258" s="5">
        <f t="shared" si="7"/>
        <v>971.75227500000017</v>
      </c>
      <c r="D258" s="4">
        <v>30</v>
      </c>
      <c r="E258" s="5" t="s">
        <v>10</v>
      </c>
      <c r="F258" s="4" t="s">
        <v>705</v>
      </c>
      <c r="G258" s="4" t="s">
        <v>12</v>
      </c>
      <c r="H258" s="4" t="s">
        <v>706</v>
      </c>
      <c r="I258" s="4" t="s">
        <v>22</v>
      </c>
      <c r="J258" s="4" t="s">
        <v>707</v>
      </c>
      <c r="K258" s="4" t="s">
        <v>68</v>
      </c>
      <c r="M258">
        <f t="shared" si="8"/>
        <v>874.57704750000016</v>
      </c>
    </row>
    <row r="259" spans="1:13" ht="14" x14ac:dyDescent="0.2">
      <c r="A259" s="4" t="s">
        <v>708</v>
      </c>
      <c r="B259" s="5">
        <v>1988.9861062500001</v>
      </c>
      <c r="C259" s="5">
        <f t="shared" ref="C259:C322" si="9">(B259/D259)</f>
        <v>198.898610625</v>
      </c>
      <c r="D259" s="4">
        <v>10</v>
      </c>
      <c r="E259" s="5" t="s">
        <v>10</v>
      </c>
      <c r="F259" s="4" t="s">
        <v>709</v>
      </c>
      <c r="G259" s="4" t="s">
        <v>20</v>
      </c>
      <c r="H259" s="4" t="s">
        <v>710</v>
      </c>
      <c r="I259" s="4" t="s">
        <v>14</v>
      </c>
      <c r="J259" s="4" t="s">
        <v>15</v>
      </c>
      <c r="K259" s="4" t="s">
        <v>179</v>
      </c>
      <c r="M259">
        <f t="shared" si="8"/>
        <v>179.00874956249999</v>
      </c>
    </row>
    <row r="260" spans="1:13" ht="14" x14ac:dyDescent="0.2">
      <c r="A260" s="4" t="s">
        <v>711</v>
      </c>
      <c r="B260" s="5">
        <v>1175.8646250000002</v>
      </c>
      <c r="C260" s="5">
        <f t="shared" si="9"/>
        <v>1175.8646250000002</v>
      </c>
      <c r="D260" s="4">
        <v>1</v>
      </c>
      <c r="E260" s="5" t="s">
        <v>701</v>
      </c>
      <c r="F260" s="4" t="s">
        <v>581</v>
      </c>
      <c r="G260" s="4" t="s">
        <v>20</v>
      </c>
      <c r="H260" s="4" t="s">
        <v>711</v>
      </c>
      <c r="I260" s="4" t="s">
        <v>22</v>
      </c>
      <c r="J260" s="4" t="s">
        <v>712</v>
      </c>
      <c r="K260" s="4" t="s">
        <v>34</v>
      </c>
      <c r="M260">
        <f t="shared" si="8"/>
        <v>1058.2781625000002</v>
      </c>
    </row>
    <row r="261" spans="1:13" ht="14" x14ac:dyDescent="0.2">
      <c r="A261" s="4" t="s">
        <v>713</v>
      </c>
      <c r="B261" s="5">
        <v>24404.737500000003</v>
      </c>
      <c r="C261" s="5">
        <f t="shared" si="9"/>
        <v>435.79888392857146</v>
      </c>
      <c r="D261" s="4">
        <v>56</v>
      </c>
      <c r="E261" s="5" t="s">
        <v>10</v>
      </c>
      <c r="F261" s="4" t="s">
        <v>714</v>
      </c>
      <c r="G261" s="4" t="s">
        <v>12</v>
      </c>
      <c r="H261" s="4" t="s">
        <v>714</v>
      </c>
      <c r="I261" s="4" t="s">
        <v>22</v>
      </c>
      <c r="J261" s="4" t="s">
        <v>78</v>
      </c>
      <c r="K261" s="4" t="s">
        <v>34</v>
      </c>
      <c r="M261">
        <f t="shared" si="8"/>
        <v>392.21899553571433</v>
      </c>
    </row>
    <row r="262" spans="1:13" ht="14" x14ac:dyDescent="0.2">
      <c r="A262" s="4" t="s">
        <v>715</v>
      </c>
      <c r="B262" s="5">
        <v>1996.7512500000003</v>
      </c>
      <c r="C262" s="5">
        <f t="shared" si="9"/>
        <v>665.58375000000012</v>
      </c>
      <c r="D262" s="4">
        <v>3</v>
      </c>
      <c r="E262" s="5" t="s">
        <v>30</v>
      </c>
      <c r="F262" s="4" t="s">
        <v>716</v>
      </c>
      <c r="G262" s="4" t="s">
        <v>20</v>
      </c>
      <c r="H262" s="4" t="s">
        <v>717</v>
      </c>
      <c r="I262" s="4" t="s">
        <v>22</v>
      </c>
      <c r="J262" s="4" t="s">
        <v>89</v>
      </c>
      <c r="K262" s="4" t="s">
        <v>53</v>
      </c>
      <c r="M262">
        <f t="shared" si="8"/>
        <v>599.02537500000017</v>
      </c>
    </row>
    <row r="263" spans="1:13" ht="14" x14ac:dyDescent="0.2">
      <c r="A263" s="4" t="s">
        <v>718</v>
      </c>
      <c r="B263" s="5">
        <v>7987.005000000001</v>
      </c>
      <c r="C263" s="5">
        <f t="shared" si="9"/>
        <v>1331.1675000000002</v>
      </c>
      <c r="D263" s="4">
        <v>6</v>
      </c>
      <c r="E263" s="5" t="s">
        <v>30</v>
      </c>
      <c r="F263" s="4" t="s">
        <v>719</v>
      </c>
      <c r="G263" s="4" t="s">
        <v>20</v>
      </c>
      <c r="H263" s="4" t="s">
        <v>720</v>
      </c>
      <c r="I263" s="4" t="s">
        <v>14</v>
      </c>
      <c r="J263" s="4" t="s">
        <v>207</v>
      </c>
      <c r="K263" s="4" t="s">
        <v>53</v>
      </c>
      <c r="M263">
        <f t="shared" si="8"/>
        <v>1198.0507500000003</v>
      </c>
    </row>
    <row r="264" spans="1:13" ht="14" x14ac:dyDescent="0.2">
      <c r="A264" s="4" t="s">
        <v>721</v>
      </c>
      <c r="B264" s="5">
        <v>6101.1843750000007</v>
      </c>
      <c r="C264" s="5">
        <f t="shared" si="9"/>
        <v>2033.7281250000003</v>
      </c>
      <c r="D264" s="4">
        <v>3</v>
      </c>
      <c r="E264" s="5" t="s">
        <v>30</v>
      </c>
      <c r="F264" s="4" t="s">
        <v>719</v>
      </c>
      <c r="G264" s="4" t="s">
        <v>20</v>
      </c>
      <c r="H264" s="4" t="s">
        <v>722</v>
      </c>
      <c r="I264" s="4" t="s">
        <v>22</v>
      </c>
      <c r="J264" s="4" t="s">
        <v>207</v>
      </c>
      <c r="K264" s="4" t="s">
        <v>53</v>
      </c>
      <c r="M264">
        <f t="shared" si="8"/>
        <v>1830.3553125000003</v>
      </c>
    </row>
    <row r="265" spans="1:13" ht="14" x14ac:dyDescent="0.2">
      <c r="A265" s="4" t="s">
        <v>723</v>
      </c>
      <c r="B265" s="5">
        <v>3106.0575000000003</v>
      </c>
      <c r="C265" s="5">
        <f t="shared" si="9"/>
        <v>517.6762500000001</v>
      </c>
      <c r="D265" s="4">
        <v>6</v>
      </c>
      <c r="E265" s="5" t="s">
        <v>30</v>
      </c>
      <c r="F265" s="4" t="s">
        <v>719</v>
      </c>
      <c r="G265" s="4" t="s">
        <v>20</v>
      </c>
      <c r="H265" s="4" t="s">
        <v>717</v>
      </c>
      <c r="I265" s="4" t="s">
        <v>22</v>
      </c>
      <c r="J265" s="4" t="s">
        <v>207</v>
      </c>
      <c r="K265" s="4" t="s">
        <v>53</v>
      </c>
      <c r="M265">
        <f t="shared" si="8"/>
        <v>465.90862500000009</v>
      </c>
    </row>
    <row r="266" spans="1:13" ht="14" x14ac:dyDescent="0.2">
      <c r="A266" s="4" t="s">
        <v>724</v>
      </c>
      <c r="B266" s="5">
        <v>7210.4906250000004</v>
      </c>
      <c r="C266" s="5">
        <f t="shared" si="9"/>
        <v>7210.4906250000004</v>
      </c>
      <c r="D266" s="4">
        <v>1</v>
      </c>
      <c r="E266" s="5" t="s">
        <v>181</v>
      </c>
      <c r="F266" s="4" t="s">
        <v>719</v>
      </c>
      <c r="G266" s="4" t="s">
        <v>20</v>
      </c>
      <c r="H266" s="4" t="s">
        <v>725</v>
      </c>
      <c r="I266" s="4" t="s">
        <v>22</v>
      </c>
      <c r="J266" s="4" t="s">
        <v>726</v>
      </c>
      <c r="K266" s="4" t="s">
        <v>53</v>
      </c>
      <c r="M266">
        <f t="shared" si="8"/>
        <v>6489.4415625000001</v>
      </c>
    </row>
    <row r="267" spans="1:13" ht="14" x14ac:dyDescent="0.2">
      <c r="A267" s="4" t="s">
        <v>727</v>
      </c>
      <c r="B267" s="5">
        <v>30505.921875000004</v>
      </c>
      <c r="C267" s="5">
        <f t="shared" si="9"/>
        <v>30505.921875000004</v>
      </c>
      <c r="D267" s="4">
        <v>1</v>
      </c>
      <c r="E267" s="5" t="s">
        <v>175</v>
      </c>
      <c r="F267" s="4" t="s">
        <v>728</v>
      </c>
      <c r="G267" s="4" t="s">
        <v>12</v>
      </c>
      <c r="H267" s="4" t="s">
        <v>729</v>
      </c>
      <c r="I267" s="4" t="s">
        <v>22</v>
      </c>
      <c r="J267" s="6">
        <v>0.01</v>
      </c>
      <c r="K267" s="4" t="s">
        <v>244</v>
      </c>
      <c r="M267">
        <f t="shared" si="8"/>
        <v>27455.329687500001</v>
      </c>
    </row>
    <row r="268" spans="1:13" ht="14" x14ac:dyDescent="0.2">
      <c r="A268" s="4" t="s">
        <v>730</v>
      </c>
      <c r="B268" s="5">
        <v>6212.1150000000007</v>
      </c>
      <c r="C268" s="5">
        <f t="shared" si="9"/>
        <v>207.07050000000001</v>
      </c>
      <c r="D268" s="4">
        <v>30</v>
      </c>
      <c r="E268" s="5" t="s">
        <v>10</v>
      </c>
      <c r="F268" s="4" t="s">
        <v>731</v>
      </c>
      <c r="G268" s="4" t="s">
        <v>12</v>
      </c>
      <c r="H268" s="4" t="s">
        <v>732</v>
      </c>
      <c r="I268" s="4" t="s">
        <v>22</v>
      </c>
      <c r="J268" s="4" t="s">
        <v>146</v>
      </c>
      <c r="K268" s="4" t="s">
        <v>90</v>
      </c>
      <c r="M268">
        <f t="shared" si="8"/>
        <v>186.36345</v>
      </c>
    </row>
    <row r="269" spans="1:13" ht="14" x14ac:dyDescent="0.2">
      <c r="A269" s="4" t="s">
        <v>733</v>
      </c>
      <c r="B269" s="5">
        <v>5324.67</v>
      </c>
      <c r="C269" s="5">
        <f t="shared" si="9"/>
        <v>177.489</v>
      </c>
      <c r="D269" s="4">
        <v>30</v>
      </c>
      <c r="E269" s="5" t="s">
        <v>10</v>
      </c>
      <c r="F269" s="4" t="s">
        <v>731</v>
      </c>
      <c r="G269" s="4" t="s">
        <v>12</v>
      </c>
      <c r="H269" s="4" t="s">
        <v>732</v>
      </c>
      <c r="I269" s="4" t="s">
        <v>22</v>
      </c>
      <c r="J269" s="4" t="s">
        <v>603</v>
      </c>
      <c r="K269" s="4" t="s">
        <v>90</v>
      </c>
      <c r="M269">
        <f t="shared" si="8"/>
        <v>159.74010000000001</v>
      </c>
    </row>
    <row r="270" spans="1:13" ht="14" x14ac:dyDescent="0.2">
      <c r="A270" s="4" t="s">
        <v>734</v>
      </c>
      <c r="B270" s="5">
        <v>4991.8781250000002</v>
      </c>
      <c r="C270" s="5">
        <f t="shared" si="9"/>
        <v>166.3959375</v>
      </c>
      <c r="D270" s="4">
        <v>30</v>
      </c>
      <c r="E270" s="5" t="s">
        <v>10</v>
      </c>
      <c r="F270" s="4" t="s">
        <v>731</v>
      </c>
      <c r="G270" s="4" t="s">
        <v>12</v>
      </c>
      <c r="H270" s="4" t="s">
        <v>732</v>
      </c>
      <c r="I270" s="4" t="s">
        <v>22</v>
      </c>
      <c r="J270" s="4" t="s">
        <v>200</v>
      </c>
      <c r="K270" s="4" t="s">
        <v>90</v>
      </c>
      <c r="M270">
        <f t="shared" si="8"/>
        <v>149.75634375000001</v>
      </c>
    </row>
    <row r="271" spans="1:13" ht="14" x14ac:dyDescent="0.2">
      <c r="A271" s="4" t="s">
        <v>735</v>
      </c>
      <c r="B271" s="5">
        <v>3771.6412500000001</v>
      </c>
      <c r="C271" s="5">
        <f t="shared" si="9"/>
        <v>3771.6412500000001</v>
      </c>
      <c r="D271" s="4">
        <v>1</v>
      </c>
      <c r="E271" s="5" t="s">
        <v>701</v>
      </c>
      <c r="F271" s="4" t="s">
        <v>736</v>
      </c>
      <c r="G271" s="4" t="s">
        <v>20</v>
      </c>
      <c r="H271" s="4" t="s">
        <v>735</v>
      </c>
      <c r="I271" s="4" t="s">
        <v>22</v>
      </c>
      <c r="J271" s="4" t="s">
        <v>737</v>
      </c>
      <c r="K271" s="4" t="s">
        <v>406</v>
      </c>
      <c r="M271">
        <f t="shared" si="8"/>
        <v>3394.4771250000003</v>
      </c>
    </row>
    <row r="272" spans="1:13" ht="14" x14ac:dyDescent="0.2">
      <c r="A272" s="7" t="s">
        <v>5199</v>
      </c>
      <c r="B272" s="10">
        <v>1386.6328125000002</v>
      </c>
      <c r="C272" s="5">
        <f t="shared" si="9"/>
        <v>1386.6328125000002</v>
      </c>
      <c r="D272" s="9">
        <v>1</v>
      </c>
      <c r="E272" s="10" t="s">
        <v>3219</v>
      </c>
      <c r="F272" s="7" t="s">
        <v>5200</v>
      </c>
      <c r="H272" s="7" t="s">
        <v>5200</v>
      </c>
      <c r="J272" s="7" t="s">
        <v>25</v>
      </c>
      <c r="K272" s="7" t="s">
        <v>87</v>
      </c>
      <c r="M272">
        <f t="shared" si="8"/>
        <v>1247.9695312500003</v>
      </c>
    </row>
    <row r="273" spans="1:25" ht="14" x14ac:dyDescent="0.2">
      <c r="A273" s="4" t="s">
        <v>738</v>
      </c>
      <c r="B273" s="5">
        <v>5878.2138187500013</v>
      </c>
      <c r="C273" s="5">
        <f t="shared" si="9"/>
        <v>195.94046062500004</v>
      </c>
      <c r="D273" s="4">
        <v>30</v>
      </c>
      <c r="E273" s="5" t="s">
        <v>10</v>
      </c>
      <c r="F273" s="4" t="s">
        <v>739</v>
      </c>
      <c r="G273" s="4" t="s">
        <v>12</v>
      </c>
      <c r="H273" s="4" t="s">
        <v>739</v>
      </c>
      <c r="I273" s="4" t="s">
        <v>22</v>
      </c>
      <c r="J273" s="4" t="s">
        <v>146</v>
      </c>
      <c r="K273" s="4" t="s">
        <v>87</v>
      </c>
      <c r="M273">
        <f t="shared" si="8"/>
        <v>176.34641456250003</v>
      </c>
    </row>
    <row r="274" spans="1:25" ht="14" x14ac:dyDescent="0.2">
      <c r="A274" s="4" t="s">
        <v>740</v>
      </c>
      <c r="B274" s="5">
        <v>6877.6987500000005</v>
      </c>
      <c r="C274" s="5">
        <f t="shared" si="9"/>
        <v>6877.6987500000005</v>
      </c>
      <c r="D274" s="4">
        <v>1</v>
      </c>
      <c r="E274" s="5" t="s">
        <v>55</v>
      </c>
      <c r="F274" s="4" t="s">
        <v>741</v>
      </c>
      <c r="G274" s="4" t="s">
        <v>20</v>
      </c>
      <c r="H274" s="4" t="s">
        <v>742</v>
      </c>
      <c r="I274" s="4" t="s">
        <v>14</v>
      </c>
      <c r="J274" s="6">
        <v>0.02</v>
      </c>
      <c r="K274" s="4" t="s">
        <v>103</v>
      </c>
      <c r="M274">
        <f t="shared" si="8"/>
        <v>6189.9288750000005</v>
      </c>
    </row>
    <row r="275" spans="1:25" ht="14" x14ac:dyDescent="0.2">
      <c r="A275" s="4" t="s">
        <v>743</v>
      </c>
      <c r="B275" s="5">
        <v>4497.1275375000005</v>
      </c>
      <c r="C275" s="5">
        <f t="shared" si="9"/>
        <v>4497.1275375000005</v>
      </c>
      <c r="D275" s="4">
        <v>1</v>
      </c>
      <c r="E275" s="5" t="s">
        <v>18</v>
      </c>
      <c r="F275" s="4" t="s">
        <v>741</v>
      </c>
      <c r="G275" s="4" t="s">
        <v>20</v>
      </c>
      <c r="H275" s="4" t="s">
        <v>744</v>
      </c>
      <c r="I275" s="4" t="s">
        <v>14</v>
      </c>
      <c r="J275" s="6">
        <v>0.02</v>
      </c>
      <c r="K275" s="4" t="s">
        <v>53</v>
      </c>
      <c r="M275">
        <f t="shared" si="8"/>
        <v>4047.4147837500004</v>
      </c>
    </row>
    <row r="276" spans="1:25" ht="14" x14ac:dyDescent="0.2">
      <c r="A276" s="4" t="s">
        <v>745</v>
      </c>
      <c r="B276" s="5">
        <v>13311.675000000001</v>
      </c>
      <c r="C276" s="5">
        <f t="shared" si="9"/>
        <v>443.72250000000003</v>
      </c>
      <c r="D276" s="4">
        <v>30</v>
      </c>
      <c r="E276" s="5" t="s">
        <v>10</v>
      </c>
      <c r="F276" s="4" t="s">
        <v>746</v>
      </c>
      <c r="G276" s="4" t="s">
        <v>12</v>
      </c>
      <c r="H276" s="4" t="s">
        <v>747</v>
      </c>
      <c r="I276" s="4" t="s">
        <v>14</v>
      </c>
      <c r="J276" s="4" t="s">
        <v>148</v>
      </c>
      <c r="K276" s="4" t="s">
        <v>748</v>
      </c>
      <c r="M276">
        <f t="shared" si="8"/>
        <v>399.35025000000002</v>
      </c>
    </row>
    <row r="277" spans="1:25" ht="14" x14ac:dyDescent="0.2">
      <c r="A277" s="4" t="s">
        <v>749</v>
      </c>
      <c r="B277" s="5">
        <v>37716.412500000006</v>
      </c>
      <c r="C277" s="5">
        <f t="shared" si="9"/>
        <v>37716.412500000006</v>
      </c>
      <c r="D277" s="4">
        <v>1</v>
      </c>
      <c r="E277" s="5" t="s">
        <v>750</v>
      </c>
      <c r="F277" s="4" t="s">
        <v>751</v>
      </c>
      <c r="G277" s="4" t="s">
        <v>12</v>
      </c>
      <c r="H277" s="4" t="s">
        <v>752</v>
      </c>
      <c r="I277" s="4" t="s">
        <v>14</v>
      </c>
      <c r="J277" s="4" t="s">
        <v>753</v>
      </c>
      <c r="K277" s="4" t="s">
        <v>74</v>
      </c>
      <c r="M277">
        <f t="shared" si="8"/>
        <v>33944.771250000005</v>
      </c>
    </row>
    <row r="278" spans="1:25" ht="14" x14ac:dyDescent="0.2">
      <c r="A278" s="4" t="s">
        <v>754</v>
      </c>
      <c r="B278" s="5">
        <v>3771.6412500000001</v>
      </c>
      <c r="C278" s="5">
        <f t="shared" si="9"/>
        <v>3771.6412500000001</v>
      </c>
      <c r="D278" s="4">
        <v>1</v>
      </c>
      <c r="E278" s="5" t="s">
        <v>59</v>
      </c>
      <c r="F278" s="4" t="s">
        <v>755</v>
      </c>
      <c r="G278" s="4" t="s">
        <v>20</v>
      </c>
      <c r="H278" s="4" t="s">
        <v>756</v>
      </c>
      <c r="I278" s="4" t="s">
        <v>22</v>
      </c>
      <c r="J278" s="4" t="s">
        <v>757</v>
      </c>
      <c r="K278" s="4" t="s">
        <v>34</v>
      </c>
      <c r="M278">
        <f t="shared" si="8"/>
        <v>3394.4771250000003</v>
      </c>
    </row>
    <row r="279" spans="1:25" ht="14" x14ac:dyDescent="0.2">
      <c r="A279" s="4" t="s">
        <v>758</v>
      </c>
      <c r="B279" s="5">
        <v>1553.0287500000002</v>
      </c>
      <c r="C279" s="5">
        <f t="shared" si="9"/>
        <v>1553.0287500000002</v>
      </c>
      <c r="D279" s="4">
        <v>1</v>
      </c>
      <c r="E279" s="5" t="s">
        <v>59</v>
      </c>
      <c r="F279" s="4" t="s">
        <v>759</v>
      </c>
      <c r="G279" s="4" t="s">
        <v>20</v>
      </c>
      <c r="H279" s="4" t="s">
        <v>760</v>
      </c>
      <c r="I279" s="4" t="s">
        <v>22</v>
      </c>
      <c r="J279" s="4" t="s">
        <v>761</v>
      </c>
      <c r="K279" s="4" t="s">
        <v>34</v>
      </c>
      <c r="M279">
        <f t="shared" si="8"/>
        <v>1397.7258750000001</v>
      </c>
    </row>
    <row r="280" spans="1:25" ht="14" x14ac:dyDescent="0.2">
      <c r="A280" s="4" t="s">
        <v>762</v>
      </c>
      <c r="B280" s="5">
        <v>6212.1150000000007</v>
      </c>
      <c r="C280" s="5">
        <f t="shared" si="9"/>
        <v>6212.1150000000007</v>
      </c>
      <c r="D280" s="4">
        <v>1</v>
      </c>
      <c r="E280" s="5" t="s">
        <v>59</v>
      </c>
      <c r="F280" s="4" t="s">
        <v>763</v>
      </c>
      <c r="G280" s="4" t="s">
        <v>20</v>
      </c>
      <c r="H280" s="4" t="s">
        <v>764</v>
      </c>
      <c r="I280" s="4" t="s">
        <v>14</v>
      </c>
      <c r="K280" s="4" t="s">
        <v>118</v>
      </c>
      <c r="M280">
        <f t="shared" si="8"/>
        <v>5590.9035000000003</v>
      </c>
    </row>
    <row r="281" spans="1:25" ht="14" x14ac:dyDescent="0.2">
      <c r="A281" s="4" t="s">
        <v>765</v>
      </c>
      <c r="B281" s="5">
        <v>2846.4798375000005</v>
      </c>
      <c r="C281" s="5">
        <f t="shared" si="9"/>
        <v>101.65999419642858</v>
      </c>
      <c r="D281" s="4">
        <v>28</v>
      </c>
      <c r="E281" s="5" t="s">
        <v>10</v>
      </c>
      <c r="F281" s="4" t="s">
        <v>766</v>
      </c>
      <c r="G281" s="4" t="s">
        <v>12</v>
      </c>
      <c r="H281" s="4" t="s">
        <v>766</v>
      </c>
      <c r="I281" s="4" t="s">
        <v>22</v>
      </c>
      <c r="J281" s="4" t="s">
        <v>603</v>
      </c>
      <c r="K281" s="4" t="s">
        <v>312</v>
      </c>
      <c r="M281">
        <f t="shared" si="8"/>
        <v>91.493994776785726</v>
      </c>
    </row>
    <row r="282" spans="1:25" ht="14" x14ac:dyDescent="0.2">
      <c r="A282" s="4" t="s">
        <v>767</v>
      </c>
      <c r="B282" s="5">
        <v>4255.2987750000002</v>
      </c>
      <c r="C282" s="5">
        <f t="shared" si="9"/>
        <v>151.97495625000002</v>
      </c>
      <c r="D282" s="4">
        <v>28</v>
      </c>
      <c r="E282" s="5" t="s">
        <v>10</v>
      </c>
      <c r="F282" s="4" t="s">
        <v>766</v>
      </c>
      <c r="G282" s="4" t="s">
        <v>12</v>
      </c>
      <c r="H282" s="4" t="s">
        <v>766</v>
      </c>
      <c r="I282" s="4" t="s">
        <v>22</v>
      </c>
      <c r="J282" s="4" t="s">
        <v>200</v>
      </c>
      <c r="K282" s="4" t="s">
        <v>312</v>
      </c>
      <c r="M282">
        <f t="shared" si="8"/>
        <v>136.777460625</v>
      </c>
    </row>
    <row r="283" spans="1:25" ht="14" x14ac:dyDescent="0.2">
      <c r="A283" s="4" t="s">
        <v>768</v>
      </c>
      <c r="B283" s="5">
        <v>13866.328125000002</v>
      </c>
      <c r="C283" s="5">
        <f t="shared" si="9"/>
        <v>13866.328125000002</v>
      </c>
      <c r="D283" s="4">
        <v>1</v>
      </c>
      <c r="E283" s="5" t="s">
        <v>59</v>
      </c>
      <c r="F283" s="4" t="s">
        <v>769</v>
      </c>
      <c r="G283" s="4" t="s">
        <v>20</v>
      </c>
      <c r="H283" s="4" t="s">
        <v>768</v>
      </c>
      <c r="I283" s="4" t="s">
        <v>14</v>
      </c>
      <c r="J283" s="4" t="s">
        <v>770</v>
      </c>
      <c r="K283" s="4" t="s">
        <v>74</v>
      </c>
      <c r="M283">
        <f t="shared" si="8"/>
        <v>12479.695312500002</v>
      </c>
    </row>
    <row r="284" spans="1:25" ht="14" x14ac:dyDescent="0.2">
      <c r="A284" s="4" t="s">
        <v>771</v>
      </c>
      <c r="B284" s="5">
        <v>9429.1031250000015</v>
      </c>
      <c r="C284" s="5">
        <f t="shared" si="9"/>
        <v>9429.1031250000015</v>
      </c>
      <c r="D284" s="4">
        <v>1</v>
      </c>
      <c r="E284" s="5" t="s">
        <v>59</v>
      </c>
      <c r="F284" s="4" t="s">
        <v>769</v>
      </c>
      <c r="G284" s="4" t="s">
        <v>20</v>
      </c>
      <c r="H284" s="4" t="s">
        <v>771</v>
      </c>
      <c r="I284" s="4" t="s">
        <v>14</v>
      </c>
      <c r="J284" s="4" t="s">
        <v>770</v>
      </c>
      <c r="K284" s="4" t="s">
        <v>74</v>
      </c>
      <c r="M284">
        <f t="shared" si="8"/>
        <v>8486.1928125000013</v>
      </c>
    </row>
    <row r="285" spans="1:25" ht="14" x14ac:dyDescent="0.2">
      <c r="A285" s="4" t="s">
        <v>772</v>
      </c>
      <c r="B285" s="5">
        <v>5657.4618750000009</v>
      </c>
      <c r="C285" s="5">
        <f t="shared" si="9"/>
        <v>188.58206250000003</v>
      </c>
      <c r="D285" s="4">
        <v>30</v>
      </c>
      <c r="E285" s="5" t="s">
        <v>10</v>
      </c>
      <c r="F285" s="4" t="s">
        <v>773</v>
      </c>
      <c r="G285" s="4" t="s">
        <v>12</v>
      </c>
      <c r="H285" s="4" t="s">
        <v>524</v>
      </c>
      <c r="I285" s="4" t="s">
        <v>22</v>
      </c>
      <c r="J285" s="4" t="s">
        <v>200</v>
      </c>
      <c r="K285" s="4" t="s">
        <v>87</v>
      </c>
      <c r="M285">
        <f t="shared" ref="M285:M348" si="10">C285-(C285* 10%)</f>
        <v>169.72385625000004</v>
      </c>
    </row>
    <row r="286" spans="1:25" ht="14" x14ac:dyDescent="0.2">
      <c r="A286" s="7" t="s">
        <v>5201</v>
      </c>
      <c r="B286" s="10">
        <v>10871.20125</v>
      </c>
      <c r="C286" s="5">
        <f t="shared" si="9"/>
        <v>10871.20125</v>
      </c>
      <c r="D286" s="9">
        <v>1</v>
      </c>
      <c r="E286" s="10" t="s">
        <v>5176</v>
      </c>
      <c r="F286" s="7" t="s">
        <v>5202</v>
      </c>
      <c r="G286" s="7" t="s">
        <v>20</v>
      </c>
      <c r="H286" s="7" t="s">
        <v>5202</v>
      </c>
      <c r="I286" s="7" t="s">
        <v>22</v>
      </c>
      <c r="J286" s="12">
        <v>0.1</v>
      </c>
      <c r="K286" s="7" t="s">
        <v>2747</v>
      </c>
      <c r="L286" s="4"/>
      <c r="M286">
        <f t="shared" si="10"/>
        <v>9784.0811250000006</v>
      </c>
      <c r="N286" s="3"/>
      <c r="O286" s="3"/>
      <c r="P286" s="3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" x14ac:dyDescent="0.2">
      <c r="A287" s="4" t="s">
        <v>774</v>
      </c>
      <c r="B287" s="5">
        <v>3993.5025000000005</v>
      </c>
      <c r="C287" s="5">
        <f t="shared" si="9"/>
        <v>3993.5025000000005</v>
      </c>
      <c r="D287" s="4">
        <v>1</v>
      </c>
      <c r="E287" s="5" t="s">
        <v>175</v>
      </c>
      <c r="F287" s="4" t="s">
        <v>516</v>
      </c>
      <c r="G287" s="4" t="s">
        <v>12</v>
      </c>
      <c r="H287" s="4" t="s">
        <v>775</v>
      </c>
      <c r="I287" s="4" t="s">
        <v>22</v>
      </c>
      <c r="J287" s="4" t="s">
        <v>518</v>
      </c>
      <c r="K287" s="4" t="s">
        <v>53</v>
      </c>
      <c r="M287">
        <f t="shared" si="10"/>
        <v>3594.1522500000005</v>
      </c>
    </row>
    <row r="288" spans="1:25" ht="14" x14ac:dyDescent="0.2">
      <c r="A288" s="4" t="s">
        <v>776</v>
      </c>
      <c r="B288" s="5">
        <v>4659.0862500000003</v>
      </c>
      <c r="C288" s="5">
        <f t="shared" si="9"/>
        <v>4659.0862500000003</v>
      </c>
      <c r="D288" s="4">
        <v>1</v>
      </c>
      <c r="E288" s="5" t="s">
        <v>18</v>
      </c>
      <c r="F288" s="4" t="s">
        <v>516</v>
      </c>
      <c r="G288" s="4" t="s">
        <v>12</v>
      </c>
      <c r="H288" s="4" t="s">
        <v>775</v>
      </c>
      <c r="I288" s="4" t="s">
        <v>22</v>
      </c>
      <c r="J288" s="4" t="s">
        <v>518</v>
      </c>
      <c r="K288" s="4" t="s">
        <v>53</v>
      </c>
      <c r="M288">
        <f t="shared" si="10"/>
        <v>4193.1776250000003</v>
      </c>
    </row>
    <row r="289" spans="1:13" ht="14" x14ac:dyDescent="0.2">
      <c r="A289" s="4" t="s">
        <v>777</v>
      </c>
      <c r="B289" s="5">
        <v>2107.6818750000002</v>
      </c>
      <c r="C289" s="5">
        <f t="shared" si="9"/>
        <v>2107.6818750000002</v>
      </c>
      <c r="D289" s="4">
        <v>1</v>
      </c>
      <c r="E289" s="5" t="s">
        <v>18</v>
      </c>
      <c r="F289" s="4" t="s">
        <v>778</v>
      </c>
      <c r="G289" s="4" t="s">
        <v>12</v>
      </c>
      <c r="H289" s="4" t="s">
        <v>777</v>
      </c>
      <c r="I289" s="4" t="s">
        <v>22</v>
      </c>
      <c r="J289" s="4" t="s">
        <v>779</v>
      </c>
      <c r="K289" s="4" t="s">
        <v>53</v>
      </c>
      <c r="M289">
        <f t="shared" si="10"/>
        <v>1896.9136875000002</v>
      </c>
    </row>
    <row r="290" spans="1:13" ht="14" x14ac:dyDescent="0.2">
      <c r="A290" s="4" t="s">
        <v>780</v>
      </c>
      <c r="B290" s="5">
        <v>3771.6412500000001</v>
      </c>
      <c r="C290" s="5">
        <f t="shared" si="9"/>
        <v>134.70147321428573</v>
      </c>
      <c r="D290" s="4">
        <v>28</v>
      </c>
      <c r="E290" s="5" t="s">
        <v>10</v>
      </c>
      <c r="F290" s="4" t="s">
        <v>649</v>
      </c>
      <c r="G290" s="4" t="s">
        <v>12</v>
      </c>
      <c r="H290" s="4" t="s">
        <v>781</v>
      </c>
      <c r="I290" s="4" t="s">
        <v>22</v>
      </c>
      <c r="J290" s="4" t="s">
        <v>140</v>
      </c>
      <c r="K290" s="4" t="s">
        <v>90</v>
      </c>
      <c r="M290">
        <f t="shared" si="10"/>
        <v>121.23132589285716</v>
      </c>
    </row>
    <row r="291" spans="1:13" ht="14" x14ac:dyDescent="0.2">
      <c r="A291" s="4" t="s">
        <v>782</v>
      </c>
      <c r="B291" s="5">
        <v>3327.9187500000003</v>
      </c>
      <c r="C291" s="5">
        <f t="shared" si="9"/>
        <v>118.85424107142858</v>
      </c>
      <c r="D291" s="4">
        <v>28</v>
      </c>
      <c r="E291" s="5" t="s">
        <v>10</v>
      </c>
      <c r="F291" s="4" t="s">
        <v>649</v>
      </c>
      <c r="G291" s="4" t="s">
        <v>12</v>
      </c>
      <c r="H291" s="4" t="s">
        <v>781</v>
      </c>
      <c r="I291" s="4" t="s">
        <v>22</v>
      </c>
      <c r="J291" s="4" t="s">
        <v>78</v>
      </c>
      <c r="K291" s="4" t="s">
        <v>90</v>
      </c>
      <c r="M291">
        <f t="shared" si="10"/>
        <v>106.96881696428572</v>
      </c>
    </row>
    <row r="292" spans="1:13" ht="14" x14ac:dyDescent="0.2">
      <c r="A292" s="4" t="s">
        <v>783</v>
      </c>
      <c r="B292" s="5">
        <v>15729.962625000002</v>
      </c>
      <c r="C292" s="5">
        <f t="shared" si="9"/>
        <v>262.16604375000003</v>
      </c>
      <c r="D292" s="4">
        <v>60</v>
      </c>
      <c r="E292" s="5" t="s">
        <v>10</v>
      </c>
      <c r="F292" s="4" t="s">
        <v>784</v>
      </c>
      <c r="G292" s="4" t="s">
        <v>20</v>
      </c>
      <c r="H292" s="4" t="s">
        <v>785</v>
      </c>
      <c r="I292" s="4" t="s">
        <v>22</v>
      </c>
      <c r="J292" s="4" t="s">
        <v>161</v>
      </c>
      <c r="K292" s="4" t="s">
        <v>786</v>
      </c>
      <c r="M292">
        <f t="shared" si="10"/>
        <v>235.94943937500003</v>
      </c>
    </row>
    <row r="293" spans="1:13" ht="14" x14ac:dyDescent="0.2">
      <c r="A293" s="4" t="s">
        <v>787</v>
      </c>
      <c r="B293" s="5">
        <v>14376.609</v>
      </c>
      <c r="C293" s="5">
        <f t="shared" si="9"/>
        <v>239.61015</v>
      </c>
      <c r="D293" s="4">
        <v>60</v>
      </c>
      <c r="E293" s="5" t="s">
        <v>10</v>
      </c>
      <c r="F293" s="4" t="s">
        <v>784</v>
      </c>
      <c r="G293" s="4" t="s">
        <v>20</v>
      </c>
      <c r="H293" s="4" t="s">
        <v>785</v>
      </c>
      <c r="I293" s="4" t="s">
        <v>22</v>
      </c>
      <c r="J293" s="4" t="s">
        <v>163</v>
      </c>
      <c r="K293" s="4" t="s">
        <v>786</v>
      </c>
      <c r="M293">
        <f t="shared" si="10"/>
        <v>215.649135</v>
      </c>
    </row>
    <row r="294" spans="1:13" ht="14" x14ac:dyDescent="0.2">
      <c r="A294" s="4" t="s">
        <v>788</v>
      </c>
      <c r="B294" s="5">
        <v>31060.575000000004</v>
      </c>
      <c r="C294" s="5">
        <f t="shared" si="9"/>
        <v>1035.3525000000002</v>
      </c>
      <c r="D294" s="4">
        <v>30</v>
      </c>
      <c r="E294" s="5" t="s">
        <v>10</v>
      </c>
      <c r="F294" s="4" t="s">
        <v>789</v>
      </c>
      <c r="G294" s="4" t="s">
        <v>12</v>
      </c>
      <c r="H294" s="4" t="s">
        <v>790</v>
      </c>
      <c r="I294" s="4" t="s">
        <v>14</v>
      </c>
      <c r="J294" s="4" t="s">
        <v>140</v>
      </c>
      <c r="K294" s="4" t="s">
        <v>90</v>
      </c>
      <c r="M294">
        <f t="shared" si="10"/>
        <v>931.81725000000017</v>
      </c>
    </row>
    <row r="295" spans="1:13" ht="14" x14ac:dyDescent="0.2">
      <c r="A295" s="4" t="s">
        <v>791</v>
      </c>
      <c r="B295" s="5">
        <v>25514.043750000001</v>
      </c>
      <c r="C295" s="5">
        <f t="shared" si="9"/>
        <v>1822.4316964285715</v>
      </c>
      <c r="D295" s="4">
        <v>14</v>
      </c>
      <c r="E295" s="5" t="s">
        <v>10</v>
      </c>
      <c r="F295" s="4" t="s">
        <v>792</v>
      </c>
      <c r="G295" s="4" t="s">
        <v>12</v>
      </c>
      <c r="H295" s="4" t="s">
        <v>790</v>
      </c>
      <c r="I295" s="4" t="s">
        <v>14</v>
      </c>
      <c r="J295" s="4" t="s">
        <v>15</v>
      </c>
      <c r="K295" s="4" t="s">
        <v>90</v>
      </c>
      <c r="M295">
        <f t="shared" si="10"/>
        <v>1640.1885267857144</v>
      </c>
    </row>
    <row r="296" spans="1:13" ht="14" x14ac:dyDescent="0.2">
      <c r="A296" s="4" t="s">
        <v>793</v>
      </c>
      <c r="B296" s="5">
        <v>24404.737500000003</v>
      </c>
      <c r="C296" s="5">
        <f t="shared" si="9"/>
        <v>813.49125000000015</v>
      </c>
      <c r="D296" s="4">
        <v>30</v>
      </c>
      <c r="E296" s="5" t="s">
        <v>10</v>
      </c>
      <c r="F296" s="4" t="s">
        <v>789</v>
      </c>
      <c r="G296" s="4" t="s">
        <v>12</v>
      </c>
      <c r="H296" s="4" t="s">
        <v>790</v>
      </c>
      <c r="I296" s="4" t="s">
        <v>14</v>
      </c>
      <c r="J296" s="4" t="s">
        <v>78</v>
      </c>
      <c r="K296" s="4" t="s">
        <v>90</v>
      </c>
      <c r="M296">
        <f t="shared" si="10"/>
        <v>732.14212500000008</v>
      </c>
    </row>
    <row r="297" spans="1:13" ht="14" x14ac:dyDescent="0.2">
      <c r="A297" s="4" t="s">
        <v>794</v>
      </c>
      <c r="B297" s="5">
        <v>3327.9187500000003</v>
      </c>
      <c r="C297" s="5">
        <f t="shared" si="9"/>
        <v>3327.9187500000003</v>
      </c>
      <c r="D297" s="4">
        <v>1</v>
      </c>
      <c r="E297" s="5" t="s">
        <v>55</v>
      </c>
      <c r="F297" s="4" t="s">
        <v>795</v>
      </c>
      <c r="G297" s="4" t="s">
        <v>12</v>
      </c>
      <c r="H297" s="4" t="s">
        <v>795</v>
      </c>
      <c r="I297" s="4" t="s">
        <v>22</v>
      </c>
      <c r="J297" s="8">
        <v>1E-3</v>
      </c>
      <c r="K297" s="4" t="s">
        <v>68</v>
      </c>
      <c r="M297">
        <f t="shared" si="10"/>
        <v>2995.1268750000004</v>
      </c>
    </row>
    <row r="298" spans="1:13" ht="14" x14ac:dyDescent="0.2">
      <c r="A298" s="4" t="s">
        <v>796</v>
      </c>
      <c r="B298" s="5">
        <v>1553.0287500000002</v>
      </c>
      <c r="C298" s="5">
        <f t="shared" si="9"/>
        <v>1553.0287500000002</v>
      </c>
      <c r="D298" s="4">
        <v>1</v>
      </c>
      <c r="E298" s="5" t="s">
        <v>175</v>
      </c>
      <c r="F298" s="4" t="s">
        <v>516</v>
      </c>
      <c r="G298" s="4" t="s">
        <v>20</v>
      </c>
      <c r="H298" s="4" t="s">
        <v>797</v>
      </c>
      <c r="I298" s="4" t="s">
        <v>22</v>
      </c>
      <c r="J298" s="4" t="s">
        <v>518</v>
      </c>
      <c r="K298" s="4" t="s">
        <v>179</v>
      </c>
      <c r="M298">
        <f t="shared" si="10"/>
        <v>1397.7258750000001</v>
      </c>
    </row>
    <row r="299" spans="1:13" ht="14" x14ac:dyDescent="0.2">
      <c r="A299" s="4" t="s">
        <v>798</v>
      </c>
      <c r="B299" s="5">
        <v>1220.2368750000001</v>
      </c>
      <c r="C299" s="5">
        <f t="shared" si="9"/>
        <v>1220.2368750000001</v>
      </c>
      <c r="D299" s="4">
        <v>1</v>
      </c>
      <c r="E299" s="5" t="s">
        <v>55</v>
      </c>
      <c r="F299" s="4" t="s">
        <v>799</v>
      </c>
      <c r="G299" s="4" t="s">
        <v>20</v>
      </c>
      <c r="H299" s="4" t="s">
        <v>799</v>
      </c>
      <c r="I299" s="4" t="s">
        <v>22</v>
      </c>
      <c r="J299" s="8">
        <v>1E-3</v>
      </c>
      <c r="K299" s="4" t="s">
        <v>68</v>
      </c>
      <c r="M299">
        <f t="shared" si="10"/>
        <v>1098.2131875</v>
      </c>
    </row>
    <row r="300" spans="1:13" ht="14" x14ac:dyDescent="0.2">
      <c r="A300" s="4" t="s">
        <v>800</v>
      </c>
      <c r="B300" s="5">
        <v>4375.1038500000004</v>
      </c>
      <c r="C300" s="5">
        <f t="shared" si="9"/>
        <v>4375.1038500000004</v>
      </c>
      <c r="D300" s="4">
        <v>1</v>
      </c>
      <c r="E300" s="5" t="s">
        <v>18</v>
      </c>
      <c r="F300" s="4" t="s">
        <v>801</v>
      </c>
      <c r="G300" s="4" t="s">
        <v>20</v>
      </c>
      <c r="H300" s="4" t="s">
        <v>802</v>
      </c>
      <c r="I300" s="4" t="s">
        <v>22</v>
      </c>
      <c r="J300" s="4" t="s">
        <v>518</v>
      </c>
      <c r="K300" s="4" t="s">
        <v>179</v>
      </c>
      <c r="M300">
        <f t="shared" si="10"/>
        <v>3937.5934650000004</v>
      </c>
    </row>
    <row r="301" spans="1:13" ht="14" x14ac:dyDescent="0.2">
      <c r="A301" s="4" t="s">
        <v>803</v>
      </c>
      <c r="B301" s="5">
        <v>8812.3288500000017</v>
      </c>
      <c r="C301" s="5">
        <f t="shared" si="9"/>
        <v>8812.3288500000017</v>
      </c>
      <c r="D301" s="4">
        <v>1</v>
      </c>
      <c r="E301" s="5" t="s">
        <v>175</v>
      </c>
      <c r="F301" s="4" t="s">
        <v>804</v>
      </c>
      <c r="G301" s="4" t="s">
        <v>12</v>
      </c>
      <c r="H301" s="4" t="s">
        <v>805</v>
      </c>
      <c r="I301" s="4" t="s">
        <v>22</v>
      </c>
      <c r="J301" s="8">
        <v>5.0000000000000001E-3</v>
      </c>
      <c r="K301" s="4" t="s">
        <v>244</v>
      </c>
      <c r="M301">
        <f t="shared" si="10"/>
        <v>7931.0959650000013</v>
      </c>
    </row>
    <row r="302" spans="1:13" ht="14" x14ac:dyDescent="0.2">
      <c r="A302" s="4" t="s">
        <v>806</v>
      </c>
      <c r="B302" s="5">
        <v>15086.565000000001</v>
      </c>
      <c r="C302" s="5">
        <f t="shared" si="9"/>
        <v>15086.565000000001</v>
      </c>
      <c r="D302" s="4">
        <v>1</v>
      </c>
      <c r="E302" s="5" t="s">
        <v>170</v>
      </c>
      <c r="F302" s="4" t="s">
        <v>807</v>
      </c>
      <c r="G302" s="4" t="s">
        <v>291</v>
      </c>
      <c r="H302" s="4" t="s">
        <v>808</v>
      </c>
      <c r="I302" s="4" t="s">
        <v>14</v>
      </c>
      <c r="J302" s="4" t="s">
        <v>809</v>
      </c>
      <c r="K302" s="4" t="s">
        <v>74</v>
      </c>
      <c r="M302">
        <f t="shared" si="10"/>
        <v>13577.908500000001</v>
      </c>
    </row>
    <row r="303" spans="1:13" ht="14" x14ac:dyDescent="0.2">
      <c r="A303" s="4" t="s">
        <v>810</v>
      </c>
      <c r="B303" s="5">
        <v>15888.593418750002</v>
      </c>
      <c r="C303" s="5">
        <f t="shared" si="9"/>
        <v>567.44976495535718</v>
      </c>
      <c r="D303" s="4">
        <v>28</v>
      </c>
      <c r="E303" s="5" t="s">
        <v>10</v>
      </c>
      <c r="F303" s="4" t="s">
        <v>811</v>
      </c>
      <c r="G303" s="4" t="s">
        <v>12</v>
      </c>
      <c r="H303" s="4" t="s">
        <v>811</v>
      </c>
      <c r="I303" s="4" t="s">
        <v>22</v>
      </c>
      <c r="J303" s="4" t="s">
        <v>481</v>
      </c>
      <c r="K303" s="4" t="s">
        <v>812</v>
      </c>
      <c r="M303">
        <f t="shared" si="10"/>
        <v>510.70478845982143</v>
      </c>
    </row>
    <row r="304" spans="1:13" ht="14" x14ac:dyDescent="0.2">
      <c r="A304" s="4" t="s">
        <v>813</v>
      </c>
      <c r="B304" s="5">
        <v>5281.4070562500001</v>
      </c>
      <c r="C304" s="5">
        <f t="shared" si="9"/>
        <v>188.62168058035715</v>
      </c>
      <c r="D304" s="4">
        <v>28</v>
      </c>
      <c r="E304" s="5" t="s">
        <v>10</v>
      </c>
      <c r="F304" s="4" t="s">
        <v>811</v>
      </c>
      <c r="G304" s="4" t="s">
        <v>12</v>
      </c>
      <c r="H304" s="4" t="s">
        <v>811</v>
      </c>
      <c r="I304" s="4" t="s">
        <v>22</v>
      </c>
      <c r="J304" s="4" t="s">
        <v>78</v>
      </c>
      <c r="K304" s="4" t="s">
        <v>812</v>
      </c>
      <c r="M304">
        <f t="shared" si="10"/>
        <v>169.75951252232144</v>
      </c>
    </row>
    <row r="305" spans="1:25" ht="14" x14ac:dyDescent="0.2">
      <c r="A305" s="4" t="s">
        <v>814</v>
      </c>
      <c r="B305" s="5">
        <v>1677.2710500000001</v>
      </c>
      <c r="C305" s="5">
        <f t="shared" si="9"/>
        <v>1677.2710500000001</v>
      </c>
      <c r="D305" s="4">
        <v>1</v>
      </c>
      <c r="E305" s="5" t="s">
        <v>25</v>
      </c>
      <c r="F305" s="4" t="s">
        <v>815</v>
      </c>
      <c r="G305" s="4" t="s">
        <v>12</v>
      </c>
      <c r="H305" s="4" t="s">
        <v>815</v>
      </c>
      <c r="I305" s="4" t="s">
        <v>22</v>
      </c>
      <c r="K305" s="4" t="s">
        <v>28</v>
      </c>
      <c r="M305">
        <f t="shared" si="10"/>
        <v>1509.5439450000001</v>
      </c>
    </row>
    <row r="306" spans="1:25" ht="14" x14ac:dyDescent="0.2">
      <c r="A306" s="7" t="s">
        <v>5203</v>
      </c>
      <c r="B306" s="10">
        <v>5213.7393750000001</v>
      </c>
      <c r="C306" s="5">
        <f t="shared" si="9"/>
        <v>260.68696875000001</v>
      </c>
      <c r="D306" s="9">
        <v>20</v>
      </c>
      <c r="E306" s="10" t="s">
        <v>5193</v>
      </c>
      <c r="F306" s="7" t="s">
        <v>5204</v>
      </c>
      <c r="G306" s="7" t="s">
        <v>20</v>
      </c>
      <c r="H306" s="7" t="s">
        <v>5205</v>
      </c>
      <c r="I306" s="7" t="s">
        <v>14</v>
      </c>
      <c r="J306" s="7" t="s">
        <v>1696</v>
      </c>
      <c r="K306" s="7" t="s">
        <v>179</v>
      </c>
      <c r="L306" s="4"/>
      <c r="M306">
        <f t="shared" si="10"/>
        <v>234.618271875</v>
      </c>
      <c r="N306" s="3"/>
      <c r="O306" s="3"/>
      <c r="P306" s="3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" x14ac:dyDescent="0.2">
      <c r="A307" s="4" t="s">
        <v>816</v>
      </c>
      <c r="B307" s="5">
        <v>8208.8662500000009</v>
      </c>
      <c r="C307" s="5">
        <f t="shared" si="9"/>
        <v>273.62887500000005</v>
      </c>
      <c r="D307" s="4">
        <v>30</v>
      </c>
      <c r="E307" s="5" t="s">
        <v>10</v>
      </c>
      <c r="F307" s="4" t="s">
        <v>817</v>
      </c>
      <c r="G307" s="4" t="s">
        <v>12</v>
      </c>
      <c r="H307" s="4" t="s">
        <v>818</v>
      </c>
      <c r="I307" s="4" t="s">
        <v>22</v>
      </c>
      <c r="J307" s="4" t="s">
        <v>819</v>
      </c>
      <c r="K307" s="4" t="s">
        <v>34</v>
      </c>
      <c r="M307">
        <f t="shared" si="10"/>
        <v>246.26598750000005</v>
      </c>
    </row>
    <row r="308" spans="1:25" ht="14" x14ac:dyDescent="0.2">
      <c r="A308" s="4" t="s">
        <v>820</v>
      </c>
      <c r="B308" s="5">
        <v>4165.44496875</v>
      </c>
      <c r="C308" s="5">
        <f t="shared" si="9"/>
        <v>208.2722484375</v>
      </c>
      <c r="D308" s="4">
        <v>20</v>
      </c>
      <c r="E308" s="5" t="s">
        <v>30</v>
      </c>
      <c r="F308" s="4" t="s">
        <v>821</v>
      </c>
      <c r="G308" s="4" t="s">
        <v>20</v>
      </c>
      <c r="H308" s="4" t="s">
        <v>822</v>
      </c>
      <c r="I308" s="4" t="s">
        <v>22</v>
      </c>
      <c r="J308" s="4" t="s">
        <v>207</v>
      </c>
      <c r="K308" s="4" t="s">
        <v>53</v>
      </c>
      <c r="M308">
        <f t="shared" si="10"/>
        <v>187.44502359374999</v>
      </c>
    </row>
    <row r="309" spans="1:25" ht="14" x14ac:dyDescent="0.2">
      <c r="A309" s="4" t="s">
        <v>823</v>
      </c>
      <c r="B309" s="5">
        <v>4991.8781250000002</v>
      </c>
      <c r="C309" s="5">
        <f t="shared" si="9"/>
        <v>4991.8781250000002</v>
      </c>
      <c r="D309" s="4">
        <v>1</v>
      </c>
      <c r="E309" s="5" t="s">
        <v>59</v>
      </c>
      <c r="F309" s="4" t="s">
        <v>821</v>
      </c>
      <c r="G309" s="4" t="s">
        <v>20</v>
      </c>
      <c r="H309" s="4" t="s">
        <v>822</v>
      </c>
      <c r="I309" s="4" t="s">
        <v>22</v>
      </c>
      <c r="J309" s="4" t="s">
        <v>824</v>
      </c>
      <c r="K309" s="4" t="s">
        <v>53</v>
      </c>
      <c r="M309">
        <f t="shared" si="10"/>
        <v>4492.6903124999999</v>
      </c>
    </row>
    <row r="310" spans="1:25" ht="14" x14ac:dyDescent="0.2">
      <c r="A310" s="4" t="s">
        <v>825</v>
      </c>
      <c r="B310" s="5">
        <v>1996.7512500000003</v>
      </c>
      <c r="C310" s="5">
        <f t="shared" si="9"/>
        <v>1996.7512500000003</v>
      </c>
      <c r="D310" s="4">
        <v>1</v>
      </c>
      <c r="E310" s="5" t="s">
        <v>55</v>
      </c>
      <c r="F310" s="4" t="s">
        <v>826</v>
      </c>
      <c r="G310" s="4" t="s">
        <v>20</v>
      </c>
      <c r="H310" s="4" t="s">
        <v>827</v>
      </c>
      <c r="I310" s="4" t="s">
        <v>22</v>
      </c>
      <c r="J310" s="6">
        <v>0.01</v>
      </c>
      <c r="K310" s="4" t="s">
        <v>103</v>
      </c>
      <c r="M310">
        <f t="shared" si="10"/>
        <v>1797.0761250000003</v>
      </c>
    </row>
    <row r="311" spans="1:25" ht="14" x14ac:dyDescent="0.2">
      <c r="A311" s="4" t="s">
        <v>828</v>
      </c>
      <c r="B311" s="5">
        <v>32169.881250000002</v>
      </c>
      <c r="C311" s="5">
        <f t="shared" si="9"/>
        <v>1072.329375</v>
      </c>
      <c r="D311" s="4">
        <v>30</v>
      </c>
      <c r="E311" s="5" t="s">
        <v>10</v>
      </c>
      <c r="F311" s="4" t="s">
        <v>829</v>
      </c>
      <c r="G311" s="4" t="s">
        <v>12</v>
      </c>
      <c r="H311" s="4" t="s">
        <v>830</v>
      </c>
      <c r="I311" s="4" t="s">
        <v>22</v>
      </c>
      <c r="J311" s="4" t="s">
        <v>831</v>
      </c>
      <c r="K311" s="4" t="s">
        <v>227</v>
      </c>
      <c r="M311">
        <f t="shared" si="10"/>
        <v>965.09643749999998</v>
      </c>
    </row>
    <row r="312" spans="1:25" ht="14" x14ac:dyDescent="0.2">
      <c r="A312" s="4" t="s">
        <v>832</v>
      </c>
      <c r="B312" s="5">
        <v>12091.438125000001</v>
      </c>
      <c r="C312" s="5">
        <f t="shared" si="9"/>
        <v>403.04793750000005</v>
      </c>
      <c r="D312" s="4">
        <v>30</v>
      </c>
      <c r="E312" s="5" t="s">
        <v>10</v>
      </c>
      <c r="F312" s="4" t="s">
        <v>833</v>
      </c>
      <c r="G312" s="4" t="s">
        <v>12</v>
      </c>
      <c r="H312" s="4" t="s">
        <v>834</v>
      </c>
      <c r="I312" s="4" t="s">
        <v>22</v>
      </c>
      <c r="J312" s="4" t="s">
        <v>835</v>
      </c>
      <c r="K312" s="4" t="s">
        <v>227</v>
      </c>
      <c r="M312">
        <f t="shared" si="10"/>
        <v>362.74314375000006</v>
      </c>
    </row>
    <row r="313" spans="1:25" ht="14" x14ac:dyDescent="0.2">
      <c r="A313" s="4" t="s">
        <v>836</v>
      </c>
      <c r="B313" s="5">
        <v>861.93095625000001</v>
      </c>
      <c r="C313" s="5">
        <f t="shared" si="9"/>
        <v>861.93095625000001</v>
      </c>
      <c r="D313" s="4">
        <v>1</v>
      </c>
      <c r="E313" s="5" t="s">
        <v>59</v>
      </c>
      <c r="F313" s="4" t="s">
        <v>837</v>
      </c>
      <c r="G313" s="4" t="s">
        <v>20</v>
      </c>
      <c r="H313" s="4" t="s">
        <v>838</v>
      </c>
      <c r="I313" s="4" t="s">
        <v>22</v>
      </c>
      <c r="J313" s="4" t="s">
        <v>646</v>
      </c>
      <c r="K313" s="4" t="s">
        <v>87</v>
      </c>
      <c r="M313">
        <f t="shared" si="10"/>
        <v>775.73786062499994</v>
      </c>
    </row>
    <row r="314" spans="1:25" ht="14" x14ac:dyDescent="0.2">
      <c r="A314" s="4" t="s">
        <v>839</v>
      </c>
      <c r="B314" s="5">
        <v>4991.8781250000002</v>
      </c>
      <c r="C314" s="5">
        <f t="shared" si="9"/>
        <v>499.18781250000001</v>
      </c>
      <c r="D314" s="4">
        <v>10</v>
      </c>
      <c r="E314" s="5" t="s">
        <v>30</v>
      </c>
      <c r="F314" s="4" t="s">
        <v>840</v>
      </c>
      <c r="G314" s="4" t="s">
        <v>20</v>
      </c>
      <c r="H314" s="4" t="s">
        <v>841</v>
      </c>
      <c r="I314" s="4" t="s">
        <v>22</v>
      </c>
      <c r="J314" s="4" t="s">
        <v>95</v>
      </c>
      <c r="K314" s="4" t="s">
        <v>53</v>
      </c>
      <c r="M314">
        <f t="shared" si="10"/>
        <v>449.26903125000001</v>
      </c>
    </row>
    <row r="315" spans="1:25" ht="14" x14ac:dyDescent="0.2">
      <c r="A315" s="4" t="s">
        <v>842</v>
      </c>
      <c r="B315" s="5">
        <v>2695.6141874999998</v>
      </c>
      <c r="C315" s="5">
        <f t="shared" si="9"/>
        <v>224.63451562499998</v>
      </c>
      <c r="D315" s="4">
        <v>12</v>
      </c>
      <c r="E315" s="5" t="s">
        <v>10</v>
      </c>
      <c r="F315" s="4" t="s">
        <v>840</v>
      </c>
      <c r="G315" s="4" t="s">
        <v>20</v>
      </c>
      <c r="H315" s="4" t="s">
        <v>843</v>
      </c>
      <c r="I315" s="4" t="s">
        <v>22</v>
      </c>
      <c r="J315" s="4" t="s">
        <v>78</v>
      </c>
      <c r="K315" s="4" t="s">
        <v>53</v>
      </c>
      <c r="M315">
        <f t="shared" si="10"/>
        <v>202.17106406249997</v>
      </c>
    </row>
    <row r="316" spans="1:25" ht="14" x14ac:dyDescent="0.2">
      <c r="A316" s="4" t="s">
        <v>844</v>
      </c>
      <c r="B316" s="5">
        <v>554.65312500000005</v>
      </c>
      <c r="C316" s="5">
        <f t="shared" si="9"/>
        <v>55.465312500000003</v>
      </c>
      <c r="D316" s="4">
        <v>10</v>
      </c>
      <c r="E316" s="5" t="s">
        <v>10</v>
      </c>
      <c r="F316" s="4" t="s">
        <v>845</v>
      </c>
      <c r="G316" s="4" t="s">
        <v>20</v>
      </c>
      <c r="H316" s="4" t="s">
        <v>846</v>
      </c>
      <c r="I316" s="4" t="s">
        <v>22</v>
      </c>
      <c r="J316" s="4" t="s">
        <v>405</v>
      </c>
      <c r="K316" s="4" t="s">
        <v>406</v>
      </c>
      <c r="M316">
        <f t="shared" si="10"/>
        <v>49.918781250000002</v>
      </c>
    </row>
    <row r="317" spans="1:25" ht="14" x14ac:dyDescent="0.2">
      <c r="A317" s="4" t="s">
        <v>847</v>
      </c>
      <c r="B317" s="5">
        <v>24404.737500000003</v>
      </c>
      <c r="C317" s="5">
        <f t="shared" si="9"/>
        <v>24404.737500000003</v>
      </c>
      <c r="D317" s="4">
        <v>1</v>
      </c>
      <c r="E317" s="4" t="s">
        <v>59</v>
      </c>
      <c r="F317" s="4" t="s">
        <v>847</v>
      </c>
      <c r="G317" s="4" t="s">
        <v>20</v>
      </c>
      <c r="H317" s="4" t="s">
        <v>848</v>
      </c>
      <c r="I317" s="4"/>
      <c r="J317" s="4" t="s">
        <v>849</v>
      </c>
      <c r="K317" s="4" t="s">
        <v>850</v>
      </c>
      <c r="M317">
        <f t="shared" si="10"/>
        <v>21964.263750000002</v>
      </c>
    </row>
    <row r="318" spans="1:25" ht="14" x14ac:dyDescent="0.2">
      <c r="A318" s="4" t="s">
        <v>851</v>
      </c>
      <c r="B318" s="5">
        <v>5661.8991000000005</v>
      </c>
      <c r="C318" s="5">
        <f t="shared" si="9"/>
        <v>188.72997000000001</v>
      </c>
      <c r="D318" s="4">
        <v>30</v>
      </c>
      <c r="E318" s="5" t="s">
        <v>10</v>
      </c>
      <c r="F318" s="4" t="s">
        <v>731</v>
      </c>
      <c r="G318" s="4" t="s">
        <v>12</v>
      </c>
      <c r="H318" s="4" t="s">
        <v>852</v>
      </c>
      <c r="I318" s="4" t="s">
        <v>22</v>
      </c>
      <c r="J318" s="4" t="s">
        <v>200</v>
      </c>
      <c r="K318" s="4" t="s">
        <v>90</v>
      </c>
      <c r="M318">
        <f t="shared" si="10"/>
        <v>169.85697300000001</v>
      </c>
    </row>
    <row r="319" spans="1:25" ht="14" x14ac:dyDescent="0.2">
      <c r="A319" s="4" t="s">
        <v>853</v>
      </c>
      <c r="B319" s="5">
        <v>3327.9187500000003</v>
      </c>
      <c r="C319" s="5">
        <f t="shared" si="9"/>
        <v>118.85424107142858</v>
      </c>
      <c r="D319" s="4">
        <v>28</v>
      </c>
      <c r="E319" s="5" t="s">
        <v>10</v>
      </c>
      <c r="F319" s="4" t="s">
        <v>731</v>
      </c>
      <c r="G319" s="4" t="s">
        <v>12</v>
      </c>
      <c r="H319" s="4" t="s">
        <v>731</v>
      </c>
      <c r="I319" s="4" t="s">
        <v>22</v>
      </c>
      <c r="J319" s="4" t="s">
        <v>146</v>
      </c>
      <c r="K319" s="4" t="s">
        <v>90</v>
      </c>
      <c r="M319">
        <f t="shared" si="10"/>
        <v>106.96881696428572</v>
      </c>
    </row>
    <row r="320" spans="1:25" ht="14" x14ac:dyDescent="0.2">
      <c r="A320" s="4" t="s">
        <v>854</v>
      </c>
      <c r="B320" s="5">
        <v>3882.5718750000005</v>
      </c>
      <c r="C320" s="5">
        <f t="shared" si="9"/>
        <v>138.66328125000001</v>
      </c>
      <c r="D320" s="4">
        <v>28</v>
      </c>
      <c r="E320" s="5" t="s">
        <v>10</v>
      </c>
      <c r="F320" s="4" t="s">
        <v>731</v>
      </c>
      <c r="G320" s="4" t="s">
        <v>12</v>
      </c>
      <c r="H320" s="4" t="s">
        <v>731</v>
      </c>
      <c r="I320" s="4" t="s">
        <v>22</v>
      </c>
      <c r="J320" s="4" t="s">
        <v>603</v>
      </c>
      <c r="K320" s="4" t="s">
        <v>90</v>
      </c>
      <c r="M320">
        <f t="shared" si="10"/>
        <v>124.79695312500002</v>
      </c>
    </row>
    <row r="321" spans="1:25" ht="14" x14ac:dyDescent="0.2">
      <c r="A321" s="4" t="s">
        <v>855</v>
      </c>
      <c r="B321" s="5">
        <v>3882.5718750000005</v>
      </c>
      <c r="C321" s="5">
        <f t="shared" si="9"/>
        <v>138.66328125000001</v>
      </c>
      <c r="D321" s="4">
        <v>28</v>
      </c>
      <c r="E321" s="5" t="s">
        <v>10</v>
      </c>
      <c r="F321" s="4" t="s">
        <v>731</v>
      </c>
      <c r="G321" s="4" t="s">
        <v>12</v>
      </c>
      <c r="H321" s="4" t="s">
        <v>731</v>
      </c>
      <c r="I321" s="4" t="s">
        <v>22</v>
      </c>
      <c r="J321" s="4" t="s">
        <v>200</v>
      </c>
      <c r="K321" s="4" t="s">
        <v>90</v>
      </c>
      <c r="M321">
        <f t="shared" si="10"/>
        <v>124.79695312500002</v>
      </c>
    </row>
    <row r="322" spans="1:25" ht="14" x14ac:dyDescent="0.2">
      <c r="A322" s="4" t="s">
        <v>856</v>
      </c>
      <c r="B322" s="5">
        <v>665.58375000000001</v>
      </c>
      <c r="C322" s="5">
        <f t="shared" si="9"/>
        <v>665.58375000000001</v>
      </c>
      <c r="D322" s="4">
        <v>1</v>
      </c>
      <c r="E322" s="5" t="s">
        <v>25</v>
      </c>
      <c r="F322" s="4" t="s">
        <v>856</v>
      </c>
      <c r="G322" s="4" t="s">
        <v>12</v>
      </c>
      <c r="H322" s="4" t="s">
        <v>856</v>
      </c>
      <c r="I322" s="4" t="s">
        <v>22</v>
      </c>
      <c r="J322" s="4" t="s">
        <v>25</v>
      </c>
      <c r="K322" s="4" t="s">
        <v>28</v>
      </c>
      <c r="M322">
        <f t="shared" si="10"/>
        <v>599.02537500000005</v>
      </c>
    </row>
    <row r="323" spans="1:25" ht="14" x14ac:dyDescent="0.2">
      <c r="A323" s="4" t="s">
        <v>857</v>
      </c>
      <c r="B323" s="5">
        <v>68288.892750000014</v>
      </c>
      <c r="C323" s="5">
        <f t="shared" ref="C323:C386" si="11">(B323/D323)</f>
        <v>68288.892750000014</v>
      </c>
      <c r="D323" s="4">
        <v>1</v>
      </c>
      <c r="E323" s="5" t="s">
        <v>25</v>
      </c>
      <c r="F323" s="4" t="s">
        <v>858</v>
      </c>
      <c r="G323" s="4" t="s">
        <v>12</v>
      </c>
      <c r="H323" s="4" t="s">
        <v>859</v>
      </c>
      <c r="I323" s="4" t="s">
        <v>22</v>
      </c>
      <c r="K323" s="4" t="s">
        <v>860</v>
      </c>
      <c r="M323">
        <f t="shared" si="10"/>
        <v>61460.003475000012</v>
      </c>
    </row>
    <row r="324" spans="1:25" ht="14" x14ac:dyDescent="0.2">
      <c r="A324" s="4" t="s">
        <v>861</v>
      </c>
      <c r="B324" s="5">
        <v>998.37562500000013</v>
      </c>
      <c r="C324" s="5">
        <f t="shared" si="11"/>
        <v>998.37562500000013</v>
      </c>
      <c r="D324" s="4">
        <v>1</v>
      </c>
      <c r="E324" s="5" t="s">
        <v>59</v>
      </c>
      <c r="F324" s="4" t="s">
        <v>862</v>
      </c>
      <c r="G324" s="4" t="s">
        <v>20</v>
      </c>
      <c r="H324" s="4" t="s">
        <v>863</v>
      </c>
      <c r="I324" s="4" t="s">
        <v>22</v>
      </c>
      <c r="J324" s="4" t="s">
        <v>864</v>
      </c>
      <c r="K324" s="4" t="s">
        <v>34</v>
      </c>
      <c r="M324">
        <f t="shared" si="10"/>
        <v>898.53806250000014</v>
      </c>
    </row>
    <row r="325" spans="1:25" ht="14" x14ac:dyDescent="0.2">
      <c r="A325" s="4" t="s">
        <v>865</v>
      </c>
      <c r="B325" s="5">
        <v>9429.1031250000015</v>
      </c>
      <c r="C325" s="5">
        <f t="shared" si="11"/>
        <v>94.291031250000017</v>
      </c>
      <c r="D325" s="4">
        <v>100</v>
      </c>
      <c r="E325" s="5" t="s">
        <v>10</v>
      </c>
      <c r="F325" s="4" t="s">
        <v>214</v>
      </c>
      <c r="G325" s="4" t="s">
        <v>12</v>
      </c>
      <c r="H325" s="4" t="s">
        <v>866</v>
      </c>
      <c r="I325" s="4" t="s">
        <v>22</v>
      </c>
      <c r="J325" s="4" t="s">
        <v>67</v>
      </c>
      <c r="K325" s="4" t="s">
        <v>90</v>
      </c>
      <c r="M325">
        <f t="shared" si="10"/>
        <v>84.86192812500002</v>
      </c>
    </row>
    <row r="326" spans="1:25" ht="14" x14ac:dyDescent="0.2">
      <c r="A326" s="4" t="s">
        <v>867</v>
      </c>
      <c r="B326" s="5">
        <v>6655.8375000000005</v>
      </c>
      <c r="C326" s="5">
        <f t="shared" si="11"/>
        <v>66.558375000000012</v>
      </c>
      <c r="D326" s="4">
        <v>100</v>
      </c>
      <c r="E326" s="5" t="s">
        <v>10</v>
      </c>
      <c r="F326" s="4" t="s">
        <v>868</v>
      </c>
      <c r="G326" s="4" t="s">
        <v>12</v>
      </c>
      <c r="H326" s="4" t="s">
        <v>869</v>
      </c>
      <c r="I326" s="4" t="s">
        <v>22</v>
      </c>
      <c r="J326" s="4" t="s">
        <v>870</v>
      </c>
      <c r="K326" s="4" t="s">
        <v>90</v>
      </c>
      <c r="M326">
        <f t="shared" si="10"/>
        <v>59.902537500000008</v>
      </c>
    </row>
    <row r="327" spans="1:25" ht="14" x14ac:dyDescent="0.2">
      <c r="A327" s="4" t="s">
        <v>871</v>
      </c>
      <c r="B327" s="5">
        <v>4914.2266875000005</v>
      </c>
      <c r="C327" s="5">
        <f t="shared" si="11"/>
        <v>163.80755625</v>
      </c>
      <c r="D327" s="4">
        <v>30</v>
      </c>
      <c r="E327" s="5" t="s">
        <v>30</v>
      </c>
      <c r="F327" s="4" t="s">
        <v>572</v>
      </c>
      <c r="G327" s="4" t="s">
        <v>12</v>
      </c>
      <c r="H327" s="4" t="s">
        <v>872</v>
      </c>
      <c r="I327" s="4" t="s">
        <v>22</v>
      </c>
      <c r="K327" s="4" t="s">
        <v>34</v>
      </c>
      <c r="M327">
        <f t="shared" si="10"/>
        <v>147.426800625</v>
      </c>
    </row>
    <row r="328" spans="1:25" ht="14" x14ac:dyDescent="0.2">
      <c r="A328" s="4" t="s">
        <v>873</v>
      </c>
      <c r="B328" s="5">
        <v>17267.4610875</v>
      </c>
      <c r="C328" s="5">
        <f t="shared" si="11"/>
        <v>17267.4610875</v>
      </c>
      <c r="D328" s="4">
        <v>1</v>
      </c>
      <c r="E328" s="5" t="s">
        <v>874</v>
      </c>
      <c r="F328" s="4" t="s">
        <v>875</v>
      </c>
      <c r="G328" s="4" t="s">
        <v>20</v>
      </c>
      <c r="H328" s="4" t="s">
        <v>873</v>
      </c>
      <c r="I328" s="4" t="s">
        <v>22</v>
      </c>
      <c r="J328" s="4" t="s">
        <v>876</v>
      </c>
      <c r="K328" s="4" t="s">
        <v>87</v>
      </c>
      <c r="M328">
        <f t="shared" si="10"/>
        <v>15540.71497875</v>
      </c>
    </row>
    <row r="329" spans="1:25" ht="14" x14ac:dyDescent="0.2">
      <c r="A329" s="4" t="s">
        <v>877</v>
      </c>
      <c r="B329" s="5">
        <v>16639.59375</v>
      </c>
      <c r="C329" s="5">
        <f t="shared" si="11"/>
        <v>16639.59375</v>
      </c>
      <c r="D329" s="4">
        <v>1</v>
      </c>
      <c r="E329" s="5" t="s">
        <v>874</v>
      </c>
      <c r="F329" s="4" t="s">
        <v>875</v>
      </c>
      <c r="G329" s="4" t="s">
        <v>20</v>
      </c>
      <c r="H329" s="4" t="s">
        <v>878</v>
      </c>
      <c r="I329" s="4" t="s">
        <v>22</v>
      </c>
      <c r="K329" s="4" t="s">
        <v>219</v>
      </c>
      <c r="M329">
        <f t="shared" si="10"/>
        <v>14975.634375</v>
      </c>
    </row>
    <row r="330" spans="1:25" ht="14" x14ac:dyDescent="0.2">
      <c r="A330" s="7" t="s">
        <v>5206</v>
      </c>
      <c r="B330" s="10">
        <v>1663.9593750000001</v>
      </c>
      <c r="C330" s="5">
        <f t="shared" si="11"/>
        <v>166.3959375</v>
      </c>
      <c r="D330" s="9">
        <v>10</v>
      </c>
      <c r="E330" s="10" t="s">
        <v>5189</v>
      </c>
      <c r="F330" s="7" t="s">
        <v>5207</v>
      </c>
      <c r="G330" s="7" t="s">
        <v>20</v>
      </c>
      <c r="H330" s="7" t="s">
        <v>5208</v>
      </c>
      <c r="I330" s="7" t="s">
        <v>22</v>
      </c>
      <c r="J330" s="7" t="s">
        <v>5209</v>
      </c>
      <c r="K330" s="7" t="s">
        <v>87</v>
      </c>
      <c r="L330" s="4"/>
      <c r="M330">
        <f t="shared" si="10"/>
        <v>149.75634375000001</v>
      </c>
      <c r="N330" s="3"/>
      <c r="O330" s="3"/>
      <c r="P330" s="3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" x14ac:dyDescent="0.2">
      <c r="A331" s="4" t="s">
        <v>879</v>
      </c>
      <c r="B331" s="5">
        <v>10398.636787500001</v>
      </c>
      <c r="C331" s="5">
        <f t="shared" si="11"/>
        <v>10398.636787500001</v>
      </c>
      <c r="D331" s="4">
        <v>1</v>
      </c>
      <c r="E331" s="5" t="s">
        <v>175</v>
      </c>
      <c r="F331" s="4" t="s">
        <v>242</v>
      </c>
      <c r="G331" s="4" t="s">
        <v>12</v>
      </c>
      <c r="H331" s="4" t="s">
        <v>880</v>
      </c>
      <c r="I331" s="4" t="s">
        <v>22</v>
      </c>
      <c r="J331" s="8">
        <v>2E-3</v>
      </c>
      <c r="K331" s="4" t="s">
        <v>244</v>
      </c>
      <c r="M331">
        <f t="shared" si="10"/>
        <v>9358.7731087500015</v>
      </c>
    </row>
    <row r="332" spans="1:25" ht="14" x14ac:dyDescent="0.2">
      <c r="A332" s="4" t="s">
        <v>881</v>
      </c>
      <c r="B332" s="5">
        <v>8486.1928125000013</v>
      </c>
      <c r="C332" s="5">
        <f t="shared" si="11"/>
        <v>8486.1928125000013</v>
      </c>
      <c r="D332" s="4">
        <v>1</v>
      </c>
      <c r="E332" s="5" t="s">
        <v>175</v>
      </c>
      <c r="F332" s="4" t="s">
        <v>242</v>
      </c>
      <c r="G332" s="4" t="s">
        <v>12</v>
      </c>
      <c r="H332" s="4" t="s">
        <v>882</v>
      </c>
      <c r="I332" s="4" t="s">
        <v>22</v>
      </c>
      <c r="J332" s="8">
        <v>2E-3</v>
      </c>
      <c r="K332" s="4" t="s">
        <v>244</v>
      </c>
      <c r="M332">
        <f t="shared" si="10"/>
        <v>7637.573531250001</v>
      </c>
    </row>
    <row r="333" spans="1:25" ht="14" x14ac:dyDescent="0.2">
      <c r="A333" s="4" t="s">
        <v>883</v>
      </c>
      <c r="B333" s="5">
        <v>5170.4764312500001</v>
      </c>
      <c r="C333" s="5">
        <f t="shared" si="11"/>
        <v>172.349214375</v>
      </c>
      <c r="D333" s="4">
        <v>30</v>
      </c>
      <c r="E333" s="5" t="s">
        <v>10</v>
      </c>
      <c r="F333" s="4" t="s">
        <v>884</v>
      </c>
      <c r="G333" s="4" t="s">
        <v>12</v>
      </c>
      <c r="H333" s="4" t="s">
        <v>885</v>
      </c>
      <c r="I333" s="4" t="s">
        <v>22</v>
      </c>
      <c r="J333" s="4" t="s">
        <v>886</v>
      </c>
      <c r="K333" s="4" t="s">
        <v>90</v>
      </c>
      <c r="M333">
        <f t="shared" si="10"/>
        <v>155.11429293750001</v>
      </c>
    </row>
    <row r="334" spans="1:25" ht="14" x14ac:dyDescent="0.2">
      <c r="A334" s="4" t="s">
        <v>887</v>
      </c>
      <c r="B334" s="5">
        <v>21298.68</v>
      </c>
      <c r="C334" s="5">
        <f t="shared" si="11"/>
        <v>21298.68</v>
      </c>
      <c r="D334" s="4">
        <v>1</v>
      </c>
      <c r="E334" s="4" t="s">
        <v>888</v>
      </c>
      <c r="F334" s="4" t="s">
        <v>887</v>
      </c>
      <c r="G334" s="4" t="s">
        <v>12</v>
      </c>
      <c r="H334" s="4" t="s">
        <v>889</v>
      </c>
      <c r="I334" s="4"/>
      <c r="J334" s="4" t="s">
        <v>890</v>
      </c>
      <c r="K334" s="4" t="s">
        <v>244</v>
      </c>
      <c r="M334">
        <f t="shared" si="10"/>
        <v>19168.812000000002</v>
      </c>
    </row>
    <row r="335" spans="1:25" ht="14" x14ac:dyDescent="0.2">
      <c r="A335" s="4" t="s">
        <v>891</v>
      </c>
      <c r="B335" s="5">
        <v>1078.2456750000001</v>
      </c>
      <c r="C335" s="5">
        <f t="shared" si="11"/>
        <v>35.941522500000005</v>
      </c>
      <c r="D335" s="4">
        <v>30</v>
      </c>
      <c r="E335" s="5" t="s">
        <v>10</v>
      </c>
      <c r="F335" s="4" t="s">
        <v>892</v>
      </c>
      <c r="G335" s="4" t="s">
        <v>12</v>
      </c>
      <c r="H335" s="4" t="s">
        <v>893</v>
      </c>
      <c r="I335" s="4" t="s">
        <v>22</v>
      </c>
      <c r="J335" s="4" t="s">
        <v>761</v>
      </c>
      <c r="K335" s="4" t="s">
        <v>227</v>
      </c>
      <c r="M335">
        <f t="shared" si="10"/>
        <v>32.347370250000004</v>
      </c>
    </row>
    <row r="336" spans="1:25" ht="14" x14ac:dyDescent="0.2">
      <c r="A336" s="4" t="s">
        <v>894</v>
      </c>
      <c r="B336" s="5">
        <v>1078.2456750000001</v>
      </c>
      <c r="C336" s="5">
        <f t="shared" si="11"/>
        <v>35.941522500000005</v>
      </c>
      <c r="D336" s="4">
        <v>30</v>
      </c>
      <c r="E336" s="5" t="s">
        <v>10</v>
      </c>
      <c r="F336" s="4" t="s">
        <v>892</v>
      </c>
      <c r="G336" s="4" t="s">
        <v>12</v>
      </c>
      <c r="H336" s="4" t="s">
        <v>893</v>
      </c>
      <c r="I336" s="4" t="s">
        <v>22</v>
      </c>
      <c r="J336" s="4" t="s">
        <v>895</v>
      </c>
      <c r="K336" s="4" t="s">
        <v>227</v>
      </c>
      <c r="M336">
        <f t="shared" si="10"/>
        <v>32.347370250000004</v>
      </c>
    </row>
    <row r="337" spans="1:13" ht="14" x14ac:dyDescent="0.2">
      <c r="A337" s="4" t="s">
        <v>896</v>
      </c>
      <c r="B337" s="5">
        <v>14376.609</v>
      </c>
      <c r="C337" s="5">
        <f t="shared" si="11"/>
        <v>479.22030000000001</v>
      </c>
      <c r="D337" s="4">
        <v>30</v>
      </c>
      <c r="E337" s="5" t="s">
        <v>10</v>
      </c>
      <c r="F337" s="4" t="s">
        <v>897</v>
      </c>
      <c r="G337" s="4" t="s">
        <v>12</v>
      </c>
      <c r="H337" s="4" t="s">
        <v>898</v>
      </c>
      <c r="I337" s="4" t="s">
        <v>22</v>
      </c>
      <c r="J337" s="4" t="s">
        <v>603</v>
      </c>
      <c r="K337" s="4" t="s">
        <v>68</v>
      </c>
      <c r="M337">
        <f t="shared" si="10"/>
        <v>431.29827</v>
      </c>
    </row>
    <row r="338" spans="1:13" ht="14" x14ac:dyDescent="0.2">
      <c r="A338" s="4" t="s">
        <v>899</v>
      </c>
      <c r="B338" s="5">
        <v>2995.1268750000004</v>
      </c>
      <c r="C338" s="5">
        <f t="shared" si="11"/>
        <v>2995.1268750000004</v>
      </c>
      <c r="D338" s="4">
        <v>1</v>
      </c>
      <c r="E338" s="5" t="s">
        <v>25</v>
      </c>
      <c r="F338" s="4" t="s">
        <v>900</v>
      </c>
      <c r="G338" s="4" t="s">
        <v>20</v>
      </c>
      <c r="H338" s="4" t="s">
        <v>899</v>
      </c>
      <c r="I338" s="4" t="s">
        <v>22</v>
      </c>
      <c r="J338" s="4" t="s">
        <v>901</v>
      </c>
      <c r="K338" s="4" t="s">
        <v>118</v>
      </c>
      <c r="M338">
        <f t="shared" si="10"/>
        <v>2695.6141875000003</v>
      </c>
    </row>
    <row r="339" spans="1:13" ht="14" x14ac:dyDescent="0.2">
      <c r="A339" s="4" t="s">
        <v>902</v>
      </c>
      <c r="B339" s="5">
        <v>2107.6818750000002</v>
      </c>
      <c r="C339" s="5">
        <f t="shared" si="11"/>
        <v>2107.6818750000002</v>
      </c>
      <c r="D339" s="4">
        <v>1</v>
      </c>
      <c r="E339" s="5" t="s">
        <v>59</v>
      </c>
      <c r="F339" s="4" t="s">
        <v>903</v>
      </c>
      <c r="G339" s="4" t="s">
        <v>20</v>
      </c>
      <c r="H339" s="4" t="s">
        <v>904</v>
      </c>
      <c r="I339" s="4" t="s">
        <v>22</v>
      </c>
      <c r="J339" s="4" t="s">
        <v>905</v>
      </c>
      <c r="K339" s="4" t="s">
        <v>118</v>
      </c>
      <c r="M339">
        <f t="shared" si="10"/>
        <v>1896.9136875000002</v>
      </c>
    </row>
    <row r="340" spans="1:13" ht="14" x14ac:dyDescent="0.2">
      <c r="A340" s="4" t="s">
        <v>906</v>
      </c>
      <c r="B340" s="5">
        <v>721.0490625000001</v>
      </c>
      <c r="C340" s="5">
        <f t="shared" si="11"/>
        <v>72.104906250000013</v>
      </c>
      <c r="D340" s="4">
        <v>10</v>
      </c>
      <c r="E340" s="5" t="s">
        <v>10</v>
      </c>
      <c r="F340" s="4" t="s">
        <v>907</v>
      </c>
      <c r="G340" s="4" t="s">
        <v>20</v>
      </c>
      <c r="H340" s="4" t="s">
        <v>908</v>
      </c>
      <c r="I340" s="4" t="s">
        <v>22</v>
      </c>
      <c r="J340" s="4" t="s">
        <v>52</v>
      </c>
      <c r="K340" s="4" t="s">
        <v>87</v>
      </c>
      <c r="M340">
        <f t="shared" si="10"/>
        <v>64.894415625000008</v>
      </c>
    </row>
    <row r="341" spans="1:13" ht="14" x14ac:dyDescent="0.2">
      <c r="A341" s="4" t="s">
        <v>909</v>
      </c>
      <c r="B341" s="5">
        <v>1553.0287500000002</v>
      </c>
      <c r="C341" s="5">
        <f t="shared" si="11"/>
        <v>1553.0287500000002</v>
      </c>
      <c r="D341" s="4">
        <v>1</v>
      </c>
      <c r="E341" s="5" t="s">
        <v>181</v>
      </c>
      <c r="F341" s="4" t="s">
        <v>182</v>
      </c>
      <c r="G341" s="4" t="s">
        <v>20</v>
      </c>
      <c r="H341" s="4" t="s">
        <v>910</v>
      </c>
      <c r="I341" s="4" t="s">
        <v>22</v>
      </c>
      <c r="J341" s="4" t="s">
        <v>184</v>
      </c>
      <c r="K341" s="4" t="s">
        <v>87</v>
      </c>
      <c r="M341">
        <f t="shared" si="10"/>
        <v>1397.7258750000001</v>
      </c>
    </row>
    <row r="342" spans="1:13" ht="14" x14ac:dyDescent="0.2">
      <c r="A342" s="4" t="s">
        <v>911</v>
      </c>
      <c r="B342" s="5">
        <v>1996.7512500000003</v>
      </c>
      <c r="C342" s="5">
        <f t="shared" si="11"/>
        <v>1996.7512500000003</v>
      </c>
      <c r="D342" s="4">
        <v>1</v>
      </c>
      <c r="E342" s="5" t="s">
        <v>181</v>
      </c>
      <c r="F342" s="4" t="s">
        <v>182</v>
      </c>
      <c r="G342" s="4" t="s">
        <v>20</v>
      </c>
      <c r="H342" s="4" t="s">
        <v>911</v>
      </c>
      <c r="I342" s="4" t="s">
        <v>22</v>
      </c>
      <c r="J342" s="4" t="s">
        <v>184</v>
      </c>
      <c r="K342" s="4" t="s">
        <v>87</v>
      </c>
      <c r="M342">
        <f t="shared" si="10"/>
        <v>1797.0761250000003</v>
      </c>
    </row>
    <row r="343" spans="1:13" ht="14" x14ac:dyDescent="0.2">
      <c r="A343" s="4" t="s">
        <v>912</v>
      </c>
      <c r="B343" s="5">
        <v>69886.293750000012</v>
      </c>
      <c r="C343" s="5">
        <f t="shared" si="11"/>
        <v>3494.3146875000007</v>
      </c>
      <c r="D343" s="4">
        <v>20</v>
      </c>
      <c r="E343" s="4" t="s">
        <v>913</v>
      </c>
      <c r="F343" s="4" t="s">
        <v>912</v>
      </c>
      <c r="G343" s="4" t="s">
        <v>12</v>
      </c>
      <c r="H343" s="4" t="s">
        <v>914</v>
      </c>
      <c r="I343" s="4"/>
      <c r="J343" s="4" t="s">
        <v>915</v>
      </c>
      <c r="K343" s="4" t="s">
        <v>74</v>
      </c>
      <c r="M343">
        <f t="shared" si="10"/>
        <v>3144.8832187500007</v>
      </c>
    </row>
    <row r="344" spans="1:13" ht="14" x14ac:dyDescent="0.2">
      <c r="A344" s="4" t="s">
        <v>916</v>
      </c>
      <c r="B344" s="5">
        <v>41266.192500000005</v>
      </c>
      <c r="C344" s="5">
        <f t="shared" si="11"/>
        <v>41266.192500000005</v>
      </c>
      <c r="D344" s="4">
        <v>1</v>
      </c>
      <c r="E344" s="4" t="s">
        <v>124</v>
      </c>
      <c r="F344" s="4" t="s">
        <v>916</v>
      </c>
      <c r="G344" s="4" t="s">
        <v>12</v>
      </c>
      <c r="H344" s="4" t="s">
        <v>917</v>
      </c>
      <c r="I344" s="4"/>
      <c r="J344" s="4" t="s">
        <v>918</v>
      </c>
      <c r="K344" s="4" t="s">
        <v>74</v>
      </c>
      <c r="M344">
        <f t="shared" si="10"/>
        <v>37139.573250000001</v>
      </c>
    </row>
    <row r="345" spans="1:13" ht="14" x14ac:dyDescent="0.2">
      <c r="A345" s="4" t="s">
        <v>919</v>
      </c>
      <c r="B345" s="5">
        <v>3911.4138375000002</v>
      </c>
      <c r="C345" s="5">
        <f t="shared" si="11"/>
        <v>139.69335133928573</v>
      </c>
      <c r="D345" s="4">
        <v>28</v>
      </c>
      <c r="E345" s="5" t="s">
        <v>10</v>
      </c>
      <c r="F345" s="4" t="s">
        <v>920</v>
      </c>
      <c r="G345" s="4" t="s">
        <v>12</v>
      </c>
      <c r="H345" s="4" t="s">
        <v>920</v>
      </c>
      <c r="I345" s="4" t="s">
        <v>22</v>
      </c>
      <c r="J345" s="4" t="s">
        <v>271</v>
      </c>
      <c r="K345" s="4" t="s">
        <v>312</v>
      </c>
      <c r="M345">
        <f t="shared" si="10"/>
        <v>125.72401620535715</v>
      </c>
    </row>
    <row r="346" spans="1:13" ht="14" x14ac:dyDescent="0.2">
      <c r="A346" s="4" t="s">
        <v>921</v>
      </c>
      <c r="B346" s="5">
        <v>5878.2138187500013</v>
      </c>
      <c r="C346" s="5">
        <f t="shared" si="11"/>
        <v>209.93620781250004</v>
      </c>
      <c r="D346" s="4">
        <v>28</v>
      </c>
      <c r="E346" s="5" t="s">
        <v>10</v>
      </c>
      <c r="F346" s="4" t="s">
        <v>920</v>
      </c>
      <c r="G346" s="4" t="s">
        <v>12</v>
      </c>
      <c r="H346" s="4" t="s">
        <v>920</v>
      </c>
      <c r="I346" s="4" t="s">
        <v>22</v>
      </c>
      <c r="J346" s="4" t="s">
        <v>200</v>
      </c>
      <c r="K346" s="4" t="s">
        <v>312</v>
      </c>
      <c r="M346">
        <f t="shared" si="10"/>
        <v>188.94258703125004</v>
      </c>
    </row>
    <row r="347" spans="1:13" ht="14" x14ac:dyDescent="0.2">
      <c r="A347" s="4" t="s">
        <v>922</v>
      </c>
      <c r="B347" s="5">
        <v>1794.8575125000002</v>
      </c>
      <c r="C347" s="5">
        <f t="shared" si="11"/>
        <v>59.828583750000007</v>
      </c>
      <c r="D347" s="4">
        <v>30</v>
      </c>
      <c r="E347" s="5" t="s">
        <v>30</v>
      </c>
      <c r="F347" s="4" t="s">
        <v>923</v>
      </c>
      <c r="G347" s="4" t="s">
        <v>20</v>
      </c>
      <c r="H347" s="4" t="s">
        <v>924</v>
      </c>
      <c r="I347" s="4" t="s">
        <v>22</v>
      </c>
      <c r="J347" s="4" t="s">
        <v>925</v>
      </c>
      <c r="K347" s="4" t="s">
        <v>34</v>
      </c>
      <c r="M347">
        <f t="shared" si="10"/>
        <v>53.845725375000008</v>
      </c>
    </row>
    <row r="348" spans="1:13" ht="14" x14ac:dyDescent="0.2">
      <c r="A348" s="4" t="s">
        <v>926</v>
      </c>
      <c r="B348" s="5">
        <v>3993.5025000000005</v>
      </c>
      <c r="C348" s="5">
        <f t="shared" si="11"/>
        <v>3993.5025000000005</v>
      </c>
      <c r="D348" s="4">
        <v>1</v>
      </c>
      <c r="E348" s="5" t="s">
        <v>59</v>
      </c>
      <c r="F348" s="4" t="s">
        <v>927</v>
      </c>
      <c r="G348" s="4" t="s">
        <v>20</v>
      </c>
      <c r="H348" s="4" t="s">
        <v>926</v>
      </c>
      <c r="I348" s="4" t="s">
        <v>22</v>
      </c>
      <c r="J348" s="4" t="s">
        <v>928</v>
      </c>
      <c r="K348" s="4" t="s">
        <v>34</v>
      </c>
      <c r="M348">
        <f t="shared" si="10"/>
        <v>3594.1522500000005</v>
      </c>
    </row>
    <row r="349" spans="1:13" ht="14" x14ac:dyDescent="0.2">
      <c r="A349" s="4" t="s">
        <v>5210</v>
      </c>
      <c r="B349" s="5">
        <v>321698.8125</v>
      </c>
      <c r="C349" s="5">
        <f t="shared" si="11"/>
        <v>10723.293750000001</v>
      </c>
      <c r="D349" s="4">
        <v>30</v>
      </c>
      <c r="E349" s="5" t="s">
        <v>10</v>
      </c>
      <c r="F349" s="4" t="s">
        <v>5211</v>
      </c>
      <c r="G349" s="4" t="s">
        <v>12</v>
      </c>
      <c r="H349" s="4" t="s">
        <v>5211</v>
      </c>
      <c r="I349" s="4" t="s">
        <v>22</v>
      </c>
      <c r="J349" s="4" t="s">
        <v>1261</v>
      </c>
      <c r="K349" s="4" t="s">
        <v>227</v>
      </c>
      <c r="M349">
        <f t="shared" ref="M349:M412" si="12">C349-(C349* 10%)</f>
        <v>9650.9643750000014</v>
      </c>
    </row>
    <row r="350" spans="1:13" ht="14" x14ac:dyDescent="0.2">
      <c r="A350" s="4" t="s">
        <v>929</v>
      </c>
      <c r="B350" s="5">
        <v>2773.2656250000005</v>
      </c>
      <c r="C350" s="5">
        <f t="shared" si="11"/>
        <v>277.32656250000002</v>
      </c>
      <c r="D350" s="4">
        <v>10</v>
      </c>
      <c r="E350" s="5" t="s">
        <v>59</v>
      </c>
      <c r="F350" s="4" t="s">
        <v>930</v>
      </c>
      <c r="G350" s="4" t="s">
        <v>20</v>
      </c>
      <c r="H350" s="4" t="s">
        <v>930</v>
      </c>
      <c r="I350" s="4" t="s">
        <v>14</v>
      </c>
      <c r="J350" s="4" t="s">
        <v>931</v>
      </c>
      <c r="K350" s="4" t="s">
        <v>87</v>
      </c>
      <c r="M350">
        <f t="shared" si="12"/>
        <v>249.59390625000003</v>
      </c>
    </row>
    <row r="351" spans="1:13" ht="14" x14ac:dyDescent="0.2">
      <c r="A351" s="4" t="s">
        <v>932</v>
      </c>
      <c r="B351" s="5">
        <v>4437.2250000000004</v>
      </c>
      <c r="C351" s="5">
        <f t="shared" si="11"/>
        <v>443.72250000000003</v>
      </c>
      <c r="D351" s="4">
        <v>10</v>
      </c>
      <c r="E351" s="5" t="s">
        <v>10</v>
      </c>
      <c r="F351" s="4" t="s">
        <v>933</v>
      </c>
      <c r="G351" s="4" t="s">
        <v>20</v>
      </c>
      <c r="H351" s="4" t="s">
        <v>934</v>
      </c>
      <c r="I351" s="4" t="s">
        <v>14</v>
      </c>
      <c r="J351" s="4" t="s">
        <v>935</v>
      </c>
      <c r="K351" s="4" t="s">
        <v>34</v>
      </c>
      <c r="M351">
        <f t="shared" si="12"/>
        <v>399.35025000000002</v>
      </c>
    </row>
    <row r="352" spans="1:13" ht="14" x14ac:dyDescent="0.2">
      <c r="A352" s="7" t="s">
        <v>5212</v>
      </c>
      <c r="B352" s="10">
        <v>16084.940625000001</v>
      </c>
      <c r="C352" s="5">
        <f t="shared" si="11"/>
        <v>2010.6175781250001</v>
      </c>
      <c r="D352" s="9">
        <v>8</v>
      </c>
      <c r="E352" s="10" t="s">
        <v>5193</v>
      </c>
      <c r="F352" s="7" t="s">
        <v>5213</v>
      </c>
      <c r="H352" s="7" t="s">
        <v>5214</v>
      </c>
      <c r="I352" s="7" t="s">
        <v>22</v>
      </c>
      <c r="J352" s="7" t="s">
        <v>5215</v>
      </c>
      <c r="K352" s="7" t="s">
        <v>227</v>
      </c>
      <c r="M352">
        <f t="shared" si="12"/>
        <v>1809.5558203125001</v>
      </c>
    </row>
    <row r="353" spans="1:25" ht="14" x14ac:dyDescent="0.2">
      <c r="A353" s="4" t="s">
        <v>936</v>
      </c>
      <c r="B353" s="5">
        <v>4437.2250000000004</v>
      </c>
      <c r="C353" s="5">
        <f t="shared" si="11"/>
        <v>4437.2250000000004</v>
      </c>
      <c r="D353" s="4">
        <v>1</v>
      </c>
      <c r="E353" s="5" t="s">
        <v>10</v>
      </c>
      <c r="F353" s="4" t="s">
        <v>937</v>
      </c>
      <c r="G353" s="4" t="s">
        <v>20</v>
      </c>
      <c r="H353" s="4" t="s">
        <v>938</v>
      </c>
      <c r="I353" s="4" t="s">
        <v>22</v>
      </c>
      <c r="K353" s="4" t="s">
        <v>34</v>
      </c>
      <c r="M353">
        <f t="shared" si="12"/>
        <v>3993.5025000000005</v>
      </c>
    </row>
    <row r="354" spans="1:25" ht="14" x14ac:dyDescent="0.2">
      <c r="A354" s="7" t="s">
        <v>5216</v>
      </c>
      <c r="B354" s="10">
        <v>17083.31625</v>
      </c>
      <c r="C354" s="5">
        <f t="shared" si="11"/>
        <v>17083.31625</v>
      </c>
      <c r="D354" s="9">
        <v>1</v>
      </c>
      <c r="E354" s="10" t="s">
        <v>5217</v>
      </c>
      <c r="F354" s="7" t="s">
        <v>1604</v>
      </c>
      <c r="G354" s="7" t="s">
        <v>12</v>
      </c>
      <c r="H354" s="7" t="s">
        <v>5218</v>
      </c>
      <c r="I354" s="7" t="s">
        <v>14</v>
      </c>
      <c r="J354" s="7" t="s">
        <v>25</v>
      </c>
      <c r="K354" s="7" t="s">
        <v>244</v>
      </c>
      <c r="L354" s="4"/>
      <c r="M354">
        <f t="shared" si="12"/>
        <v>15374.984624999999</v>
      </c>
      <c r="N354" s="3"/>
      <c r="O354" s="3"/>
      <c r="P354" s="3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" x14ac:dyDescent="0.2">
      <c r="A355" s="4" t="s">
        <v>939</v>
      </c>
      <c r="B355" s="5">
        <v>21076.818750000002</v>
      </c>
      <c r="C355" s="5">
        <f t="shared" si="11"/>
        <v>702.56062500000007</v>
      </c>
      <c r="D355" s="4">
        <v>30</v>
      </c>
      <c r="E355" s="5" t="s">
        <v>10</v>
      </c>
      <c r="F355" s="4" t="s">
        <v>940</v>
      </c>
      <c r="G355" s="4" t="s">
        <v>12</v>
      </c>
      <c r="H355" s="4" t="s">
        <v>941</v>
      </c>
      <c r="I355" s="4" t="s">
        <v>14</v>
      </c>
      <c r="J355" s="4" t="s">
        <v>942</v>
      </c>
      <c r="K355" s="4" t="s">
        <v>90</v>
      </c>
      <c r="M355">
        <f t="shared" si="12"/>
        <v>632.30456250000009</v>
      </c>
    </row>
    <row r="356" spans="1:25" ht="14" x14ac:dyDescent="0.2">
      <c r="A356" s="4" t="s">
        <v>943</v>
      </c>
      <c r="B356" s="5">
        <v>19967.512500000001</v>
      </c>
      <c r="C356" s="5">
        <f t="shared" si="11"/>
        <v>665.58375000000001</v>
      </c>
      <c r="D356" s="4">
        <v>30</v>
      </c>
      <c r="E356" s="5" t="s">
        <v>10</v>
      </c>
      <c r="F356" s="4" t="s">
        <v>944</v>
      </c>
      <c r="G356" s="4" t="s">
        <v>12</v>
      </c>
      <c r="H356" s="4" t="s">
        <v>941</v>
      </c>
      <c r="I356" s="4" t="s">
        <v>14</v>
      </c>
      <c r="J356" s="4" t="s">
        <v>945</v>
      </c>
      <c r="K356" s="4" t="s">
        <v>90</v>
      </c>
      <c r="M356">
        <f t="shared" si="12"/>
        <v>599.02537500000005</v>
      </c>
    </row>
    <row r="357" spans="1:25" ht="14" x14ac:dyDescent="0.2">
      <c r="A357" s="4" t="s">
        <v>946</v>
      </c>
      <c r="B357" s="5">
        <v>16639.59375</v>
      </c>
      <c r="C357" s="5">
        <f t="shared" si="11"/>
        <v>554.65312500000005</v>
      </c>
      <c r="D357" s="4">
        <v>30</v>
      </c>
      <c r="E357" s="5" t="s">
        <v>10</v>
      </c>
      <c r="F357" s="4" t="s">
        <v>947</v>
      </c>
      <c r="G357" s="4" t="s">
        <v>20</v>
      </c>
      <c r="H357" s="4" t="s">
        <v>948</v>
      </c>
      <c r="I357" s="4" t="s">
        <v>14</v>
      </c>
      <c r="J357" s="4" t="s">
        <v>271</v>
      </c>
      <c r="K357" s="4" t="s">
        <v>87</v>
      </c>
      <c r="M357">
        <f t="shared" si="12"/>
        <v>499.18781250000006</v>
      </c>
    </row>
    <row r="358" spans="1:25" ht="14" x14ac:dyDescent="0.2">
      <c r="A358" s="4" t="s">
        <v>949</v>
      </c>
      <c r="B358" s="5">
        <v>1663.9593750000001</v>
      </c>
      <c r="C358" s="5">
        <f t="shared" si="11"/>
        <v>1663.9593750000001</v>
      </c>
      <c r="D358" s="4">
        <v>1</v>
      </c>
      <c r="E358" s="5" t="s">
        <v>950</v>
      </c>
      <c r="F358" s="4" t="s">
        <v>951</v>
      </c>
      <c r="G358" s="4" t="s">
        <v>20</v>
      </c>
      <c r="H358" s="4" t="s">
        <v>949</v>
      </c>
      <c r="I358" s="4" t="s">
        <v>22</v>
      </c>
      <c r="J358" s="4" t="s">
        <v>952</v>
      </c>
      <c r="K358" s="4" t="s">
        <v>179</v>
      </c>
      <c r="M358">
        <f t="shared" si="12"/>
        <v>1497.5634375000002</v>
      </c>
    </row>
    <row r="359" spans="1:25" ht="14" x14ac:dyDescent="0.2">
      <c r="A359" s="4" t="s">
        <v>953</v>
      </c>
      <c r="B359" s="5">
        <v>9872.8256250000013</v>
      </c>
      <c r="C359" s="5">
        <f t="shared" si="11"/>
        <v>9872.8256250000013</v>
      </c>
      <c r="D359" s="4">
        <v>1</v>
      </c>
      <c r="E359" s="5" t="s">
        <v>25</v>
      </c>
      <c r="F359" s="4" t="s">
        <v>954</v>
      </c>
      <c r="G359" s="4" t="s">
        <v>20</v>
      </c>
      <c r="H359" s="4" t="s">
        <v>953</v>
      </c>
      <c r="I359" s="4" t="s">
        <v>14</v>
      </c>
      <c r="J359" s="4" t="s">
        <v>955</v>
      </c>
      <c r="K359" s="4" t="s">
        <v>34</v>
      </c>
      <c r="M359">
        <f t="shared" si="12"/>
        <v>8885.5430625000008</v>
      </c>
    </row>
    <row r="360" spans="1:25" ht="14" x14ac:dyDescent="0.2">
      <c r="A360" s="4" t="s">
        <v>956</v>
      </c>
      <c r="B360" s="5">
        <v>7709.6784375000007</v>
      </c>
      <c r="C360" s="5">
        <f t="shared" si="11"/>
        <v>256.98928125000003</v>
      </c>
      <c r="D360" s="4">
        <v>30</v>
      </c>
      <c r="E360" s="5" t="s">
        <v>957</v>
      </c>
      <c r="F360" s="4" t="s">
        <v>958</v>
      </c>
      <c r="G360" s="4" t="s">
        <v>20</v>
      </c>
      <c r="H360" s="4" t="s">
        <v>956</v>
      </c>
      <c r="I360" s="4" t="s">
        <v>14</v>
      </c>
      <c r="J360" s="4" t="s">
        <v>25</v>
      </c>
      <c r="K360" s="4" t="s">
        <v>34</v>
      </c>
      <c r="M360">
        <f t="shared" si="12"/>
        <v>231.29035312500002</v>
      </c>
    </row>
    <row r="361" spans="1:25" ht="14" x14ac:dyDescent="0.2">
      <c r="A361" s="4" t="s">
        <v>959</v>
      </c>
      <c r="B361" s="5">
        <v>13369.358925</v>
      </c>
      <c r="C361" s="5">
        <f t="shared" si="11"/>
        <v>13369.358925</v>
      </c>
      <c r="D361" s="4">
        <v>1</v>
      </c>
      <c r="E361" s="5" t="s">
        <v>10</v>
      </c>
      <c r="F361" s="4" t="s">
        <v>960</v>
      </c>
      <c r="G361" s="4" t="s">
        <v>20</v>
      </c>
      <c r="H361" s="4" t="s">
        <v>961</v>
      </c>
      <c r="I361" s="4" t="s">
        <v>22</v>
      </c>
      <c r="J361" s="4" t="s">
        <v>962</v>
      </c>
      <c r="K361" s="4" t="s">
        <v>34</v>
      </c>
      <c r="M361">
        <f t="shared" si="12"/>
        <v>12032.423032500001</v>
      </c>
    </row>
    <row r="362" spans="1:25" ht="14" x14ac:dyDescent="0.2">
      <c r="A362" s="4" t="s">
        <v>963</v>
      </c>
      <c r="B362" s="5">
        <v>2107.6818750000002</v>
      </c>
      <c r="C362" s="5">
        <f t="shared" si="11"/>
        <v>2107.6818750000002</v>
      </c>
      <c r="D362" s="4">
        <v>1</v>
      </c>
      <c r="E362" s="5" t="s">
        <v>181</v>
      </c>
      <c r="F362" s="4" t="s">
        <v>964</v>
      </c>
      <c r="G362" s="4" t="s">
        <v>20</v>
      </c>
      <c r="H362" s="4" t="s">
        <v>965</v>
      </c>
      <c r="I362" s="4" t="s">
        <v>22</v>
      </c>
      <c r="J362" s="4" t="s">
        <v>966</v>
      </c>
      <c r="K362" s="4" t="s">
        <v>34</v>
      </c>
      <c r="M362">
        <f t="shared" si="12"/>
        <v>1896.9136875000002</v>
      </c>
    </row>
    <row r="363" spans="1:25" ht="14" x14ac:dyDescent="0.2">
      <c r="A363" s="4" t="s">
        <v>967</v>
      </c>
      <c r="B363" s="5">
        <v>3993.5025000000005</v>
      </c>
      <c r="C363" s="5">
        <f t="shared" si="11"/>
        <v>133.11675000000002</v>
      </c>
      <c r="D363" s="4">
        <v>30</v>
      </c>
      <c r="E363" s="5" t="s">
        <v>10</v>
      </c>
      <c r="F363" s="4" t="s">
        <v>968</v>
      </c>
      <c r="G363" s="4" t="s">
        <v>20</v>
      </c>
      <c r="H363" s="4" t="s">
        <v>965</v>
      </c>
      <c r="I363" s="4" t="s">
        <v>22</v>
      </c>
      <c r="J363" s="4" t="s">
        <v>207</v>
      </c>
      <c r="K363" s="4" t="s">
        <v>34</v>
      </c>
      <c r="M363">
        <f t="shared" si="12"/>
        <v>119.80507500000002</v>
      </c>
    </row>
    <row r="364" spans="1:25" ht="14" x14ac:dyDescent="0.2">
      <c r="A364" s="4" t="s">
        <v>969</v>
      </c>
      <c r="B364" s="5">
        <v>1947.941775</v>
      </c>
      <c r="C364" s="5">
        <f t="shared" si="11"/>
        <v>19.47941775</v>
      </c>
      <c r="D364" s="4">
        <v>100</v>
      </c>
      <c r="E364" s="5" t="s">
        <v>10</v>
      </c>
      <c r="F364" s="4" t="s">
        <v>970</v>
      </c>
      <c r="G364" s="4" t="s">
        <v>20</v>
      </c>
      <c r="H364" s="4" t="s">
        <v>971</v>
      </c>
      <c r="I364" s="4" t="s">
        <v>22</v>
      </c>
      <c r="J364" s="4" t="s">
        <v>47</v>
      </c>
      <c r="K364" s="4" t="s">
        <v>34</v>
      </c>
      <c r="M364">
        <f t="shared" si="12"/>
        <v>17.531475974999999</v>
      </c>
    </row>
    <row r="365" spans="1:25" ht="14" x14ac:dyDescent="0.2">
      <c r="A365" s="4" t="s">
        <v>972</v>
      </c>
      <c r="B365" s="5">
        <v>19579.255312500001</v>
      </c>
      <c r="C365" s="5">
        <f t="shared" si="11"/>
        <v>652.64184375000002</v>
      </c>
      <c r="D365" s="4">
        <v>30</v>
      </c>
      <c r="E365" s="5" t="s">
        <v>973</v>
      </c>
      <c r="F365" s="4" t="s">
        <v>972</v>
      </c>
      <c r="G365" s="4" t="s">
        <v>20</v>
      </c>
      <c r="H365" s="4" t="s">
        <v>972</v>
      </c>
      <c r="I365" s="4" t="s">
        <v>14</v>
      </c>
      <c r="J365" s="4" t="s">
        <v>974</v>
      </c>
      <c r="K365" s="4" t="s">
        <v>34</v>
      </c>
      <c r="M365">
        <f t="shared" si="12"/>
        <v>587.37765937500001</v>
      </c>
    </row>
    <row r="366" spans="1:25" ht="14" x14ac:dyDescent="0.2">
      <c r="A366" s="4" t="s">
        <v>975</v>
      </c>
      <c r="B366" s="5">
        <v>7432.3518750000003</v>
      </c>
      <c r="C366" s="5">
        <f t="shared" si="11"/>
        <v>247.74506250000002</v>
      </c>
      <c r="D366" s="4">
        <v>30</v>
      </c>
      <c r="E366" s="5" t="s">
        <v>10</v>
      </c>
      <c r="F366" s="4" t="s">
        <v>975</v>
      </c>
      <c r="G366" s="4" t="s">
        <v>20</v>
      </c>
      <c r="H366" s="4" t="s">
        <v>976</v>
      </c>
      <c r="I366" s="4" t="s">
        <v>14</v>
      </c>
      <c r="J366" s="4" t="s">
        <v>977</v>
      </c>
      <c r="K366" s="4" t="s">
        <v>34</v>
      </c>
      <c r="M366">
        <f t="shared" si="12"/>
        <v>222.97055625000002</v>
      </c>
    </row>
    <row r="367" spans="1:25" ht="14" x14ac:dyDescent="0.2">
      <c r="A367" s="4" t="s">
        <v>978</v>
      </c>
      <c r="B367" s="5">
        <v>2995.1268750000004</v>
      </c>
      <c r="C367" s="5">
        <f t="shared" si="11"/>
        <v>249.59390625000003</v>
      </c>
      <c r="D367" s="4">
        <v>12</v>
      </c>
      <c r="E367" s="5" t="s">
        <v>10</v>
      </c>
      <c r="F367" s="4" t="s">
        <v>979</v>
      </c>
      <c r="G367" s="4" t="s">
        <v>20</v>
      </c>
      <c r="H367" s="4" t="s">
        <v>980</v>
      </c>
      <c r="I367" s="4" t="s">
        <v>22</v>
      </c>
      <c r="J367" s="4" t="s">
        <v>981</v>
      </c>
      <c r="K367" s="4" t="s">
        <v>108</v>
      </c>
      <c r="M367">
        <f t="shared" si="12"/>
        <v>224.63451562500003</v>
      </c>
    </row>
    <row r="368" spans="1:25" ht="14" x14ac:dyDescent="0.2">
      <c r="A368" s="4" t="s">
        <v>982</v>
      </c>
      <c r="B368" s="5">
        <v>2773.2656250000005</v>
      </c>
      <c r="C368" s="5">
        <f t="shared" si="11"/>
        <v>462.21093750000006</v>
      </c>
      <c r="D368" s="4">
        <v>6</v>
      </c>
      <c r="E368" s="5" t="s">
        <v>10</v>
      </c>
      <c r="F368" s="4" t="s">
        <v>983</v>
      </c>
      <c r="G368" s="4" t="s">
        <v>20</v>
      </c>
      <c r="H368" s="4" t="s">
        <v>984</v>
      </c>
      <c r="I368" s="4" t="s">
        <v>22</v>
      </c>
      <c r="J368" s="4" t="s">
        <v>985</v>
      </c>
      <c r="K368" s="4" t="s">
        <v>108</v>
      </c>
      <c r="M368">
        <f t="shared" si="12"/>
        <v>415.98984375000003</v>
      </c>
    </row>
    <row r="369" spans="1:25" ht="14" x14ac:dyDescent="0.2">
      <c r="A369" s="4" t="s">
        <v>986</v>
      </c>
      <c r="B369" s="5">
        <v>2773.2656250000005</v>
      </c>
      <c r="C369" s="5">
        <f t="shared" si="11"/>
        <v>924.42187500000011</v>
      </c>
      <c r="D369" s="4">
        <v>3</v>
      </c>
      <c r="E369" s="5" t="s">
        <v>10</v>
      </c>
      <c r="F369" s="4" t="s">
        <v>983</v>
      </c>
      <c r="G369" s="4" t="s">
        <v>20</v>
      </c>
      <c r="H369" s="4" t="s">
        <v>987</v>
      </c>
      <c r="I369" s="4" t="s">
        <v>22</v>
      </c>
      <c r="J369" s="4" t="s">
        <v>988</v>
      </c>
      <c r="K369" s="4" t="s">
        <v>108</v>
      </c>
      <c r="M369">
        <f t="shared" si="12"/>
        <v>831.97968750000007</v>
      </c>
    </row>
    <row r="370" spans="1:25" ht="14" x14ac:dyDescent="0.2">
      <c r="A370" s="4" t="s">
        <v>989</v>
      </c>
      <c r="B370" s="5">
        <v>2773.2656250000005</v>
      </c>
      <c r="C370" s="5">
        <f t="shared" si="11"/>
        <v>924.42187500000011</v>
      </c>
      <c r="D370" s="4">
        <v>3</v>
      </c>
      <c r="E370" s="5" t="s">
        <v>202</v>
      </c>
      <c r="F370" s="4" t="s">
        <v>979</v>
      </c>
      <c r="G370" s="4" t="s">
        <v>20</v>
      </c>
      <c r="H370" s="4" t="s">
        <v>990</v>
      </c>
      <c r="I370" s="4" t="s">
        <v>22</v>
      </c>
      <c r="J370" s="4" t="s">
        <v>991</v>
      </c>
      <c r="K370" s="4" t="s">
        <v>108</v>
      </c>
      <c r="M370">
        <f t="shared" si="12"/>
        <v>831.97968750000007</v>
      </c>
    </row>
    <row r="371" spans="1:25" ht="14" x14ac:dyDescent="0.2">
      <c r="A371" s="4" t="s">
        <v>992</v>
      </c>
      <c r="B371" s="5">
        <v>17748.900000000001</v>
      </c>
      <c r="C371" s="5">
        <f t="shared" si="11"/>
        <v>633.88928571428573</v>
      </c>
      <c r="D371" s="4">
        <v>28</v>
      </c>
      <c r="E371" s="5" t="s">
        <v>10</v>
      </c>
      <c r="F371" s="4" t="s">
        <v>992</v>
      </c>
      <c r="G371" s="4" t="s">
        <v>12</v>
      </c>
      <c r="H371" s="4" t="s">
        <v>993</v>
      </c>
      <c r="I371" s="4" t="s">
        <v>22</v>
      </c>
      <c r="J371" s="4" t="s">
        <v>994</v>
      </c>
      <c r="K371" s="4" t="s">
        <v>90</v>
      </c>
      <c r="M371">
        <f t="shared" si="12"/>
        <v>570.50035714285718</v>
      </c>
    </row>
    <row r="372" spans="1:25" ht="14" x14ac:dyDescent="0.2">
      <c r="A372" s="4" t="s">
        <v>995</v>
      </c>
      <c r="B372" s="5">
        <v>8540.5488187500014</v>
      </c>
      <c r="C372" s="5">
        <f t="shared" si="11"/>
        <v>284.68496062500003</v>
      </c>
      <c r="D372" s="4">
        <v>30</v>
      </c>
      <c r="E372" s="5" t="s">
        <v>10</v>
      </c>
      <c r="F372" s="4" t="s">
        <v>996</v>
      </c>
      <c r="G372" s="4" t="s">
        <v>12</v>
      </c>
      <c r="H372" s="4" t="s">
        <v>996</v>
      </c>
      <c r="I372" s="4" t="s">
        <v>22</v>
      </c>
      <c r="J372" s="4" t="s">
        <v>161</v>
      </c>
      <c r="K372" s="4" t="s">
        <v>90</v>
      </c>
      <c r="M372">
        <f t="shared" si="12"/>
        <v>256.21646456250005</v>
      </c>
    </row>
    <row r="373" spans="1:25" ht="14" x14ac:dyDescent="0.2">
      <c r="A373" s="4" t="s">
        <v>997</v>
      </c>
      <c r="B373" s="5">
        <v>6352.9968937500007</v>
      </c>
      <c r="C373" s="5">
        <f t="shared" si="11"/>
        <v>211.76656312500003</v>
      </c>
      <c r="D373" s="4">
        <v>30</v>
      </c>
      <c r="E373" s="5" t="s">
        <v>10</v>
      </c>
      <c r="F373" s="4" t="s">
        <v>996</v>
      </c>
      <c r="G373" s="4" t="s">
        <v>12</v>
      </c>
      <c r="H373" s="4" t="s">
        <v>996</v>
      </c>
      <c r="I373" s="4" t="s">
        <v>22</v>
      </c>
      <c r="J373" s="4" t="s">
        <v>163</v>
      </c>
      <c r="K373" s="4" t="s">
        <v>90</v>
      </c>
      <c r="M373">
        <f t="shared" si="12"/>
        <v>190.58990681250003</v>
      </c>
    </row>
    <row r="374" spans="1:25" ht="14" x14ac:dyDescent="0.2">
      <c r="A374" s="4" t="s">
        <v>998</v>
      </c>
      <c r="B374" s="5">
        <v>16628.500687500004</v>
      </c>
      <c r="C374" s="5">
        <f t="shared" si="11"/>
        <v>554.28335625000011</v>
      </c>
      <c r="D374" s="4">
        <v>30</v>
      </c>
      <c r="E374" s="5" t="s">
        <v>10</v>
      </c>
      <c r="F374" s="4" t="s">
        <v>999</v>
      </c>
      <c r="G374" s="4" t="s">
        <v>12</v>
      </c>
      <c r="H374" s="4" t="s">
        <v>1000</v>
      </c>
      <c r="I374" s="4" t="s">
        <v>22</v>
      </c>
      <c r="J374" s="4" t="s">
        <v>168</v>
      </c>
      <c r="K374" s="4" t="s">
        <v>90</v>
      </c>
      <c r="M374">
        <f t="shared" si="12"/>
        <v>498.85502062500007</v>
      </c>
    </row>
    <row r="375" spans="1:25" ht="14" x14ac:dyDescent="0.2">
      <c r="A375" s="4" t="s">
        <v>1001</v>
      </c>
      <c r="B375" s="5">
        <v>20595.379837500004</v>
      </c>
      <c r="C375" s="5">
        <f t="shared" si="11"/>
        <v>210.15693711734698</v>
      </c>
      <c r="D375" s="4">
        <v>98</v>
      </c>
      <c r="E375" s="5" t="s">
        <v>10</v>
      </c>
      <c r="F375" s="4" t="s">
        <v>999</v>
      </c>
      <c r="G375" s="4" t="s">
        <v>12</v>
      </c>
      <c r="H375" s="4" t="s">
        <v>1000</v>
      </c>
      <c r="I375" s="4" t="s">
        <v>22</v>
      </c>
      <c r="J375" s="4" t="s">
        <v>1002</v>
      </c>
      <c r="K375" s="4" t="s">
        <v>90</v>
      </c>
      <c r="M375">
        <f t="shared" si="12"/>
        <v>189.14124340561227</v>
      </c>
    </row>
    <row r="376" spans="1:25" ht="14" x14ac:dyDescent="0.2">
      <c r="A376" s="4" t="s">
        <v>1003</v>
      </c>
      <c r="B376" s="5">
        <v>3549.78</v>
      </c>
      <c r="C376" s="5">
        <f t="shared" si="11"/>
        <v>591.63</v>
      </c>
      <c r="D376" s="4">
        <v>6</v>
      </c>
      <c r="E376" s="5" t="s">
        <v>10</v>
      </c>
      <c r="F376" s="4" t="s">
        <v>1004</v>
      </c>
      <c r="G376" s="4" t="s">
        <v>20</v>
      </c>
      <c r="H376" s="4" t="s">
        <v>1005</v>
      </c>
      <c r="I376" s="4" t="s">
        <v>22</v>
      </c>
      <c r="J376" s="4" t="s">
        <v>140</v>
      </c>
      <c r="K376" s="4" t="s">
        <v>103</v>
      </c>
      <c r="M376">
        <f t="shared" si="12"/>
        <v>532.46699999999998</v>
      </c>
    </row>
    <row r="377" spans="1:25" ht="14" x14ac:dyDescent="0.2">
      <c r="A377" s="4" t="s">
        <v>1006</v>
      </c>
      <c r="B377" s="5">
        <v>2107.6818750000002</v>
      </c>
      <c r="C377" s="5">
        <f t="shared" si="11"/>
        <v>2107.6818750000002</v>
      </c>
      <c r="D377" s="4">
        <v>1</v>
      </c>
      <c r="E377" s="5" t="s">
        <v>55</v>
      </c>
      <c r="F377" s="4" t="s">
        <v>1007</v>
      </c>
      <c r="G377" s="4" t="s">
        <v>20</v>
      </c>
      <c r="H377" s="4" t="s">
        <v>1008</v>
      </c>
      <c r="I377" s="4" t="s">
        <v>22</v>
      </c>
      <c r="J377" s="4" t="s">
        <v>1009</v>
      </c>
      <c r="K377" s="4" t="s">
        <v>103</v>
      </c>
      <c r="M377">
        <f t="shared" si="12"/>
        <v>1896.9136875000002</v>
      </c>
    </row>
    <row r="378" spans="1:25" ht="14" x14ac:dyDescent="0.2">
      <c r="A378" s="4" t="s">
        <v>1010</v>
      </c>
      <c r="B378" s="5">
        <v>6497.2067062500009</v>
      </c>
      <c r="C378" s="5">
        <f t="shared" si="11"/>
        <v>2165.7355687500003</v>
      </c>
      <c r="D378" s="4">
        <v>3</v>
      </c>
      <c r="E378" s="5" t="s">
        <v>10</v>
      </c>
      <c r="F378" s="4" t="s">
        <v>1011</v>
      </c>
      <c r="G378" s="4" t="s">
        <v>20</v>
      </c>
      <c r="H378" s="4" t="s">
        <v>1012</v>
      </c>
      <c r="I378" s="4" t="s">
        <v>22</v>
      </c>
      <c r="J378" s="4" t="s">
        <v>207</v>
      </c>
      <c r="K378" s="4" t="s">
        <v>103</v>
      </c>
      <c r="M378">
        <f t="shared" si="12"/>
        <v>1949.1620118750002</v>
      </c>
    </row>
    <row r="379" spans="1:25" ht="14" x14ac:dyDescent="0.2">
      <c r="A379" s="7" t="s">
        <v>5219</v>
      </c>
      <c r="B379" s="10">
        <v>332.791875</v>
      </c>
      <c r="C379" s="5">
        <f t="shared" si="11"/>
        <v>332.791875</v>
      </c>
      <c r="D379" s="9">
        <v>1</v>
      </c>
      <c r="E379" s="10" t="s">
        <v>25</v>
      </c>
      <c r="F379" s="7" t="s">
        <v>5220</v>
      </c>
      <c r="G379" s="7" t="s">
        <v>12</v>
      </c>
      <c r="H379" s="7" t="s">
        <v>5220</v>
      </c>
      <c r="I379" s="7" t="s">
        <v>22</v>
      </c>
      <c r="J379" s="7" t="s">
        <v>25</v>
      </c>
      <c r="K379" s="7" t="s">
        <v>28</v>
      </c>
      <c r="L379" s="4"/>
      <c r="M379">
        <f t="shared" si="12"/>
        <v>299.51268750000003</v>
      </c>
      <c r="N379" s="3"/>
      <c r="O379" s="3"/>
      <c r="P379" s="3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" x14ac:dyDescent="0.2">
      <c r="A380" s="4" t="s">
        <v>1013</v>
      </c>
      <c r="B380" s="5">
        <v>27732.656250000004</v>
      </c>
      <c r="C380" s="5">
        <f t="shared" si="11"/>
        <v>924.42187500000011</v>
      </c>
      <c r="D380" s="4">
        <v>30</v>
      </c>
      <c r="E380" s="4" t="s">
        <v>973</v>
      </c>
      <c r="F380" s="4" t="s">
        <v>1013</v>
      </c>
      <c r="G380" s="4" t="s">
        <v>12</v>
      </c>
      <c r="H380" s="4" t="s">
        <v>1014</v>
      </c>
      <c r="I380" s="4"/>
      <c r="J380" s="4" t="s">
        <v>67</v>
      </c>
      <c r="K380" s="4" t="s">
        <v>850</v>
      </c>
      <c r="M380">
        <f t="shared" si="12"/>
        <v>831.97968750000007</v>
      </c>
    </row>
    <row r="381" spans="1:25" ht="14" x14ac:dyDescent="0.2">
      <c r="A381" s="4" t="s">
        <v>1015</v>
      </c>
      <c r="B381" s="5">
        <v>6589.2791250000009</v>
      </c>
      <c r="C381" s="5">
        <f t="shared" si="11"/>
        <v>117.6656986607143</v>
      </c>
      <c r="D381" s="4">
        <v>56</v>
      </c>
      <c r="E381" s="5" t="s">
        <v>10</v>
      </c>
      <c r="F381" s="4" t="s">
        <v>1016</v>
      </c>
      <c r="G381" s="4" t="s">
        <v>12</v>
      </c>
      <c r="H381" s="4" t="s">
        <v>1017</v>
      </c>
      <c r="I381" s="4" t="s">
        <v>22</v>
      </c>
      <c r="J381" s="4" t="s">
        <v>15</v>
      </c>
      <c r="K381" s="4" t="s">
        <v>90</v>
      </c>
      <c r="M381">
        <f t="shared" si="12"/>
        <v>105.89912879464286</v>
      </c>
    </row>
    <row r="382" spans="1:25" ht="14" x14ac:dyDescent="0.2">
      <c r="A382" s="4" t="s">
        <v>1018</v>
      </c>
      <c r="B382" s="5">
        <v>7547.7197250000008</v>
      </c>
      <c r="C382" s="5">
        <f t="shared" si="11"/>
        <v>134.78070937500001</v>
      </c>
      <c r="D382" s="4">
        <v>56</v>
      </c>
      <c r="E382" s="5" t="s">
        <v>10</v>
      </c>
      <c r="F382" s="4" t="s">
        <v>1016</v>
      </c>
      <c r="G382" s="4" t="s">
        <v>12</v>
      </c>
      <c r="H382" s="4" t="s">
        <v>1016</v>
      </c>
      <c r="I382" s="4" t="s">
        <v>22</v>
      </c>
      <c r="J382" s="4" t="s">
        <v>78</v>
      </c>
      <c r="K382" s="4" t="s">
        <v>90</v>
      </c>
      <c r="M382">
        <f t="shared" si="12"/>
        <v>121.30263843750001</v>
      </c>
    </row>
    <row r="383" spans="1:25" ht="14" x14ac:dyDescent="0.2">
      <c r="A383" s="4" t="s">
        <v>1019</v>
      </c>
      <c r="B383" s="5">
        <v>15729.962625000004</v>
      </c>
      <c r="C383" s="5">
        <f t="shared" si="11"/>
        <v>157.29962625000005</v>
      </c>
      <c r="D383" s="4">
        <v>100</v>
      </c>
      <c r="E383" s="5" t="s">
        <v>10</v>
      </c>
      <c r="F383" s="4" t="s">
        <v>1020</v>
      </c>
      <c r="G383" s="4" t="s">
        <v>12</v>
      </c>
      <c r="H383" s="4" t="s">
        <v>1021</v>
      </c>
      <c r="I383" s="4" t="s">
        <v>22</v>
      </c>
      <c r="J383" s="4" t="s">
        <v>52</v>
      </c>
      <c r="K383" s="4" t="s">
        <v>227</v>
      </c>
      <c r="M383">
        <f t="shared" si="12"/>
        <v>141.56966362500003</v>
      </c>
    </row>
    <row r="384" spans="1:25" ht="14" x14ac:dyDescent="0.2">
      <c r="A384" s="4" t="s">
        <v>1022</v>
      </c>
      <c r="B384" s="5">
        <v>39935.025000000001</v>
      </c>
      <c r="C384" s="5">
        <f t="shared" si="11"/>
        <v>3993.5025000000001</v>
      </c>
      <c r="D384" s="4">
        <v>10</v>
      </c>
      <c r="E384" s="5" t="s">
        <v>124</v>
      </c>
      <c r="F384" s="4" t="s">
        <v>1023</v>
      </c>
      <c r="G384" s="4" t="s">
        <v>20</v>
      </c>
      <c r="H384" s="4" t="s">
        <v>1023</v>
      </c>
      <c r="I384" s="4" t="s">
        <v>22</v>
      </c>
      <c r="J384" s="4" t="s">
        <v>1024</v>
      </c>
      <c r="K384" s="4" t="s">
        <v>68</v>
      </c>
      <c r="M384">
        <f t="shared" si="12"/>
        <v>3594.1522500000001</v>
      </c>
    </row>
    <row r="385" spans="1:13" ht="14" x14ac:dyDescent="0.2">
      <c r="A385" s="4" t="s">
        <v>1025</v>
      </c>
      <c r="B385" s="5">
        <v>14190.24555</v>
      </c>
      <c r="C385" s="5">
        <f t="shared" si="11"/>
        <v>141.9024555</v>
      </c>
      <c r="D385" s="4">
        <v>100</v>
      </c>
      <c r="E385" s="5" t="s">
        <v>10</v>
      </c>
      <c r="F385" s="4" t="s">
        <v>1026</v>
      </c>
      <c r="G385" s="4" t="s">
        <v>12</v>
      </c>
      <c r="H385" s="4" t="s">
        <v>1026</v>
      </c>
      <c r="I385" s="4" t="s">
        <v>22</v>
      </c>
      <c r="J385" s="4" t="s">
        <v>200</v>
      </c>
      <c r="K385" s="4" t="s">
        <v>68</v>
      </c>
      <c r="M385">
        <f t="shared" si="12"/>
        <v>127.71220995</v>
      </c>
    </row>
    <row r="386" spans="1:13" ht="14" x14ac:dyDescent="0.2">
      <c r="A386" s="4" t="s">
        <v>1027</v>
      </c>
      <c r="B386" s="5">
        <v>33279.1875</v>
      </c>
      <c r="C386" s="5">
        <f t="shared" si="11"/>
        <v>332.791875</v>
      </c>
      <c r="D386" s="4">
        <v>100</v>
      </c>
      <c r="E386" s="5" t="s">
        <v>10</v>
      </c>
      <c r="F386" s="4" t="s">
        <v>1028</v>
      </c>
      <c r="G386" s="4" t="s">
        <v>12</v>
      </c>
      <c r="H386" s="4" t="s">
        <v>1029</v>
      </c>
      <c r="I386" s="4" t="s">
        <v>14</v>
      </c>
      <c r="J386" s="4" t="s">
        <v>200</v>
      </c>
      <c r="K386" s="4" t="s">
        <v>68</v>
      </c>
      <c r="M386">
        <f t="shared" si="12"/>
        <v>299.51268750000003</v>
      </c>
    </row>
    <row r="387" spans="1:13" ht="14" x14ac:dyDescent="0.2">
      <c r="A387" s="4" t="s">
        <v>1030</v>
      </c>
      <c r="B387" s="5">
        <v>8652.5887500000008</v>
      </c>
      <c r="C387" s="5">
        <f t="shared" ref="C387:C450" si="13">(B387/D387)</f>
        <v>8652.5887500000008</v>
      </c>
      <c r="D387" s="4">
        <v>1</v>
      </c>
      <c r="E387" s="5" t="s">
        <v>874</v>
      </c>
      <c r="F387" s="4" t="s">
        <v>1030</v>
      </c>
      <c r="G387" s="4" t="s">
        <v>20</v>
      </c>
      <c r="H387" s="4" t="s">
        <v>1030</v>
      </c>
      <c r="I387" s="4" t="s">
        <v>22</v>
      </c>
      <c r="J387" s="8">
        <v>2E-3</v>
      </c>
      <c r="K387" s="4" t="s">
        <v>244</v>
      </c>
      <c r="M387">
        <f t="shared" si="12"/>
        <v>7787.3298750000004</v>
      </c>
    </row>
    <row r="388" spans="1:13" ht="14" x14ac:dyDescent="0.2">
      <c r="A388" s="7" t="s">
        <v>5221</v>
      </c>
      <c r="B388" s="10">
        <v>8874.4500000000007</v>
      </c>
      <c r="C388" s="5">
        <f t="shared" si="13"/>
        <v>8874.4500000000007</v>
      </c>
      <c r="D388" s="9">
        <v>1</v>
      </c>
      <c r="E388" s="10" t="s">
        <v>5222</v>
      </c>
      <c r="F388" s="16" t="s">
        <v>5223</v>
      </c>
      <c r="G388" s="16"/>
      <c r="H388" s="7" t="s">
        <v>5224</v>
      </c>
      <c r="J388" s="7" t="s">
        <v>2290</v>
      </c>
      <c r="K388" s="7" t="s">
        <v>244</v>
      </c>
      <c r="M388">
        <f t="shared" si="12"/>
        <v>7987.005000000001</v>
      </c>
    </row>
    <row r="389" spans="1:13" ht="14" x14ac:dyDescent="0.2">
      <c r="A389" s="4" t="s">
        <v>1031</v>
      </c>
      <c r="B389" s="5">
        <v>12701.556562500002</v>
      </c>
      <c r="C389" s="5">
        <f t="shared" si="13"/>
        <v>423.38521875000004</v>
      </c>
      <c r="D389" s="4">
        <v>30</v>
      </c>
      <c r="E389" s="5" t="s">
        <v>30</v>
      </c>
      <c r="F389" s="4" t="s">
        <v>1032</v>
      </c>
      <c r="G389" s="4" t="s">
        <v>20</v>
      </c>
      <c r="H389" s="4" t="s">
        <v>1033</v>
      </c>
      <c r="I389" s="4" t="s">
        <v>14</v>
      </c>
      <c r="J389" s="4" t="s">
        <v>1034</v>
      </c>
      <c r="K389" s="4" t="s">
        <v>34</v>
      </c>
      <c r="M389">
        <f t="shared" si="12"/>
        <v>381.04669687500001</v>
      </c>
    </row>
    <row r="390" spans="1:13" ht="14" x14ac:dyDescent="0.2">
      <c r="A390" s="4" t="s">
        <v>1035</v>
      </c>
      <c r="B390" s="5">
        <v>5408.9772750000002</v>
      </c>
      <c r="C390" s="5">
        <f t="shared" si="13"/>
        <v>108.1795455</v>
      </c>
      <c r="D390" s="4">
        <v>50</v>
      </c>
      <c r="E390" s="5" t="s">
        <v>10</v>
      </c>
      <c r="F390" s="4" t="s">
        <v>144</v>
      </c>
      <c r="G390" s="4" t="s">
        <v>12</v>
      </c>
      <c r="H390" s="4" t="s">
        <v>1036</v>
      </c>
      <c r="I390" s="4" t="s">
        <v>22</v>
      </c>
      <c r="J390" s="4" t="s">
        <v>148</v>
      </c>
      <c r="K390" s="4" t="s">
        <v>90</v>
      </c>
      <c r="M390">
        <f t="shared" si="12"/>
        <v>97.361590950000007</v>
      </c>
    </row>
    <row r="391" spans="1:13" ht="14" x14ac:dyDescent="0.2">
      <c r="A391" s="4" t="s">
        <v>1037</v>
      </c>
      <c r="B391" s="5">
        <v>9706.4296875</v>
      </c>
      <c r="C391" s="5">
        <f t="shared" si="13"/>
        <v>323.54765624999999</v>
      </c>
      <c r="D391" s="4">
        <v>30</v>
      </c>
      <c r="E391" s="5" t="s">
        <v>10</v>
      </c>
      <c r="F391" s="4" t="s">
        <v>144</v>
      </c>
      <c r="G391" s="4" t="s">
        <v>12</v>
      </c>
      <c r="H391" s="4" t="s">
        <v>1038</v>
      </c>
      <c r="I391" s="4" t="s">
        <v>22</v>
      </c>
      <c r="J391" s="4" t="s">
        <v>548</v>
      </c>
      <c r="K391" s="4" t="s">
        <v>90</v>
      </c>
      <c r="M391">
        <f t="shared" si="12"/>
        <v>291.19289062500002</v>
      </c>
    </row>
    <row r="392" spans="1:13" ht="14" x14ac:dyDescent="0.2">
      <c r="A392" s="4" t="s">
        <v>1039</v>
      </c>
      <c r="B392" s="5">
        <v>26623.350000000002</v>
      </c>
      <c r="C392" s="5">
        <f t="shared" si="13"/>
        <v>950.8339285714286</v>
      </c>
      <c r="D392" s="4">
        <v>28</v>
      </c>
      <c r="E392" s="5" t="s">
        <v>10</v>
      </c>
      <c r="F392" s="4" t="s">
        <v>1040</v>
      </c>
      <c r="G392" s="4" t="s">
        <v>12</v>
      </c>
      <c r="H392" s="4" t="s">
        <v>1041</v>
      </c>
      <c r="I392" s="4" t="s">
        <v>14</v>
      </c>
      <c r="J392" s="4" t="s">
        <v>198</v>
      </c>
      <c r="K392" s="4" t="s">
        <v>90</v>
      </c>
      <c r="M392">
        <f t="shared" si="12"/>
        <v>855.75053571428577</v>
      </c>
    </row>
    <row r="393" spans="1:13" ht="14" x14ac:dyDescent="0.2">
      <c r="A393" s="4" t="s">
        <v>1042</v>
      </c>
      <c r="B393" s="5">
        <v>14975.634375000001</v>
      </c>
      <c r="C393" s="5">
        <f t="shared" si="13"/>
        <v>499.18781250000006</v>
      </c>
      <c r="D393" s="4">
        <v>30</v>
      </c>
      <c r="E393" s="5" t="s">
        <v>10</v>
      </c>
      <c r="F393" s="4" t="s">
        <v>1043</v>
      </c>
      <c r="G393" s="4" t="s">
        <v>12</v>
      </c>
      <c r="H393" s="4" t="s">
        <v>1044</v>
      </c>
      <c r="I393" s="4" t="s">
        <v>14</v>
      </c>
      <c r="J393" s="4" t="s">
        <v>207</v>
      </c>
      <c r="K393" s="4" t="s">
        <v>90</v>
      </c>
      <c r="M393">
        <f t="shared" si="12"/>
        <v>449.26903125000007</v>
      </c>
    </row>
    <row r="394" spans="1:13" ht="14" x14ac:dyDescent="0.2">
      <c r="A394" s="4" t="s">
        <v>1045</v>
      </c>
      <c r="B394" s="5">
        <v>5990.2537500000008</v>
      </c>
      <c r="C394" s="5">
        <f t="shared" si="13"/>
        <v>213.93763392857144</v>
      </c>
      <c r="D394" s="4">
        <v>28</v>
      </c>
      <c r="E394" s="5" t="s">
        <v>10</v>
      </c>
      <c r="F394" s="4" t="s">
        <v>1046</v>
      </c>
      <c r="G394" s="4" t="s">
        <v>12</v>
      </c>
      <c r="H394" s="4" t="s">
        <v>1046</v>
      </c>
      <c r="I394" s="4" t="s">
        <v>22</v>
      </c>
      <c r="J394" s="4" t="s">
        <v>1047</v>
      </c>
      <c r="K394" s="4" t="s">
        <v>90</v>
      </c>
      <c r="M394">
        <f t="shared" si="12"/>
        <v>192.54387053571429</v>
      </c>
    </row>
    <row r="395" spans="1:13" ht="14" x14ac:dyDescent="0.2">
      <c r="A395" s="4" t="s">
        <v>1048</v>
      </c>
      <c r="B395" s="5">
        <v>7188.3045000000002</v>
      </c>
      <c r="C395" s="5">
        <f t="shared" si="13"/>
        <v>256.72516071428572</v>
      </c>
      <c r="D395" s="4">
        <v>28</v>
      </c>
      <c r="E395" s="5" t="s">
        <v>10</v>
      </c>
      <c r="F395" s="4" t="s">
        <v>1046</v>
      </c>
      <c r="G395" s="4" t="s">
        <v>12</v>
      </c>
      <c r="H395" s="4" t="s">
        <v>1046</v>
      </c>
      <c r="I395" s="4" t="s">
        <v>22</v>
      </c>
      <c r="J395" s="4" t="s">
        <v>15</v>
      </c>
      <c r="K395" s="4" t="s">
        <v>90</v>
      </c>
      <c r="M395">
        <f t="shared" si="12"/>
        <v>231.05264464285716</v>
      </c>
    </row>
    <row r="396" spans="1:13" ht="14" x14ac:dyDescent="0.2">
      <c r="A396" s="4" t="s">
        <v>1049</v>
      </c>
      <c r="B396" s="5">
        <v>3216.9881250000003</v>
      </c>
      <c r="C396" s="5">
        <f t="shared" si="13"/>
        <v>114.89243303571429</v>
      </c>
      <c r="D396" s="4">
        <v>28</v>
      </c>
      <c r="E396" s="5" t="s">
        <v>10</v>
      </c>
      <c r="F396" s="4" t="s">
        <v>1046</v>
      </c>
      <c r="G396" s="4" t="s">
        <v>12</v>
      </c>
      <c r="H396" s="4" t="s">
        <v>1046</v>
      </c>
      <c r="I396" s="4" t="s">
        <v>22</v>
      </c>
      <c r="J396" s="4" t="s">
        <v>1050</v>
      </c>
      <c r="K396" s="4" t="s">
        <v>90</v>
      </c>
      <c r="M396">
        <f t="shared" si="12"/>
        <v>103.40318973214286</v>
      </c>
    </row>
    <row r="397" spans="1:13" ht="14" x14ac:dyDescent="0.2">
      <c r="A397" s="4" t="s">
        <v>1051</v>
      </c>
      <c r="B397" s="5">
        <v>3026.1874499999999</v>
      </c>
      <c r="C397" s="5">
        <f t="shared" si="13"/>
        <v>108.07812321428571</v>
      </c>
      <c r="D397" s="4">
        <v>28</v>
      </c>
      <c r="E397" s="5" t="s">
        <v>10</v>
      </c>
      <c r="F397" s="4" t="s">
        <v>1046</v>
      </c>
      <c r="G397" s="4" t="s">
        <v>12</v>
      </c>
      <c r="H397" s="4" t="s">
        <v>1046</v>
      </c>
      <c r="I397" s="4" t="s">
        <v>22</v>
      </c>
      <c r="J397" s="4" t="s">
        <v>1052</v>
      </c>
      <c r="K397" s="4" t="s">
        <v>90</v>
      </c>
      <c r="M397">
        <f t="shared" si="12"/>
        <v>97.27031089285714</v>
      </c>
    </row>
    <row r="398" spans="1:13" ht="14" x14ac:dyDescent="0.2">
      <c r="A398" s="4" t="s">
        <v>1053</v>
      </c>
      <c r="B398" s="5">
        <v>13844.142000000002</v>
      </c>
      <c r="C398" s="5">
        <f t="shared" si="13"/>
        <v>138.44142000000002</v>
      </c>
      <c r="D398" s="4">
        <v>100</v>
      </c>
      <c r="E398" s="5" t="s">
        <v>10</v>
      </c>
      <c r="F398" s="4" t="s">
        <v>1020</v>
      </c>
      <c r="G398" s="4" t="s">
        <v>12</v>
      </c>
      <c r="H398" s="4" t="s">
        <v>1054</v>
      </c>
      <c r="I398" s="4" t="s">
        <v>22</v>
      </c>
      <c r="J398" s="4" t="s">
        <v>95</v>
      </c>
      <c r="K398" s="4" t="s">
        <v>227</v>
      </c>
      <c r="M398">
        <f t="shared" si="12"/>
        <v>124.59727800000002</v>
      </c>
    </row>
    <row r="399" spans="1:13" ht="14" x14ac:dyDescent="0.2">
      <c r="A399" s="4" t="s">
        <v>1055</v>
      </c>
      <c r="B399" s="5">
        <v>222970.55625000002</v>
      </c>
      <c r="C399" s="5">
        <f t="shared" si="13"/>
        <v>7963.2341517857149</v>
      </c>
      <c r="D399" s="4">
        <v>28</v>
      </c>
      <c r="E399" s="5" t="s">
        <v>10</v>
      </c>
      <c r="F399" s="4" t="s">
        <v>811</v>
      </c>
      <c r="G399" s="4" t="s">
        <v>12</v>
      </c>
      <c r="H399" s="4" t="s">
        <v>1056</v>
      </c>
      <c r="I399" s="4" t="s">
        <v>14</v>
      </c>
      <c r="J399" s="4" t="s">
        <v>481</v>
      </c>
      <c r="K399" s="4" t="s">
        <v>812</v>
      </c>
      <c r="M399">
        <f t="shared" si="12"/>
        <v>7166.910736607143</v>
      </c>
    </row>
    <row r="400" spans="1:13" ht="14" x14ac:dyDescent="0.2">
      <c r="A400" s="4" t="s">
        <v>1057</v>
      </c>
      <c r="B400" s="5">
        <v>114720.01515000001</v>
      </c>
      <c r="C400" s="5">
        <f t="shared" si="13"/>
        <v>4097.1433982142862</v>
      </c>
      <c r="D400" s="4">
        <v>28</v>
      </c>
      <c r="E400" s="5" t="s">
        <v>10</v>
      </c>
      <c r="F400" s="4" t="s">
        <v>1058</v>
      </c>
      <c r="G400" s="4" t="s">
        <v>12</v>
      </c>
      <c r="H400" s="4" t="s">
        <v>1056</v>
      </c>
      <c r="I400" s="4" t="s">
        <v>14</v>
      </c>
      <c r="J400" s="4" t="s">
        <v>78</v>
      </c>
      <c r="K400" s="4" t="s">
        <v>812</v>
      </c>
      <c r="M400">
        <f t="shared" si="12"/>
        <v>3687.4290583928578</v>
      </c>
    </row>
    <row r="401" spans="1:25" ht="14" x14ac:dyDescent="0.2">
      <c r="A401" s="7" t="s">
        <v>5225</v>
      </c>
      <c r="B401" s="10">
        <v>2995.1268750000004</v>
      </c>
      <c r="C401" s="5">
        <f t="shared" si="13"/>
        <v>2995.1268750000004</v>
      </c>
      <c r="D401" s="9">
        <v>1</v>
      </c>
      <c r="E401" s="10" t="s">
        <v>25</v>
      </c>
      <c r="F401" s="7" t="s">
        <v>5226</v>
      </c>
      <c r="G401" s="7" t="s">
        <v>20</v>
      </c>
      <c r="H401" s="7" t="s">
        <v>5226</v>
      </c>
      <c r="I401" s="7" t="s">
        <v>22</v>
      </c>
      <c r="J401" s="7" t="s">
        <v>146</v>
      </c>
      <c r="K401" s="7" t="s">
        <v>219</v>
      </c>
      <c r="L401" s="4"/>
      <c r="M401">
        <f t="shared" si="12"/>
        <v>2695.6141875000003</v>
      </c>
      <c r="N401" s="3"/>
      <c r="O401" s="3"/>
      <c r="P401" s="3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" x14ac:dyDescent="0.2">
      <c r="A402" s="4" t="s">
        <v>1059</v>
      </c>
      <c r="B402" s="5">
        <v>2884.1962500000004</v>
      </c>
      <c r="C402" s="5">
        <f t="shared" si="13"/>
        <v>288.41962500000005</v>
      </c>
      <c r="D402" s="4">
        <v>10</v>
      </c>
      <c r="E402" s="5" t="s">
        <v>10</v>
      </c>
      <c r="F402" s="4" t="s">
        <v>1060</v>
      </c>
      <c r="G402" s="4" t="s">
        <v>20</v>
      </c>
      <c r="H402" s="4" t="s">
        <v>1061</v>
      </c>
      <c r="I402" s="4" t="s">
        <v>14</v>
      </c>
      <c r="J402" s="4" t="s">
        <v>78</v>
      </c>
      <c r="K402" s="4" t="s">
        <v>87</v>
      </c>
      <c r="M402">
        <f t="shared" si="12"/>
        <v>259.57766250000003</v>
      </c>
    </row>
    <row r="403" spans="1:25" ht="14" x14ac:dyDescent="0.2">
      <c r="A403" s="4" t="s">
        <v>1062</v>
      </c>
      <c r="B403" s="5">
        <v>4087.7935312500003</v>
      </c>
      <c r="C403" s="5">
        <f t="shared" si="13"/>
        <v>4087.7935312500003</v>
      </c>
      <c r="D403" s="4">
        <v>1</v>
      </c>
      <c r="E403" s="5" t="s">
        <v>175</v>
      </c>
      <c r="F403" s="4" t="s">
        <v>1063</v>
      </c>
      <c r="G403" s="4" t="s">
        <v>12</v>
      </c>
      <c r="H403" s="4" t="s">
        <v>1063</v>
      </c>
      <c r="I403" s="4" t="s">
        <v>22</v>
      </c>
      <c r="K403" s="4" t="s">
        <v>219</v>
      </c>
      <c r="M403">
        <f t="shared" si="12"/>
        <v>3679.0141781250004</v>
      </c>
    </row>
    <row r="404" spans="1:25" ht="14" x14ac:dyDescent="0.2">
      <c r="A404" s="4" t="s">
        <v>1064</v>
      </c>
      <c r="B404" s="5">
        <v>4215.3637500000004</v>
      </c>
      <c r="C404" s="5">
        <f t="shared" si="13"/>
        <v>4215.3637500000004</v>
      </c>
      <c r="D404" s="4">
        <v>1</v>
      </c>
      <c r="E404" s="5" t="s">
        <v>175</v>
      </c>
      <c r="F404" s="4" t="s">
        <v>1065</v>
      </c>
      <c r="G404" s="4" t="s">
        <v>12</v>
      </c>
      <c r="H404" s="4" t="s">
        <v>1066</v>
      </c>
      <c r="I404" s="4" t="s">
        <v>22</v>
      </c>
      <c r="J404" s="8">
        <v>3.3000000000000002E-2</v>
      </c>
      <c r="K404" s="4" t="s">
        <v>244</v>
      </c>
      <c r="M404">
        <f t="shared" si="12"/>
        <v>3793.8273750000003</v>
      </c>
    </row>
    <row r="405" spans="1:25" ht="14" x14ac:dyDescent="0.2">
      <c r="A405" s="4" t="s">
        <v>1067</v>
      </c>
      <c r="B405" s="5">
        <v>19865.456324999999</v>
      </c>
      <c r="C405" s="5">
        <f t="shared" si="13"/>
        <v>19865.456324999999</v>
      </c>
      <c r="D405" s="4">
        <v>1</v>
      </c>
      <c r="E405" s="5" t="s">
        <v>10</v>
      </c>
      <c r="F405" s="4" t="s">
        <v>1068</v>
      </c>
      <c r="G405" s="4" t="s">
        <v>12</v>
      </c>
      <c r="H405" s="4" t="s">
        <v>1069</v>
      </c>
      <c r="I405" s="4" t="s">
        <v>14</v>
      </c>
      <c r="J405" s="4" t="s">
        <v>1070</v>
      </c>
      <c r="K405" s="4" t="s">
        <v>155</v>
      </c>
      <c r="M405">
        <f t="shared" si="12"/>
        <v>17878.910692499998</v>
      </c>
    </row>
    <row r="406" spans="1:25" ht="14" x14ac:dyDescent="0.2">
      <c r="A406" s="7" t="s">
        <v>5227</v>
      </c>
      <c r="B406" s="10">
        <v>5990.2537500000008</v>
      </c>
      <c r="C406" s="5">
        <f t="shared" si="13"/>
        <v>599.02537500000005</v>
      </c>
      <c r="D406" s="9">
        <v>10</v>
      </c>
      <c r="E406" s="10" t="s">
        <v>5193</v>
      </c>
      <c r="F406" s="7" t="s">
        <v>4426</v>
      </c>
      <c r="G406" s="7" t="s">
        <v>20</v>
      </c>
      <c r="H406" s="7" t="s">
        <v>4426</v>
      </c>
      <c r="I406" s="7" t="s">
        <v>22</v>
      </c>
      <c r="J406" s="7" t="s">
        <v>1208</v>
      </c>
      <c r="K406" s="7" t="s">
        <v>53</v>
      </c>
      <c r="L406" s="4"/>
      <c r="M406">
        <f t="shared" si="12"/>
        <v>539.12283750000006</v>
      </c>
      <c r="N406" s="3"/>
      <c r="O406" s="3"/>
      <c r="P406" s="3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" x14ac:dyDescent="0.2">
      <c r="A407" s="4" t="s">
        <v>1071</v>
      </c>
      <c r="B407" s="5">
        <v>7289.2513687500004</v>
      </c>
      <c r="C407" s="5">
        <f t="shared" si="13"/>
        <v>7289.2513687500004</v>
      </c>
      <c r="D407" s="4">
        <v>1</v>
      </c>
      <c r="E407" s="5" t="s">
        <v>124</v>
      </c>
      <c r="F407" s="4" t="s">
        <v>1072</v>
      </c>
      <c r="G407" s="4" t="s">
        <v>20</v>
      </c>
      <c r="H407" s="4" t="s">
        <v>1073</v>
      </c>
      <c r="I407" s="4" t="s">
        <v>22</v>
      </c>
      <c r="J407" s="4" t="s">
        <v>293</v>
      </c>
      <c r="K407" s="4" t="s">
        <v>53</v>
      </c>
      <c r="M407">
        <f t="shared" si="12"/>
        <v>6560.3262318750003</v>
      </c>
    </row>
    <row r="408" spans="1:25" ht="14" x14ac:dyDescent="0.2">
      <c r="A408" s="4" t="s">
        <v>1074</v>
      </c>
      <c r="B408" s="5">
        <v>3882.5718750000005</v>
      </c>
      <c r="C408" s="5">
        <f t="shared" si="13"/>
        <v>388.25718750000004</v>
      </c>
      <c r="D408" s="4">
        <v>10</v>
      </c>
      <c r="E408" s="5" t="s">
        <v>10</v>
      </c>
      <c r="F408" s="4" t="s">
        <v>840</v>
      </c>
      <c r="G408" s="4" t="s">
        <v>20</v>
      </c>
      <c r="H408" s="4" t="s">
        <v>840</v>
      </c>
      <c r="I408" s="4" t="s">
        <v>22</v>
      </c>
      <c r="J408" s="4" t="s">
        <v>95</v>
      </c>
      <c r="K408" s="4" t="s">
        <v>53</v>
      </c>
      <c r="M408">
        <f t="shared" si="12"/>
        <v>349.43146875000002</v>
      </c>
    </row>
    <row r="409" spans="1:25" ht="14" x14ac:dyDescent="0.2">
      <c r="A409" s="4" t="s">
        <v>1075</v>
      </c>
      <c r="B409" s="5">
        <v>4991.8781250000002</v>
      </c>
      <c r="C409" s="5">
        <f t="shared" si="13"/>
        <v>499.18781250000001</v>
      </c>
      <c r="D409" s="4">
        <v>10</v>
      </c>
      <c r="E409" s="5" t="s">
        <v>10</v>
      </c>
      <c r="F409" s="4" t="s">
        <v>840</v>
      </c>
      <c r="G409" s="4" t="s">
        <v>20</v>
      </c>
      <c r="H409" s="4" t="s">
        <v>840</v>
      </c>
      <c r="I409" s="4" t="s">
        <v>22</v>
      </c>
      <c r="J409" s="4" t="s">
        <v>52</v>
      </c>
      <c r="K409" s="4" t="s">
        <v>53</v>
      </c>
      <c r="M409">
        <f t="shared" si="12"/>
        <v>449.26903125000001</v>
      </c>
    </row>
    <row r="410" spans="1:25" ht="14" x14ac:dyDescent="0.2">
      <c r="A410" s="4" t="s">
        <v>1076</v>
      </c>
      <c r="B410" s="5">
        <v>1331.1675</v>
      </c>
      <c r="C410" s="5">
        <f t="shared" si="13"/>
        <v>133.11675</v>
      </c>
      <c r="D410" s="4">
        <v>10</v>
      </c>
      <c r="E410" s="5" t="s">
        <v>10</v>
      </c>
      <c r="F410" s="4" t="s">
        <v>138</v>
      </c>
      <c r="G410" s="4" t="s">
        <v>20</v>
      </c>
      <c r="H410" s="4" t="s">
        <v>1077</v>
      </c>
      <c r="I410" s="4" t="s">
        <v>22</v>
      </c>
      <c r="J410" s="4" t="s">
        <v>140</v>
      </c>
      <c r="K410" s="4" t="s">
        <v>87</v>
      </c>
      <c r="M410">
        <f t="shared" si="12"/>
        <v>119.80507499999999</v>
      </c>
    </row>
    <row r="411" spans="1:25" ht="14" x14ac:dyDescent="0.2">
      <c r="A411" s="4" t="s">
        <v>1078</v>
      </c>
      <c r="B411" s="5">
        <v>4215.3637500000004</v>
      </c>
      <c r="C411" s="5">
        <f t="shared" si="13"/>
        <v>421.53637500000002</v>
      </c>
      <c r="D411" s="4">
        <v>10</v>
      </c>
      <c r="E411" s="5" t="s">
        <v>10</v>
      </c>
      <c r="F411" s="4" t="s">
        <v>1079</v>
      </c>
      <c r="G411" s="4" t="s">
        <v>20</v>
      </c>
      <c r="H411" s="4" t="s">
        <v>1080</v>
      </c>
      <c r="I411" s="4" t="s">
        <v>22</v>
      </c>
      <c r="J411" s="4" t="s">
        <v>1081</v>
      </c>
      <c r="K411" s="4" t="s">
        <v>53</v>
      </c>
      <c r="M411">
        <f t="shared" si="12"/>
        <v>379.38273750000002</v>
      </c>
    </row>
    <row r="412" spans="1:25" ht="14" x14ac:dyDescent="0.2">
      <c r="A412" s="4" t="s">
        <v>1082</v>
      </c>
      <c r="B412" s="5">
        <v>6323.0456250000007</v>
      </c>
      <c r="C412" s="5">
        <f t="shared" si="13"/>
        <v>632.30456250000009</v>
      </c>
      <c r="D412" s="4">
        <v>10</v>
      </c>
      <c r="E412" s="5" t="s">
        <v>10</v>
      </c>
      <c r="F412" s="4" t="s">
        <v>1082</v>
      </c>
      <c r="G412" s="4" t="s">
        <v>20</v>
      </c>
      <c r="H412" s="4" t="s">
        <v>1083</v>
      </c>
      <c r="I412" s="4" t="s">
        <v>22</v>
      </c>
      <c r="J412" s="4" t="s">
        <v>1084</v>
      </c>
      <c r="K412" s="4" t="s">
        <v>53</v>
      </c>
      <c r="M412">
        <f t="shared" si="12"/>
        <v>569.07410625000011</v>
      </c>
    </row>
    <row r="413" spans="1:25" ht="14" x14ac:dyDescent="0.2">
      <c r="A413" s="7" t="s">
        <v>5228</v>
      </c>
      <c r="B413" s="10">
        <v>6877.6987500000005</v>
      </c>
      <c r="C413" s="5">
        <f t="shared" si="13"/>
        <v>6877.6987500000005</v>
      </c>
      <c r="D413" s="9">
        <v>1</v>
      </c>
      <c r="E413" s="10" t="s">
        <v>5229</v>
      </c>
      <c r="F413" s="7" t="s">
        <v>3707</v>
      </c>
      <c r="H413" s="7" t="s">
        <v>3707</v>
      </c>
      <c r="I413" s="4" t="s">
        <v>22</v>
      </c>
      <c r="J413" s="7" t="s">
        <v>5230</v>
      </c>
      <c r="K413" s="7" t="s">
        <v>53</v>
      </c>
      <c r="M413">
        <f t="shared" ref="M413:M476" si="14">C413-(C413* 10%)</f>
        <v>6189.9288750000005</v>
      </c>
    </row>
    <row r="414" spans="1:25" ht="14" x14ac:dyDescent="0.2">
      <c r="A414" s="4" t="s">
        <v>1085</v>
      </c>
      <c r="B414" s="5">
        <v>1677.2710500000001</v>
      </c>
      <c r="C414" s="5">
        <f t="shared" si="13"/>
        <v>1677.2710500000001</v>
      </c>
      <c r="D414" s="4">
        <v>1</v>
      </c>
      <c r="E414" s="5" t="s">
        <v>124</v>
      </c>
      <c r="F414" s="4" t="s">
        <v>1086</v>
      </c>
      <c r="G414" s="4" t="s">
        <v>12</v>
      </c>
      <c r="H414" s="4" t="s">
        <v>1086</v>
      </c>
      <c r="I414" s="4" t="s">
        <v>22</v>
      </c>
      <c r="J414" s="4" t="s">
        <v>696</v>
      </c>
      <c r="K414" s="4" t="s">
        <v>53</v>
      </c>
      <c r="M414">
        <f t="shared" si="14"/>
        <v>1509.5439450000001</v>
      </c>
    </row>
    <row r="415" spans="1:25" ht="14" x14ac:dyDescent="0.2">
      <c r="A415" s="4" t="s">
        <v>1087</v>
      </c>
      <c r="B415" s="5">
        <v>2995.1268750000004</v>
      </c>
      <c r="C415" s="5">
        <f t="shared" si="13"/>
        <v>2995.1268750000004</v>
      </c>
      <c r="D415" s="4">
        <v>1</v>
      </c>
      <c r="E415" s="5" t="s">
        <v>124</v>
      </c>
      <c r="F415" s="4" t="s">
        <v>694</v>
      </c>
      <c r="G415" s="4" t="s">
        <v>12</v>
      </c>
      <c r="H415" s="4" t="s">
        <v>694</v>
      </c>
      <c r="I415" s="4" t="s">
        <v>22</v>
      </c>
      <c r="J415" s="4" t="s">
        <v>696</v>
      </c>
      <c r="K415" s="4" t="s">
        <v>53</v>
      </c>
      <c r="M415">
        <f t="shared" si="14"/>
        <v>2695.6141875000003</v>
      </c>
    </row>
    <row r="416" spans="1:25" ht="14" x14ac:dyDescent="0.2">
      <c r="A416" s="4" t="s">
        <v>1088</v>
      </c>
      <c r="B416" s="5">
        <v>3882.5718750000005</v>
      </c>
      <c r="C416" s="5">
        <f t="shared" si="13"/>
        <v>388.25718750000004</v>
      </c>
      <c r="D416" s="4">
        <v>10</v>
      </c>
      <c r="E416" s="5" t="s">
        <v>124</v>
      </c>
      <c r="F416" s="4" t="s">
        <v>1089</v>
      </c>
      <c r="G416" s="4" t="s">
        <v>20</v>
      </c>
      <c r="H416" s="4" t="s">
        <v>1088</v>
      </c>
      <c r="I416" s="4" t="s">
        <v>22</v>
      </c>
      <c r="J416" s="4" t="s">
        <v>1090</v>
      </c>
      <c r="K416" s="4" t="s">
        <v>53</v>
      </c>
      <c r="M416">
        <f t="shared" si="14"/>
        <v>349.43146875000002</v>
      </c>
    </row>
    <row r="417" spans="1:13" ht="14" x14ac:dyDescent="0.2">
      <c r="A417" s="4" t="s">
        <v>1091</v>
      </c>
      <c r="B417" s="5">
        <v>7210.4906250000004</v>
      </c>
      <c r="C417" s="5">
        <f t="shared" si="13"/>
        <v>721.04906249999999</v>
      </c>
      <c r="D417" s="4">
        <v>10</v>
      </c>
      <c r="E417" s="5" t="s">
        <v>10</v>
      </c>
      <c r="F417" s="4" t="s">
        <v>250</v>
      </c>
      <c r="G417" s="4" t="s">
        <v>20</v>
      </c>
      <c r="H417" s="4" t="s">
        <v>1092</v>
      </c>
      <c r="I417" s="4" t="s">
        <v>22</v>
      </c>
      <c r="J417" s="4" t="s">
        <v>207</v>
      </c>
      <c r="K417" s="4" t="s">
        <v>53</v>
      </c>
      <c r="M417">
        <f t="shared" si="14"/>
        <v>648.94415624999999</v>
      </c>
    </row>
    <row r="418" spans="1:13" ht="14" x14ac:dyDescent="0.2">
      <c r="A418" s="4" t="s">
        <v>5231</v>
      </c>
      <c r="B418" s="5">
        <v>5868.2300625000007</v>
      </c>
      <c r="C418" s="5">
        <f t="shared" si="13"/>
        <v>5868.2300625000007</v>
      </c>
      <c r="D418" s="4">
        <v>1</v>
      </c>
      <c r="E418" s="5" t="s">
        <v>181</v>
      </c>
      <c r="F418" s="4" t="s">
        <v>250</v>
      </c>
      <c r="G418" s="4" t="s">
        <v>20</v>
      </c>
      <c r="H418" s="4" t="s">
        <v>1093</v>
      </c>
      <c r="I418" s="4" t="s">
        <v>22</v>
      </c>
      <c r="J418" s="4" t="s">
        <v>1094</v>
      </c>
      <c r="K418" s="4" t="s">
        <v>53</v>
      </c>
      <c r="M418">
        <f t="shared" si="14"/>
        <v>5281.407056250001</v>
      </c>
    </row>
    <row r="419" spans="1:13" ht="14" x14ac:dyDescent="0.2">
      <c r="A419" s="4" t="s">
        <v>1095</v>
      </c>
      <c r="B419" s="5">
        <v>6433.9762500000006</v>
      </c>
      <c r="C419" s="5">
        <f t="shared" si="13"/>
        <v>643.39762500000006</v>
      </c>
      <c r="D419" s="4">
        <v>10</v>
      </c>
      <c r="E419" s="5" t="s">
        <v>10</v>
      </c>
      <c r="F419" s="4" t="s">
        <v>1096</v>
      </c>
      <c r="G419" s="4" t="s">
        <v>20</v>
      </c>
      <c r="H419" s="4" t="s">
        <v>1097</v>
      </c>
      <c r="I419" s="4" t="s">
        <v>22</v>
      </c>
      <c r="J419" s="4" t="s">
        <v>89</v>
      </c>
      <c r="K419" s="4" t="s">
        <v>294</v>
      </c>
      <c r="M419">
        <f t="shared" si="14"/>
        <v>579.05786250000006</v>
      </c>
    </row>
    <row r="420" spans="1:13" ht="14" x14ac:dyDescent="0.2">
      <c r="A420" s="4" t="s">
        <v>1098</v>
      </c>
      <c r="B420" s="5">
        <v>8652.5887500000008</v>
      </c>
      <c r="C420" s="5">
        <f t="shared" si="13"/>
        <v>865.2588750000001</v>
      </c>
      <c r="D420" s="4">
        <v>10</v>
      </c>
      <c r="E420" s="5" t="s">
        <v>10</v>
      </c>
      <c r="F420" s="4" t="s">
        <v>250</v>
      </c>
      <c r="G420" s="4" t="s">
        <v>20</v>
      </c>
      <c r="H420" s="4" t="s">
        <v>1099</v>
      </c>
      <c r="I420" s="4" t="s">
        <v>22</v>
      </c>
      <c r="J420" s="4" t="s">
        <v>207</v>
      </c>
      <c r="K420" s="4" t="s">
        <v>53</v>
      </c>
      <c r="M420">
        <f t="shared" si="14"/>
        <v>778.73298750000004</v>
      </c>
    </row>
    <row r="421" spans="1:13" ht="14" x14ac:dyDescent="0.2">
      <c r="A421" s="4" t="s">
        <v>1100</v>
      </c>
      <c r="B421" s="5">
        <v>3771.6412500000001</v>
      </c>
      <c r="C421" s="5">
        <f t="shared" si="13"/>
        <v>3771.6412500000001</v>
      </c>
      <c r="D421" s="4">
        <v>1</v>
      </c>
      <c r="E421" s="5" t="s">
        <v>124</v>
      </c>
      <c r="F421" s="4" t="s">
        <v>250</v>
      </c>
      <c r="G421" s="4" t="s">
        <v>20</v>
      </c>
      <c r="H421" s="4" t="s">
        <v>250</v>
      </c>
      <c r="I421" s="4" t="s">
        <v>22</v>
      </c>
      <c r="J421" s="4" t="s">
        <v>1101</v>
      </c>
      <c r="K421" s="4" t="s">
        <v>53</v>
      </c>
      <c r="M421">
        <f t="shared" si="14"/>
        <v>3394.4771250000003</v>
      </c>
    </row>
    <row r="422" spans="1:13" ht="14" x14ac:dyDescent="0.2">
      <c r="A422" s="4" t="s">
        <v>1102</v>
      </c>
      <c r="B422" s="5">
        <v>12757.021875</v>
      </c>
      <c r="C422" s="5">
        <f t="shared" si="13"/>
        <v>1275.7021875</v>
      </c>
      <c r="D422" s="4">
        <v>10</v>
      </c>
      <c r="E422" s="5" t="s">
        <v>30</v>
      </c>
      <c r="F422" s="4" t="s">
        <v>1103</v>
      </c>
      <c r="G422" s="4" t="s">
        <v>20</v>
      </c>
      <c r="H422" s="4" t="s">
        <v>1103</v>
      </c>
      <c r="I422" s="4" t="s">
        <v>14</v>
      </c>
      <c r="J422" s="4" t="s">
        <v>95</v>
      </c>
      <c r="K422" s="4" t="s">
        <v>87</v>
      </c>
      <c r="M422">
        <f t="shared" si="14"/>
        <v>1148.1319687499999</v>
      </c>
    </row>
    <row r="423" spans="1:13" ht="14" x14ac:dyDescent="0.2">
      <c r="A423" s="4" t="s">
        <v>1104</v>
      </c>
      <c r="B423" s="5">
        <v>6988.6293750000004</v>
      </c>
      <c r="C423" s="5">
        <f t="shared" si="13"/>
        <v>349.43146875000002</v>
      </c>
      <c r="D423" s="4">
        <v>20</v>
      </c>
      <c r="E423" s="5" t="s">
        <v>30</v>
      </c>
      <c r="F423" s="4" t="s">
        <v>1105</v>
      </c>
      <c r="G423" s="4" t="s">
        <v>20</v>
      </c>
      <c r="H423" s="4" t="s">
        <v>1106</v>
      </c>
      <c r="I423" s="4" t="s">
        <v>22</v>
      </c>
      <c r="J423" s="4" t="s">
        <v>95</v>
      </c>
      <c r="K423" s="4" t="s">
        <v>87</v>
      </c>
      <c r="M423">
        <f t="shared" si="14"/>
        <v>314.488321875</v>
      </c>
    </row>
    <row r="424" spans="1:13" ht="14" x14ac:dyDescent="0.2">
      <c r="A424" s="4" t="s">
        <v>1107</v>
      </c>
      <c r="B424" s="5">
        <v>5768.3925000000008</v>
      </c>
      <c r="C424" s="5">
        <f t="shared" si="13"/>
        <v>576.83925000000011</v>
      </c>
      <c r="D424" s="4">
        <v>10</v>
      </c>
      <c r="E424" s="5" t="s">
        <v>30</v>
      </c>
      <c r="F424" s="4" t="s">
        <v>1105</v>
      </c>
      <c r="G424" s="4" t="s">
        <v>20</v>
      </c>
      <c r="H424" s="4" t="s">
        <v>1108</v>
      </c>
      <c r="I424" s="4" t="s">
        <v>22</v>
      </c>
      <c r="J424" s="4" t="s">
        <v>95</v>
      </c>
      <c r="K424" s="4" t="s">
        <v>87</v>
      </c>
      <c r="M424">
        <f t="shared" si="14"/>
        <v>519.15532500000006</v>
      </c>
    </row>
    <row r="425" spans="1:13" ht="14" x14ac:dyDescent="0.2">
      <c r="A425" s="4" t="s">
        <v>1109</v>
      </c>
      <c r="B425" s="5">
        <v>2440.4737500000001</v>
      </c>
      <c r="C425" s="5">
        <f t="shared" si="13"/>
        <v>174.31955357142857</v>
      </c>
      <c r="D425" s="4">
        <v>14</v>
      </c>
      <c r="E425" s="5" t="s">
        <v>10</v>
      </c>
      <c r="F425" s="4" t="s">
        <v>1110</v>
      </c>
      <c r="G425" s="4" t="s">
        <v>20</v>
      </c>
      <c r="H425" s="4" t="s">
        <v>1111</v>
      </c>
      <c r="I425" s="4" t="s">
        <v>22</v>
      </c>
      <c r="J425" s="4" t="s">
        <v>207</v>
      </c>
      <c r="K425" s="4" t="s">
        <v>53</v>
      </c>
      <c r="M425">
        <f t="shared" si="14"/>
        <v>156.8875982142857</v>
      </c>
    </row>
    <row r="426" spans="1:13" ht="14" x14ac:dyDescent="0.2">
      <c r="A426" s="4" t="s">
        <v>1112</v>
      </c>
      <c r="B426" s="5">
        <v>4215.3637500000004</v>
      </c>
      <c r="C426" s="5">
        <f t="shared" si="13"/>
        <v>4215.3637500000004</v>
      </c>
      <c r="D426" s="4">
        <v>1</v>
      </c>
      <c r="E426" s="5" t="s">
        <v>181</v>
      </c>
      <c r="F426" s="4" t="s">
        <v>1112</v>
      </c>
      <c r="G426" s="4" t="s">
        <v>20</v>
      </c>
      <c r="H426" s="4" t="s">
        <v>1113</v>
      </c>
      <c r="I426" s="4" t="s">
        <v>22</v>
      </c>
      <c r="J426" s="4" t="s">
        <v>1114</v>
      </c>
      <c r="K426" s="4" t="s">
        <v>53</v>
      </c>
      <c r="M426">
        <f t="shared" si="14"/>
        <v>3793.8273750000003</v>
      </c>
    </row>
    <row r="427" spans="1:13" ht="14" x14ac:dyDescent="0.2">
      <c r="A427" s="4" t="s">
        <v>1115</v>
      </c>
      <c r="B427" s="5">
        <v>4215.3637500000004</v>
      </c>
      <c r="C427" s="5">
        <f t="shared" si="13"/>
        <v>4215.3637500000004</v>
      </c>
      <c r="D427" s="4">
        <v>1</v>
      </c>
      <c r="E427" s="5" t="s">
        <v>181</v>
      </c>
      <c r="F427" s="4" t="s">
        <v>1116</v>
      </c>
      <c r="G427" s="4" t="s">
        <v>20</v>
      </c>
      <c r="H427" s="4" t="s">
        <v>1116</v>
      </c>
      <c r="I427" s="4" t="s">
        <v>22</v>
      </c>
      <c r="J427" s="4" t="s">
        <v>1117</v>
      </c>
      <c r="K427" s="4" t="s">
        <v>53</v>
      </c>
      <c r="M427">
        <f t="shared" si="14"/>
        <v>3793.8273750000003</v>
      </c>
    </row>
    <row r="428" spans="1:13" ht="14" x14ac:dyDescent="0.2">
      <c r="A428" s="4" t="s">
        <v>1118</v>
      </c>
      <c r="B428" s="5">
        <v>17194.246875000001</v>
      </c>
      <c r="C428" s="5">
        <f t="shared" si="13"/>
        <v>17194.246875000001</v>
      </c>
      <c r="D428" s="4">
        <v>1</v>
      </c>
      <c r="E428" s="5" t="s">
        <v>1119</v>
      </c>
      <c r="F428" s="4" t="s">
        <v>1120</v>
      </c>
      <c r="G428" s="4" t="s">
        <v>20</v>
      </c>
      <c r="H428" s="4" t="s">
        <v>1121</v>
      </c>
      <c r="I428" s="4" t="s">
        <v>22</v>
      </c>
      <c r="J428" s="4" t="s">
        <v>1122</v>
      </c>
      <c r="K428" s="4" t="s">
        <v>23</v>
      </c>
      <c r="M428">
        <f t="shared" si="14"/>
        <v>15474.8221875</v>
      </c>
    </row>
    <row r="429" spans="1:13" ht="14" x14ac:dyDescent="0.2">
      <c r="A429" s="4" t="s">
        <v>1123</v>
      </c>
      <c r="B429" s="5">
        <v>17748.900000000001</v>
      </c>
      <c r="C429" s="5">
        <f t="shared" si="13"/>
        <v>17748.900000000001</v>
      </c>
      <c r="D429" s="4">
        <v>1</v>
      </c>
      <c r="E429" s="4" t="s">
        <v>1119</v>
      </c>
      <c r="F429" s="4" t="s">
        <v>1123</v>
      </c>
      <c r="G429" s="4" t="s">
        <v>20</v>
      </c>
      <c r="H429" s="4" t="s">
        <v>1124</v>
      </c>
      <c r="I429" s="4" t="s">
        <v>22</v>
      </c>
      <c r="J429" s="4" t="s">
        <v>1125</v>
      </c>
      <c r="K429" s="4" t="s">
        <v>219</v>
      </c>
      <c r="M429">
        <f t="shared" si="14"/>
        <v>15974.010000000002</v>
      </c>
    </row>
    <row r="430" spans="1:13" ht="14" x14ac:dyDescent="0.2">
      <c r="A430" s="4" t="s">
        <v>1126</v>
      </c>
      <c r="B430" s="5">
        <v>49000.275675000004</v>
      </c>
      <c r="C430" s="5">
        <f t="shared" si="13"/>
        <v>49000.275675000004</v>
      </c>
      <c r="D430" s="4">
        <v>1</v>
      </c>
      <c r="E430" s="5" t="s">
        <v>25</v>
      </c>
      <c r="F430" s="4" t="s">
        <v>1127</v>
      </c>
      <c r="G430" s="4" t="s">
        <v>12</v>
      </c>
      <c r="H430" s="4" t="s">
        <v>1128</v>
      </c>
      <c r="I430" s="4" t="s">
        <v>22</v>
      </c>
      <c r="K430" s="4" t="s">
        <v>860</v>
      </c>
      <c r="M430">
        <f t="shared" si="14"/>
        <v>44100.248107500003</v>
      </c>
    </row>
    <row r="431" spans="1:13" ht="14" x14ac:dyDescent="0.2">
      <c r="A431" s="4" t="s">
        <v>1129</v>
      </c>
      <c r="B431" s="5">
        <v>3476.5657875000002</v>
      </c>
      <c r="C431" s="5">
        <f t="shared" si="13"/>
        <v>115.88552625000001</v>
      </c>
      <c r="D431" s="4">
        <v>30</v>
      </c>
      <c r="E431" s="5" t="s">
        <v>10</v>
      </c>
      <c r="F431" s="4" t="s">
        <v>1130</v>
      </c>
      <c r="G431" s="4" t="s">
        <v>20</v>
      </c>
      <c r="H431" s="4" t="s">
        <v>1131</v>
      </c>
      <c r="I431" s="4" t="s">
        <v>22</v>
      </c>
      <c r="J431" s="4" t="s">
        <v>146</v>
      </c>
      <c r="K431" s="4" t="s">
        <v>118</v>
      </c>
      <c r="M431">
        <f t="shared" si="14"/>
        <v>104.29697362500001</v>
      </c>
    </row>
    <row r="432" spans="1:13" ht="14" x14ac:dyDescent="0.2">
      <c r="A432" s="4" t="s">
        <v>1132</v>
      </c>
      <c r="B432" s="5">
        <v>1996.7512500000003</v>
      </c>
      <c r="C432" s="5">
        <f t="shared" si="13"/>
        <v>1996.7512500000003</v>
      </c>
      <c r="D432" s="4">
        <v>1</v>
      </c>
      <c r="E432" s="5" t="s">
        <v>59</v>
      </c>
      <c r="F432" s="4" t="s">
        <v>1130</v>
      </c>
      <c r="G432" s="4" t="s">
        <v>20</v>
      </c>
      <c r="H432" s="4" t="s">
        <v>1133</v>
      </c>
      <c r="I432" s="4" t="s">
        <v>22</v>
      </c>
      <c r="J432" s="4" t="s">
        <v>646</v>
      </c>
      <c r="K432" s="4" t="s">
        <v>118</v>
      </c>
      <c r="M432">
        <f t="shared" si="14"/>
        <v>1797.0761250000003</v>
      </c>
    </row>
    <row r="433" spans="1:13" ht="14" x14ac:dyDescent="0.2">
      <c r="A433" s="4" t="s">
        <v>1134</v>
      </c>
      <c r="B433" s="5">
        <v>1663.9593750000001</v>
      </c>
      <c r="C433" s="5">
        <f t="shared" si="13"/>
        <v>1663.9593750000001</v>
      </c>
      <c r="D433" s="4">
        <v>1</v>
      </c>
      <c r="E433" s="5" t="s">
        <v>59</v>
      </c>
      <c r="F433" s="4" t="s">
        <v>1135</v>
      </c>
      <c r="G433" s="4" t="s">
        <v>20</v>
      </c>
      <c r="H433" s="4" t="s">
        <v>1136</v>
      </c>
      <c r="I433" s="4" t="s">
        <v>22</v>
      </c>
      <c r="J433" s="4" t="s">
        <v>646</v>
      </c>
      <c r="K433" s="4" t="s">
        <v>118</v>
      </c>
      <c r="M433">
        <f t="shared" si="14"/>
        <v>1497.5634375000002</v>
      </c>
    </row>
    <row r="434" spans="1:13" ht="14" x14ac:dyDescent="0.2">
      <c r="A434" s="4" t="s">
        <v>1137</v>
      </c>
      <c r="B434" s="5">
        <v>998.37562500000013</v>
      </c>
      <c r="C434" s="5">
        <f t="shared" si="13"/>
        <v>99.837562500000018</v>
      </c>
      <c r="D434" s="4">
        <v>10</v>
      </c>
      <c r="E434" s="5" t="s">
        <v>10</v>
      </c>
      <c r="F434" s="4" t="s">
        <v>1135</v>
      </c>
      <c r="G434" s="4" t="s">
        <v>20</v>
      </c>
      <c r="H434" s="4" t="s">
        <v>1138</v>
      </c>
      <c r="I434" s="4" t="s">
        <v>22</v>
      </c>
      <c r="J434" s="4" t="s">
        <v>200</v>
      </c>
      <c r="K434" s="4" t="s">
        <v>118</v>
      </c>
      <c r="M434">
        <f t="shared" si="14"/>
        <v>89.853806250000019</v>
      </c>
    </row>
    <row r="435" spans="1:13" ht="14" x14ac:dyDescent="0.2">
      <c r="A435" s="4" t="s">
        <v>1139</v>
      </c>
      <c r="B435" s="5">
        <v>2995.1268750000004</v>
      </c>
      <c r="C435" s="5">
        <f t="shared" si="13"/>
        <v>99.837562500000018</v>
      </c>
      <c r="D435" s="4">
        <v>30</v>
      </c>
      <c r="E435" s="5" t="s">
        <v>10</v>
      </c>
      <c r="F435" s="4" t="s">
        <v>1140</v>
      </c>
      <c r="G435" s="4" t="s">
        <v>20</v>
      </c>
      <c r="H435" s="4" t="s">
        <v>1130</v>
      </c>
      <c r="I435" s="4" t="s">
        <v>22</v>
      </c>
      <c r="J435" s="4" t="s">
        <v>146</v>
      </c>
      <c r="K435" s="4" t="s">
        <v>179</v>
      </c>
      <c r="M435">
        <f t="shared" si="14"/>
        <v>89.853806250000019</v>
      </c>
    </row>
    <row r="436" spans="1:13" ht="14" x14ac:dyDescent="0.2">
      <c r="A436" s="7" t="s">
        <v>5232</v>
      </c>
      <c r="B436" s="10">
        <v>2218.6125000000002</v>
      </c>
      <c r="C436" s="5">
        <f t="shared" si="13"/>
        <v>316.94464285714287</v>
      </c>
      <c r="D436" s="9">
        <v>7</v>
      </c>
      <c r="E436" s="10" t="s">
        <v>5233</v>
      </c>
      <c r="F436" s="7" t="s">
        <v>5234</v>
      </c>
      <c r="H436" s="7" t="s">
        <v>5234</v>
      </c>
      <c r="J436" s="7" t="s">
        <v>25</v>
      </c>
      <c r="K436" s="7" t="s">
        <v>34</v>
      </c>
      <c r="M436">
        <f t="shared" si="14"/>
        <v>285.25017857142859</v>
      </c>
    </row>
    <row r="437" spans="1:13" ht="14" x14ac:dyDescent="0.2">
      <c r="A437" s="4" t="s">
        <v>1141</v>
      </c>
      <c r="B437" s="5">
        <v>11925.042187500001</v>
      </c>
      <c r="C437" s="5">
        <f t="shared" si="13"/>
        <v>1192.5042187500001</v>
      </c>
      <c r="D437" s="4">
        <v>10</v>
      </c>
      <c r="E437" s="5" t="s">
        <v>124</v>
      </c>
      <c r="F437" s="4" t="s">
        <v>1141</v>
      </c>
      <c r="G437" s="4" t="s">
        <v>20</v>
      </c>
      <c r="H437" s="4" t="s">
        <v>1141</v>
      </c>
      <c r="I437" s="4" t="s">
        <v>22</v>
      </c>
      <c r="J437" s="4" t="s">
        <v>293</v>
      </c>
      <c r="K437" s="4" t="s">
        <v>53</v>
      </c>
      <c r="M437">
        <f t="shared" si="14"/>
        <v>1073.253796875</v>
      </c>
    </row>
    <row r="438" spans="1:13" ht="14" x14ac:dyDescent="0.2">
      <c r="A438" s="4" t="s">
        <v>1142</v>
      </c>
      <c r="B438" s="5">
        <v>1109.3062500000001</v>
      </c>
      <c r="C438" s="5">
        <f t="shared" si="13"/>
        <v>110.93062500000001</v>
      </c>
      <c r="D438" s="4">
        <v>10</v>
      </c>
      <c r="E438" s="5" t="s">
        <v>30</v>
      </c>
      <c r="F438" s="4" t="s">
        <v>1142</v>
      </c>
      <c r="G438" s="4" t="s">
        <v>20</v>
      </c>
      <c r="H438" s="4" t="s">
        <v>1143</v>
      </c>
      <c r="I438" s="4" t="s">
        <v>22</v>
      </c>
      <c r="J438" s="4" t="s">
        <v>89</v>
      </c>
      <c r="K438" s="4" t="s">
        <v>53</v>
      </c>
      <c r="M438">
        <f t="shared" si="14"/>
        <v>99.837562500000004</v>
      </c>
    </row>
    <row r="439" spans="1:13" ht="14" x14ac:dyDescent="0.2">
      <c r="A439" s="4" t="s">
        <v>1144</v>
      </c>
      <c r="B439" s="5">
        <v>2440.4737500000001</v>
      </c>
      <c r="C439" s="5">
        <f t="shared" si="13"/>
        <v>2440.4737500000001</v>
      </c>
      <c r="D439" s="4">
        <v>1</v>
      </c>
      <c r="E439" s="5" t="s">
        <v>1119</v>
      </c>
      <c r="F439" s="4" t="s">
        <v>1143</v>
      </c>
      <c r="G439" s="4" t="s">
        <v>20</v>
      </c>
      <c r="H439" s="4" t="s">
        <v>1143</v>
      </c>
      <c r="I439" s="4" t="s">
        <v>22</v>
      </c>
      <c r="J439" s="8">
        <v>5.0000000000000001E-3</v>
      </c>
      <c r="K439" s="4" t="s">
        <v>118</v>
      </c>
      <c r="M439">
        <f t="shared" si="14"/>
        <v>2196.426375</v>
      </c>
    </row>
    <row r="440" spans="1:13" ht="14" x14ac:dyDescent="0.2">
      <c r="A440" s="4" t="s">
        <v>1145</v>
      </c>
      <c r="B440" s="5">
        <v>2440.4737500000001</v>
      </c>
      <c r="C440" s="5">
        <f t="shared" si="13"/>
        <v>2440.4737500000001</v>
      </c>
      <c r="D440" s="4">
        <v>1</v>
      </c>
      <c r="E440" s="5" t="s">
        <v>175</v>
      </c>
      <c r="F440" s="4" t="s">
        <v>1143</v>
      </c>
      <c r="G440" s="4" t="s">
        <v>20</v>
      </c>
      <c r="H440" s="4" t="s">
        <v>1146</v>
      </c>
      <c r="I440" s="4" t="s">
        <v>22</v>
      </c>
      <c r="J440" s="8">
        <v>5.0000000000000001E-3</v>
      </c>
      <c r="K440" s="4" t="s">
        <v>53</v>
      </c>
      <c r="M440">
        <f t="shared" si="14"/>
        <v>2196.426375</v>
      </c>
    </row>
    <row r="441" spans="1:13" ht="14" x14ac:dyDescent="0.2">
      <c r="A441" s="4" t="s">
        <v>1147</v>
      </c>
      <c r="B441" s="5">
        <v>2440.4737500000001</v>
      </c>
      <c r="C441" s="5">
        <f t="shared" si="13"/>
        <v>2440.4737500000001</v>
      </c>
      <c r="D441" s="4">
        <v>1</v>
      </c>
      <c r="E441" s="5" t="s">
        <v>18</v>
      </c>
      <c r="F441" s="4" t="s">
        <v>1143</v>
      </c>
      <c r="G441" s="4" t="s">
        <v>20</v>
      </c>
      <c r="H441" s="4" t="s">
        <v>1148</v>
      </c>
      <c r="I441" s="4" t="s">
        <v>22</v>
      </c>
      <c r="J441" s="6">
        <v>0.01</v>
      </c>
      <c r="K441" s="4" t="s">
        <v>53</v>
      </c>
      <c r="M441">
        <f t="shared" si="14"/>
        <v>2196.426375</v>
      </c>
    </row>
    <row r="442" spans="1:13" ht="14" x14ac:dyDescent="0.2">
      <c r="A442" s="4" t="s">
        <v>1149</v>
      </c>
      <c r="B442" s="5">
        <v>3236.9556375000002</v>
      </c>
      <c r="C442" s="5">
        <f t="shared" si="13"/>
        <v>3236.9556375000002</v>
      </c>
      <c r="D442" s="4">
        <v>1</v>
      </c>
      <c r="E442" s="5" t="s">
        <v>55</v>
      </c>
      <c r="F442" s="4" t="s">
        <v>1150</v>
      </c>
      <c r="G442" s="4" t="s">
        <v>20</v>
      </c>
      <c r="H442" s="4" t="s">
        <v>1150</v>
      </c>
      <c r="I442" s="4" t="s">
        <v>22</v>
      </c>
      <c r="J442" s="8">
        <v>2.5000000000000001E-3</v>
      </c>
      <c r="K442" s="4" t="s">
        <v>53</v>
      </c>
      <c r="M442">
        <f t="shared" si="14"/>
        <v>2913.2600737500002</v>
      </c>
    </row>
    <row r="443" spans="1:13" ht="14" x14ac:dyDescent="0.2">
      <c r="A443" s="4" t="s">
        <v>1151</v>
      </c>
      <c r="B443" s="5">
        <v>7427.9146500000006</v>
      </c>
      <c r="C443" s="5">
        <f t="shared" si="13"/>
        <v>265.28266607142859</v>
      </c>
      <c r="D443" s="4">
        <v>28</v>
      </c>
      <c r="E443" s="5" t="s">
        <v>10</v>
      </c>
      <c r="F443" s="4" t="s">
        <v>1152</v>
      </c>
      <c r="G443" s="4" t="s">
        <v>12</v>
      </c>
      <c r="H443" s="4" t="s">
        <v>1152</v>
      </c>
      <c r="I443" s="4" t="s">
        <v>22</v>
      </c>
      <c r="J443" s="4" t="s">
        <v>140</v>
      </c>
      <c r="K443" s="4" t="s">
        <v>227</v>
      </c>
      <c r="M443">
        <f t="shared" si="14"/>
        <v>238.75439946428574</v>
      </c>
    </row>
    <row r="444" spans="1:13" ht="14" x14ac:dyDescent="0.2">
      <c r="A444" s="4" t="s">
        <v>1153</v>
      </c>
      <c r="B444" s="5">
        <v>3594.1522500000001</v>
      </c>
      <c r="C444" s="5">
        <f t="shared" si="13"/>
        <v>128.36258035714286</v>
      </c>
      <c r="D444" s="4">
        <v>28</v>
      </c>
      <c r="E444" s="5" t="s">
        <v>10</v>
      </c>
      <c r="F444" s="4" t="s">
        <v>1152</v>
      </c>
      <c r="G444" s="4" t="s">
        <v>12</v>
      </c>
      <c r="H444" s="4" t="s">
        <v>1152</v>
      </c>
      <c r="I444" s="4" t="s">
        <v>22</v>
      </c>
      <c r="J444" s="4" t="s">
        <v>15</v>
      </c>
      <c r="K444" s="4" t="s">
        <v>227</v>
      </c>
      <c r="M444">
        <f t="shared" si="14"/>
        <v>115.52632232142858</v>
      </c>
    </row>
    <row r="445" spans="1:13" ht="14" x14ac:dyDescent="0.2">
      <c r="A445" s="4" t="s">
        <v>1154</v>
      </c>
      <c r="B445" s="5">
        <v>5630.8385250000001</v>
      </c>
      <c r="C445" s="5">
        <f t="shared" si="13"/>
        <v>201.10137589285713</v>
      </c>
      <c r="D445" s="4">
        <v>28</v>
      </c>
      <c r="E445" s="5" t="s">
        <v>10</v>
      </c>
      <c r="F445" s="4" t="s">
        <v>1152</v>
      </c>
      <c r="G445" s="4" t="s">
        <v>12</v>
      </c>
      <c r="H445" s="4" t="s">
        <v>1152</v>
      </c>
      <c r="I445" s="4" t="s">
        <v>22</v>
      </c>
      <c r="J445" s="4" t="s">
        <v>78</v>
      </c>
      <c r="K445" s="4" t="s">
        <v>227</v>
      </c>
      <c r="M445">
        <f t="shared" si="14"/>
        <v>180.99123830357144</v>
      </c>
    </row>
    <row r="446" spans="1:13" ht="14" x14ac:dyDescent="0.2">
      <c r="A446" s="4" t="s">
        <v>1155</v>
      </c>
      <c r="B446" s="5">
        <v>16195.871250000002</v>
      </c>
      <c r="C446" s="5">
        <f t="shared" si="13"/>
        <v>16195.871250000002</v>
      </c>
      <c r="D446" s="4">
        <v>1</v>
      </c>
      <c r="E446" s="5" t="s">
        <v>55</v>
      </c>
      <c r="F446" s="4" t="s">
        <v>1155</v>
      </c>
      <c r="G446" s="4" t="s">
        <v>20</v>
      </c>
      <c r="H446" s="4" t="s">
        <v>1156</v>
      </c>
      <c r="I446" s="4" t="s">
        <v>22</v>
      </c>
      <c r="J446" s="4" t="s">
        <v>25</v>
      </c>
      <c r="K446" s="4" t="s">
        <v>23</v>
      </c>
      <c r="M446">
        <f t="shared" si="14"/>
        <v>14576.284125000002</v>
      </c>
    </row>
    <row r="447" spans="1:13" ht="14" x14ac:dyDescent="0.2">
      <c r="A447" s="4" t="s">
        <v>1157</v>
      </c>
      <c r="B447" s="5">
        <v>2965.1756062499999</v>
      </c>
      <c r="C447" s="5">
        <f t="shared" si="13"/>
        <v>98.839186874999996</v>
      </c>
      <c r="D447" s="4">
        <v>30</v>
      </c>
      <c r="E447" s="5" t="s">
        <v>10</v>
      </c>
      <c r="F447" s="4" t="s">
        <v>1158</v>
      </c>
      <c r="G447" s="4" t="s">
        <v>20</v>
      </c>
      <c r="H447" s="4" t="s">
        <v>1159</v>
      </c>
      <c r="I447" s="4" t="s">
        <v>22</v>
      </c>
      <c r="J447" s="4" t="s">
        <v>25</v>
      </c>
      <c r="K447" s="4" t="s">
        <v>786</v>
      </c>
      <c r="M447">
        <f t="shared" si="14"/>
        <v>88.955268187499996</v>
      </c>
    </row>
    <row r="448" spans="1:13" ht="14" x14ac:dyDescent="0.2">
      <c r="A448" s="4" t="s">
        <v>1160</v>
      </c>
      <c r="B448" s="5">
        <v>4991.8781250000002</v>
      </c>
      <c r="C448" s="5">
        <f t="shared" si="13"/>
        <v>499.18781250000001</v>
      </c>
      <c r="D448" s="4">
        <v>10</v>
      </c>
      <c r="E448" s="5" t="s">
        <v>10</v>
      </c>
      <c r="F448" s="4" t="s">
        <v>1161</v>
      </c>
      <c r="G448" s="4" t="s">
        <v>20</v>
      </c>
      <c r="H448" s="4" t="s">
        <v>1161</v>
      </c>
      <c r="I448" s="4" t="s">
        <v>22</v>
      </c>
      <c r="K448" s="4" t="s">
        <v>786</v>
      </c>
      <c r="M448">
        <f t="shared" si="14"/>
        <v>449.26903125000001</v>
      </c>
    </row>
    <row r="449" spans="1:13" ht="14" x14ac:dyDescent="0.2">
      <c r="A449" s="4" t="s">
        <v>1162</v>
      </c>
      <c r="B449" s="5">
        <v>24515.668125000004</v>
      </c>
      <c r="C449" s="5">
        <f t="shared" si="13"/>
        <v>12257.834062500002</v>
      </c>
      <c r="D449" s="4">
        <v>2</v>
      </c>
      <c r="E449" s="5" t="s">
        <v>10</v>
      </c>
      <c r="F449" s="4" t="s">
        <v>449</v>
      </c>
      <c r="G449" s="4" t="s">
        <v>12</v>
      </c>
      <c r="H449" s="4" t="s">
        <v>1163</v>
      </c>
      <c r="I449" s="4" t="s">
        <v>14</v>
      </c>
      <c r="J449" s="4" t="s">
        <v>148</v>
      </c>
      <c r="K449" s="4" t="s">
        <v>155</v>
      </c>
      <c r="M449">
        <f t="shared" si="14"/>
        <v>11032.050656250001</v>
      </c>
    </row>
    <row r="450" spans="1:13" ht="14" x14ac:dyDescent="0.2">
      <c r="A450" s="4" t="s">
        <v>5235</v>
      </c>
      <c r="B450" s="5">
        <v>3216.9881250000003</v>
      </c>
      <c r="C450" s="5">
        <f t="shared" si="13"/>
        <v>3216.9881250000003</v>
      </c>
      <c r="D450" s="4">
        <v>1</v>
      </c>
      <c r="E450" s="5" t="s">
        <v>5236</v>
      </c>
      <c r="F450" s="4" t="s">
        <v>5237</v>
      </c>
      <c r="G450" s="4" t="s">
        <v>20</v>
      </c>
      <c r="H450" s="4" t="s">
        <v>5238</v>
      </c>
      <c r="I450" s="4" t="s">
        <v>22</v>
      </c>
      <c r="J450" s="4" t="s">
        <v>1995</v>
      </c>
      <c r="K450" s="4" t="s">
        <v>23</v>
      </c>
      <c r="M450">
        <f t="shared" si="14"/>
        <v>2895.2893125000001</v>
      </c>
    </row>
    <row r="451" spans="1:13" ht="14" x14ac:dyDescent="0.2">
      <c r="A451" s="4" t="s">
        <v>1164</v>
      </c>
      <c r="B451" s="5">
        <v>1018.3431375000002</v>
      </c>
      <c r="C451" s="5">
        <f t="shared" ref="C451:C514" si="15">(B451/D451)</f>
        <v>101.83431375000002</v>
      </c>
      <c r="D451" s="4">
        <v>10</v>
      </c>
      <c r="E451" s="5" t="s">
        <v>10</v>
      </c>
      <c r="F451" s="4" t="s">
        <v>1165</v>
      </c>
      <c r="G451" s="4" t="s">
        <v>20</v>
      </c>
      <c r="H451" s="4" t="s">
        <v>1166</v>
      </c>
      <c r="I451" s="4" t="s">
        <v>22</v>
      </c>
      <c r="J451" s="4" t="s">
        <v>207</v>
      </c>
      <c r="K451" s="4" t="s">
        <v>53</v>
      </c>
      <c r="M451">
        <f t="shared" si="14"/>
        <v>91.650882375000023</v>
      </c>
    </row>
    <row r="452" spans="1:13" ht="14" x14ac:dyDescent="0.2">
      <c r="A452" s="4" t="s">
        <v>1167</v>
      </c>
      <c r="B452" s="5">
        <v>8264.3315625000014</v>
      </c>
      <c r="C452" s="5">
        <f t="shared" si="15"/>
        <v>393.53959821428577</v>
      </c>
      <c r="D452" s="4">
        <v>21</v>
      </c>
      <c r="E452" s="5" t="s">
        <v>10</v>
      </c>
      <c r="F452" s="4" t="s">
        <v>1168</v>
      </c>
      <c r="G452" s="4" t="s">
        <v>12</v>
      </c>
      <c r="H452" s="4" t="s">
        <v>1169</v>
      </c>
      <c r="I452" s="4" t="s">
        <v>22</v>
      </c>
      <c r="J452" s="4" t="s">
        <v>1170</v>
      </c>
      <c r="K452" s="4" t="s">
        <v>155</v>
      </c>
      <c r="M452">
        <f t="shared" si="14"/>
        <v>354.18563839285719</v>
      </c>
    </row>
    <row r="453" spans="1:13" ht="14" x14ac:dyDescent="0.2">
      <c r="A453" s="4" t="s">
        <v>1171</v>
      </c>
      <c r="B453" s="5">
        <v>22030.822125000002</v>
      </c>
      <c r="C453" s="5">
        <f t="shared" si="15"/>
        <v>734.36073750000003</v>
      </c>
      <c r="D453" s="4">
        <v>30</v>
      </c>
      <c r="E453" s="5" t="s">
        <v>957</v>
      </c>
      <c r="F453" s="4" t="s">
        <v>1171</v>
      </c>
      <c r="G453" s="4" t="s">
        <v>12</v>
      </c>
      <c r="H453" s="4" t="s">
        <v>1171</v>
      </c>
      <c r="I453" s="4" t="s">
        <v>22</v>
      </c>
      <c r="J453" s="4" t="s">
        <v>1172</v>
      </c>
      <c r="K453" s="4" t="s">
        <v>1173</v>
      </c>
      <c r="M453">
        <f t="shared" si="14"/>
        <v>660.92466375000004</v>
      </c>
    </row>
    <row r="454" spans="1:13" ht="14" x14ac:dyDescent="0.2">
      <c r="A454" s="4" t="s">
        <v>1174</v>
      </c>
      <c r="B454" s="5">
        <v>3771.6412500000001</v>
      </c>
      <c r="C454" s="5">
        <f t="shared" si="15"/>
        <v>3771.6412500000001</v>
      </c>
      <c r="D454" s="4">
        <v>1</v>
      </c>
      <c r="E454" s="5" t="s">
        <v>175</v>
      </c>
      <c r="F454" s="4" t="s">
        <v>1110</v>
      </c>
      <c r="G454" s="4" t="s">
        <v>20</v>
      </c>
      <c r="H454" s="4" t="s">
        <v>1175</v>
      </c>
      <c r="I454" s="4" t="s">
        <v>22</v>
      </c>
      <c r="J454" s="8">
        <v>3.0000000000000001E-3</v>
      </c>
      <c r="K454" s="4" t="s">
        <v>53</v>
      </c>
      <c r="M454">
        <f t="shared" si="14"/>
        <v>3394.4771250000003</v>
      </c>
    </row>
    <row r="455" spans="1:13" ht="14" x14ac:dyDescent="0.2">
      <c r="A455" s="4" t="s">
        <v>1176</v>
      </c>
      <c r="B455" s="5">
        <v>1331.1675</v>
      </c>
      <c r="C455" s="5">
        <f t="shared" si="15"/>
        <v>1331.1675</v>
      </c>
      <c r="D455" s="4">
        <v>1</v>
      </c>
      <c r="E455" s="4" t="s">
        <v>124</v>
      </c>
      <c r="F455" s="4" t="s">
        <v>1177</v>
      </c>
      <c r="G455" s="4" t="s">
        <v>20</v>
      </c>
      <c r="H455" s="4" t="s">
        <v>1178</v>
      </c>
      <c r="I455" s="4" t="s">
        <v>22</v>
      </c>
      <c r="J455" s="4" t="s">
        <v>849</v>
      </c>
      <c r="K455" s="4" t="s">
        <v>850</v>
      </c>
      <c r="M455">
        <f t="shared" si="14"/>
        <v>1198.0507500000001</v>
      </c>
    </row>
    <row r="456" spans="1:13" ht="14" x14ac:dyDescent="0.2">
      <c r="A456" s="4" t="s">
        <v>1179</v>
      </c>
      <c r="B456" s="5">
        <v>4991.8781250000002</v>
      </c>
      <c r="C456" s="5">
        <f t="shared" si="15"/>
        <v>166.3959375</v>
      </c>
      <c r="D456" s="4">
        <v>30</v>
      </c>
      <c r="E456" s="5" t="s">
        <v>10</v>
      </c>
      <c r="F456" s="4" t="s">
        <v>1179</v>
      </c>
      <c r="G456" s="4" t="s">
        <v>20</v>
      </c>
      <c r="H456" s="4" t="s">
        <v>1180</v>
      </c>
      <c r="I456" s="4" t="s">
        <v>22</v>
      </c>
      <c r="J456" s="4" t="s">
        <v>1084</v>
      </c>
      <c r="K456" s="4" t="s">
        <v>748</v>
      </c>
      <c r="M456">
        <f t="shared" si="14"/>
        <v>149.75634375000001</v>
      </c>
    </row>
    <row r="457" spans="1:13" ht="14" x14ac:dyDescent="0.2">
      <c r="A457" s="4" t="s">
        <v>1181</v>
      </c>
      <c r="B457" s="5">
        <v>2662.335</v>
      </c>
      <c r="C457" s="5">
        <f t="shared" si="15"/>
        <v>133.11675</v>
      </c>
      <c r="D457" s="4">
        <v>20</v>
      </c>
      <c r="E457" s="5" t="s">
        <v>10</v>
      </c>
      <c r="F457" s="4" t="s">
        <v>1182</v>
      </c>
      <c r="G457" s="4" t="s">
        <v>20</v>
      </c>
      <c r="H457" s="4" t="s">
        <v>1182</v>
      </c>
      <c r="I457" s="4" t="s">
        <v>22</v>
      </c>
      <c r="J457" s="4" t="s">
        <v>52</v>
      </c>
      <c r="K457" s="4" t="s">
        <v>748</v>
      </c>
      <c r="M457">
        <f t="shared" si="14"/>
        <v>119.80507499999999</v>
      </c>
    </row>
    <row r="458" spans="1:13" ht="14" x14ac:dyDescent="0.2">
      <c r="A458" s="4" t="s">
        <v>1183</v>
      </c>
      <c r="B458" s="5">
        <v>2174.2402500000003</v>
      </c>
      <c r="C458" s="5">
        <f t="shared" si="15"/>
        <v>217.42402500000003</v>
      </c>
      <c r="D458" s="4">
        <v>10</v>
      </c>
      <c r="E458" s="5" t="s">
        <v>10</v>
      </c>
      <c r="F458" s="4" t="s">
        <v>1165</v>
      </c>
      <c r="G458" s="4" t="s">
        <v>20</v>
      </c>
      <c r="H458" s="4" t="s">
        <v>1184</v>
      </c>
      <c r="I458" s="4" t="s">
        <v>22</v>
      </c>
      <c r="J458" s="4" t="s">
        <v>207</v>
      </c>
      <c r="K458" s="4" t="s">
        <v>53</v>
      </c>
      <c r="M458">
        <f t="shared" si="14"/>
        <v>195.68162250000003</v>
      </c>
    </row>
    <row r="459" spans="1:13" ht="14" x14ac:dyDescent="0.2">
      <c r="A459" s="4" t="s">
        <v>1185</v>
      </c>
      <c r="B459" s="5">
        <v>1198.0507500000001</v>
      </c>
      <c r="C459" s="5">
        <f t="shared" si="15"/>
        <v>119.80507500000002</v>
      </c>
      <c r="D459" s="4">
        <v>10</v>
      </c>
      <c r="E459" s="5" t="s">
        <v>10</v>
      </c>
      <c r="F459" s="4" t="s">
        <v>1165</v>
      </c>
      <c r="G459" s="4" t="s">
        <v>20</v>
      </c>
      <c r="H459" s="4" t="s">
        <v>1186</v>
      </c>
      <c r="I459" s="4" t="s">
        <v>22</v>
      </c>
      <c r="J459" s="4" t="s">
        <v>207</v>
      </c>
      <c r="K459" s="4" t="s">
        <v>53</v>
      </c>
      <c r="M459">
        <f t="shared" si="14"/>
        <v>107.82456750000001</v>
      </c>
    </row>
    <row r="460" spans="1:13" ht="14" x14ac:dyDescent="0.2">
      <c r="A460" s="4" t="s">
        <v>1187</v>
      </c>
      <c r="B460" s="5">
        <v>721.0490625000001</v>
      </c>
      <c r="C460" s="5">
        <f t="shared" si="15"/>
        <v>721.0490625000001</v>
      </c>
      <c r="D460" s="4">
        <v>1</v>
      </c>
      <c r="E460" s="5" t="s">
        <v>296</v>
      </c>
      <c r="F460" s="4" t="s">
        <v>1110</v>
      </c>
      <c r="G460" s="4" t="s">
        <v>20</v>
      </c>
      <c r="H460" s="4" t="s">
        <v>1188</v>
      </c>
      <c r="I460" s="4" t="s">
        <v>22</v>
      </c>
      <c r="J460" s="4" t="s">
        <v>1189</v>
      </c>
      <c r="K460" s="4" t="s">
        <v>53</v>
      </c>
      <c r="M460">
        <f t="shared" si="14"/>
        <v>648.94415625000011</v>
      </c>
    </row>
    <row r="461" spans="1:13" ht="14" x14ac:dyDescent="0.2">
      <c r="A461" s="4" t="s">
        <v>1190</v>
      </c>
      <c r="B461" s="5">
        <v>2762.1725625000004</v>
      </c>
      <c r="C461" s="5">
        <f t="shared" si="15"/>
        <v>276.21725625000005</v>
      </c>
      <c r="D461" s="4">
        <v>10</v>
      </c>
      <c r="E461" s="5" t="s">
        <v>10</v>
      </c>
      <c r="F461" s="4" t="s">
        <v>1110</v>
      </c>
      <c r="G461" s="4" t="s">
        <v>20</v>
      </c>
      <c r="H461" s="4" t="s">
        <v>1110</v>
      </c>
      <c r="I461" s="4" t="s">
        <v>22</v>
      </c>
      <c r="J461" s="4" t="s">
        <v>207</v>
      </c>
      <c r="K461" s="4" t="s">
        <v>53</v>
      </c>
      <c r="M461">
        <f t="shared" si="14"/>
        <v>248.59553062500004</v>
      </c>
    </row>
    <row r="462" spans="1:13" ht="14" x14ac:dyDescent="0.2">
      <c r="A462" s="4" t="s">
        <v>1191</v>
      </c>
      <c r="B462" s="5">
        <v>5657.4618750000009</v>
      </c>
      <c r="C462" s="5">
        <f t="shared" si="15"/>
        <v>5657.4618750000009</v>
      </c>
      <c r="D462" s="4">
        <v>1</v>
      </c>
      <c r="E462" s="5" t="s">
        <v>175</v>
      </c>
      <c r="F462" s="4" t="s">
        <v>1110</v>
      </c>
      <c r="G462" s="4" t="s">
        <v>20</v>
      </c>
      <c r="H462" s="4" t="s">
        <v>1192</v>
      </c>
      <c r="I462" s="4" t="s">
        <v>22</v>
      </c>
      <c r="J462" s="8">
        <v>3.0000000000000001E-3</v>
      </c>
      <c r="K462" s="4" t="s">
        <v>53</v>
      </c>
      <c r="M462">
        <f t="shared" si="14"/>
        <v>5091.715687500001</v>
      </c>
    </row>
    <row r="463" spans="1:13" ht="14" x14ac:dyDescent="0.2">
      <c r="A463" s="4" t="s">
        <v>1191</v>
      </c>
      <c r="B463" s="5">
        <v>1996.7512500000003</v>
      </c>
      <c r="C463" s="5">
        <f t="shared" si="15"/>
        <v>1996.7512500000003</v>
      </c>
      <c r="D463" s="4">
        <v>1</v>
      </c>
      <c r="E463" s="5" t="s">
        <v>175</v>
      </c>
      <c r="F463" s="4" t="s">
        <v>1110</v>
      </c>
      <c r="G463" s="4" t="s">
        <v>20</v>
      </c>
      <c r="H463" s="4" t="s">
        <v>1193</v>
      </c>
      <c r="I463" s="4" t="s">
        <v>22</v>
      </c>
      <c r="J463" s="8">
        <v>3.0000000000000001E-3</v>
      </c>
      <c r="K463" s="4" t="s">
        <v>53</v>
      </c>
      <c r="M463">
        <f t="shared" si="14"/>
        <v>1797.0761250000003</v>
      </c>
    </row>
    <row r="464" spans="1:13" ht="14" x14ac:dyDescent="0.2">
      <c r="A464" s="4" t="s">
        <v>1194</v>
      </c>
      <c r="B464" s="5">
        <v>831.97968750000007</v>
      </c>
      <c r="C464" s="5">
        <f t="shared" si="15"/>
        <v>831.97968750000007</v>
      </c>
      <c r="D464" s="4">
        <v>1</v>
      </c>
      <c r="E464" s="5" t="s">
        <v>296</v>
      </c>
      <c r="F464" s="4" t="s">
        <v>1194</v>
      </c>
      <c r="G464" s="4" t="s">
        <v>12</v>
      </c>
      <c r="H464" s="4" t="s">
        <v>1194</v>
      </c>
      <c r="I464" s="4" t="s">
        <v>22</v>
      </c>
      <c r="J464" s="4" t="s">
        <v>1189</v>
      </c>
      <c r="K464" s="4" t="s">
        <v>53</v>
      </c>
      <c r="M464">
        <f t="shared" si="14"/>
        <v>748.7817187500001</v>
      </c>
    </row>
    <row r="465" spans="1:25" ht="14" x14ac:dyDescent="0.2">
      <c r="A465" s="4" t="s">
        <v>1195</v>
      </c>
      <c r="B465" s="5">
        <v>5435.600625</v>
      </c>
      <c r="C465" s="5">
        <f t="shared" si="15"/>
        <v>543.56006249999996</v>
      </c>
      <c r="D465" s="4">
        <v>10</v>
      </c>
      <c r="E465" s="5" t="s">
        <v>10</v>
      </c>
      <c r="F465" s="4" t="s">
        <v>1110</v>
      </c>
      <c r="G465" s="4" t="s">
        <v>20</v>
      </c>
      <c r="H465" s="4" t="s">
        <v>1196</v>
      </c>
      <c r="I465" s="4" t="s">
        <v>14</v>
      </c>
      <c r="J465" s="4" t="s">
        <v>207</v>
      </c>
      <c r="K465" s="4" t="s">
        <v>53</v>
      </c>
      <c r="M465">
        <f t="shared" si="14"/>
        <v>489.20405624999995</v>
      </c>
    </row>
    <row r="466" spans="1:25" ht="14" x14ac:dyDescent="0.2">
      <c r="A466" s="4" t="s">
        <v>1197</v>
      </c>
      <c r="B466" s="5">
        <v>876.35193750000008</v>
      </c>
      <c r="C466" s="5">
        <f t="shared" si="15"/>
        <v>876.35193750000008</v>
      </c>
      <c r="D466" s="4">
        <v>1</v>
      </c>
      <c r="E466" s="5" t="s">
        <v>296</v>
      </c>
      <c r="F466" s="4" t="s">
        <v>1194</v>
      </c>
      <c r="G466" s="4" t="s">
        <v>12</v>
      </c>
      <c r="H466" s="4" t="s">
        <v>1194</v>
      </c>
      <c r="I466" s="4" t="s">
        <v>22</v>
      </c>
      <c r="J466" s="4" t="s">
        <v>1189</v>
      </c>
      <c r="K466" s="4" t="s">
        <v>53</v>
      </c>
      <c r="M466">
        <f t="shared" si="14"/>
        <v>788.71674375000009</v>
      </c>
    </row>
    <row r="467" spans="1:25" ht="14" x14ac:dyDescent="0.2">
      <c r="A467" s="4" t="s">
        <v>1198</v>
      </c>
      <c r="B467" s="5">
        <v>6212.1150000000007</v>
      </c>
      <c r="C467" s="5">
        <f t="shared" si="15"/>
        <v>621.21150000000011</v>
      </c>
      <c r="D467" s="4">
        <v>10</v>
      </c>
      <c r="E467" s="5" t="s">
        <v>10</v>
      </c>
      <c r="F467" s="4" t="s">
        <v>1199</v>
      </c>
      <c r="G467" s="4" t="s">
        <v>20</v>
      </c>
      <c r="H467" s="4" t="s">
        <v>1200</v>
      </c>
      <c r="I467" s="4" t="s">
        <v>14</v>
      </c>
      <c r="J467" s="4" t="s">
        <v>1201</v>
      </c>
      <c r="K467" s="4" t="s">
        <v>53</v>
      </c>
      <c r="M467">
        <f t="shared" si="14"/>
        <v>559.09035000000006</v>
      </c>
    </row>
    <row r="468" spans="1:25" ht="14" x14ac:dyDescent="0.2">
      <c r="A468" s="4" t="s">
        <v>1202</v>
      </c>
      <c r="B468" s="5">
        <v>6101.1843750000007</v>
      </c>
      <c r="C468" s="5">
        <f t="shared" si="15"/>
        <v>435.79888392857146</v>
      </c>
      <c r="D468" s="4">
        <v>14</v>
      </c>
      <c r="E468" s="5" t="s">
        <v>10</v>
      </c>
      <c r="F468" s="4" t="s">
        <v>1110</v>
      </c>
      <c r="G468" s="4" t="s">
        <v>20</v>
      </c>
      <c r="H468" s="4" t="s">
        <v>1196</v>
      </c>
      <c r="I468" s="4" t="s">
        <v>14</v>
      </c>
      <c r="J468" s="4" t="s">
        <v>207</v>
      </c>
      <c r="K468" s="4" t="s">
        <v>53</v>
      </c>
      <c r="M468">
        <f t="shared" si="14"/>
        <v>392.21899553571433</v>
      </c>
    </row>
    <row r="469" spans="1:25" ht="14" x14ac:dyDescent="0.2">
      <c r="A469" s="7" t="s">
        <v>5239</v>
      </c>
      <c r="B469" s="10">
        <v>554.65312500000005</v>
      </c>
      <c r="C469" s="5">
        <f t="shared" si="15"/>
        <v>554.65312500000005</v>
      </c>
      <c r="D469" s="9">
        <v>1</v>
      </c>
      <c r="E469" s="10" t="s">
        <v>5185</v>
      </c>
      <c r="F469" s="7" t="s">
        <v>233</v>
      </c>
      <c r="G469" s="7" t="s">
        <v>12</v>
      </c>
      <c r="H469" s="7" t="s">
        <v>5240</v>
      </c>
      <c r="I469" s="7" t="s">
        <v>22</v>
      </c>
      <c r="J469" s="7" t="s">
        <v>1172</v>
      </c>
      <c r="K469" s="7" t="s">
        <v>179</v>
      </c>
      <c r="L469" s="4"/>
      <c r="M469">
        <f t="shared" si="14"/>
        <v>499.18781250000006</v>
      </c>
      <c r="N469" s="3"/>
      <c r="O469" s="3"/>
      <c r="P469" s="3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" x14ac:dyDescent="0.2">
      <c r="A470" s="4" t="s">
        <v>1203</v>
      </c>
      <c r="B470" s="5">
        <v>3385.6026750000005</v>
      </c>
      <c r="C470" s="5">
        <f t="shared" si="15"/>
        <v>338.56026750000007</v>
      </c>
      <c r="D470" s="4">
        <v>10</v>
      </c>
      <c r="E470" s="5" t="s">
        <v>10</v>
      </c>
      <c r="F470" s="4" t="s">
        <v>1204</v>
      </c>
      <c r="G470" s="4" t="s">
        <v>12</v>
      </c>
      <c r="H470" s="4" t="s">
        <v>1204</v>
      </c>
      <c r="I470" s="4" t="s">
        <v>22</v>
      </c>
      <c r="J470" s="4" t="s">
        <v>146</v>
      </c>
      <c r="K470" s="4" t="s">
        <v>227</v>
      </c>
      <c r="M470">
        <f t="shared" si="14"/>
        <v>304.70424075000005</v>
      </c>
    </row>
    <row r="471" spans="1:25" ht="14" x14ac:dyDescent="0.2">
      <c r="A471" s="4" t="s">
        <v>1205</v>
      </c>
      <c r="B471" s="5">
        <v>3745.0179000000003</v>
      </c>
      <c r="C471" s="5">
        <f t="shared" si="15"/>
        <v>374.50179000000003</v>
      </c>
      <c r="D471" s="4">
        <v>10</v>
      </c>
      <c r="E471" s="5" t="s">
        <v>10</v>
      </c>
      <c r="F471" s="4" t="s">
        <v>1204</v>
      </c>
      <c r="G471" s="4" t="s">
        <v>12</v>
      </c>
      <c r="H471" s="4" t="s">
        <v>1204</v>
      </c>
      <c r="I471" s="4" t="s">
        <v>22</v>
      </c>
      <c r="J471" s="4" t="s">
        <v>148</v>
      </c>
      <c r="K471" s="4" t="s">
        <v>227</v>
      </c>
      <c r="M471">
        <f t="shared" si="14"/>
        <v>337.05161100000004</v>
      </c>
    </row>
    <row r="472" spans="1:25" ht="14" x14ac:dyDescent="0.2">
      <c r="A472" s="4" t="s">
        <v>1206</v>
      </c>
      <c r="B472" s="5">
        <v>4104.4331250000005</v>
      </c>
      <c r="C472" s="5">
        <f t="shared" si="15"/>
        <v>410.44331250000005</v>
      </c>
      <c r="D472" s="4">
        <v>10</v>
      </c>
      <c r="E472" s="5" t="s">
        <v>10</v>
      </c>
      <c r="F472" s="4" t="s">
        <v>1204</v>
      </c>
      <c r="G472" s="4" t="s">
        <v>12</v>
      </c>
      <c r="H472" s="4" t="s">
        <v>1204</v>
      </c>
      <c r="I472" s="4" t="s">
        <v>22</v>
      </c>
      <c r="J472" s="4" t="s">
        <v>495</v>
      </c>
      <c r="K472" s="4" t="s">
        <v>227</v>
      </c>
      <c r="M472">
        <f t="shared" si="14"/>
        <v>369.39898125000002</v>
      </c>
    </row>
    <row r="473" spans="1:25" ht="14" x14ac:dyDescent="0.2">
      <c r="A473" s="4" t="s">
        <v>1207</v>
      </c>
      <c r="B473" s="5">
        <v>20189.373750000002</v>
      </c>
      <c r="C473" s="5">
        <f t="shared" si="15"/>
        <v>672.97912500000007</v>
      </c>
      <c r="D473" s="4">
        <v>30</v>
      </c>
      <c r="E473" s="5" t="s">
        <v>10</v>
      </c>
      <c r="F473" s="4" t="s">
        <v>1207</v>
      </c>
      <c r="G473" s="4" t="s">
        <v>12</v>
      </c>
      <c r="H473" s="4" t="s">
        <v>1207</v>
      </c>
      <c r="I473" s="4" t="s">
        <v>22</v>
      </c>
      <c r="J473" s="4" t="s">
        <v>1208</v>
      </c>
      <c r="K473" s="4" t="s">
        <v>34</v>
      </c>
      <c r="M473">
        <f t="shared" si="14"/>
        <v>605.68121250000002</v>
      </c>
    </row>
    <row r="474" spans="1:25" ht="14" x14ac:dyDescent="0.2">
      <c r="A474" s="4" t="s">
        <v>1209</v>
      </c>
      <c r="B474" s="5">
        <v>1331.1675</v>
      </c>
      <c r="C474" s="5">
        <f t="shared" si="15"/>
        <v>1331.1675</v>
      </c>
      <c r="D474" s="4">
        <v>1</v>
      </c>
      <c r="E474" s="5" t="s">
        <v>59</v>
      </c>
      <c r="F474" s="4" t="s">
        <v>581</v>
      </c>
      <c r="G474" s="4" t="s">
        <v>20</v>
      </c>
      <c r="H474" s="4" t="s">
        <v>1210</v>
      </c>
      <c r="I474" s="4" t="s">
        <v>22</v>
      </c>
      <c r="J474" s="4" t="s">
        <v>184</v>
      </c>
      <c r="K474" s="4" t="s">
        <v>34</v>
      </c>
      <c r="M474">
        <f t="shared" si="14"/>
        <v>1198.0507500000001</v>
      </c>
    </row>
    <row r="475" spans="1:25" ht="14" x14ac:dyDescent="0.2">
      <c r="A475" s="4" t="s">
        <v>1211</v>
      </c>
      <c r="B475" s="5">
        <v>3882.5718750000005</v>
      </c>
      <c r="C475" s="5">
        <f t="shared" si="15"/>
        <v>3882.5718750000005</v>
      </c>
      <c r="D475" s="4">
        <v>1</v>
      </c>
      <c r="E475" s="5" t="s">
        <v>1212</v>
      </c>
      <c r="F475" s="4" t="s">
        <v>1213</v>
      </c>
      <c r="G475" s="4" t="s">
        <v>20</v>
      </c>
      <c r="H475" s="4" t="s">
        <v>1214</v>
      </c>
      <c r="I475" s="4" t="s">
        <v>22</v>
      </c>
      <c r="J475" s="4" t="s">
        <v>1215</v>
      </c>
      <c r="K475" s="4" t="s">
        <v>244</v>
      </c>
      <c r="M475">
        <f t="shared" si="14"/>
        <v>3494.3146875000002</v>
      </c>
    </row>
    <row r="476" spans="1:25" ht="14" x14ac:dyDescent="0.2">
      <c r="A476" s="4" t="s">
        <v>1216</v>
      </c>
      <c r="B476" s="5">
        <v>5391.2283749999997</v>
      </c>
      <c r="C476" s="5">
        <f t="shared" si="15"/>
        <v>53.91228375</v>
      </c>
      <c r="D476" s="4">
        <v>100</v>
      </c>
      <c r="E476" s="5" t="s">
        <v>10</v>
      </c>
      <c r="F476" s="4" t="s">
        <v>1217</v>
      </c>
      <c r="G476" s="4" t="s">
        <v>12</v>
      </c>
      <c r="H476" s="4" t="s">
        <v>1218</v>
      </c>
      <c r="I476" s="4" t="s">
        <v>22</v>
      </c>
      <c r="J476" s="4" t="s">
        <v>1219</v>
      </c>
      <c r="K476" s="4" t="s">
        <v>16</v>
      </c>
      <c r="M476">
        <f t="shared" si="14"/>
        <v>48.521055375000003</v>
      </c>
    </row>
    <row r="477" spans="1:25" ht="14" x14ac:dyDescent="0.2">
      <c r="A477" s="4" t="s">
        <v>1220</v>
      </c>
      <c r="B477" s="5">
        <v>3776.0784750000003</v>
      </c>
      <c r="C477" s="5">
        <f t="shared" si="15"/>
        <v>125.86928250000001</v>
      </c>
      <c r="D477" s="4">
        <v>30</v>
      </c>
      <c r="E477" s="5" t="s">
        <v>10</v>
      </c>
      <c r="F477" s="4" t="s">
        <v>1217</v>
      </c>
      <c r="G477" s="4" t="s">
        <v>12</v>
      </c>
      <c r="H477" s="4" t="s">
        <v>1218</v>
      </c>
      <c r="I477" s="4" t="s">
        <v>22</v>
      </c>
      <c r="J477" s="4" t="s">
        <v>1219</v>
      </c>
      <c r="K477" s="4" t="s">
        <v>16</v>
      </c>
      <c r="M477">
        <f t="shared" ref="M477:M540" si="16">C477-(C477* 10%)</f>
        <v>113.28235425000001</v>
      </c>
    </row>
    <row r="478" spans="1:25" ht="14" x14ac:dyDescent="0.2">
      <c r="A478" s="7" t="s">
        <v>5241</v>
      </c>
      <c r="B478" s="10">
        <v>10316.548125000001</v>
      </c>
      <c r="C478" s="5">
        <f t="shared" si="15"/>
        <v>10316.548125000001</v>
      </c>
      <c r="D478" s="9">
        <v>1</v>
      </c>
      <c r="E478" s="10" t="s">
        <v>5217</v>
      </c>
      <c r="F478" s="7" t="s">
        <v>4558</v>
      </c>
      <c r="G478" s="7" t="s">
        <v>12</v>
      </c>
      <c r="H478" s="7" t="s">
        <v>5242</v>
      </c>
      <c r="I478" s="7" t="s">
        <v>22</v>
      </c>
      <c r="J478" s="7" t="s">
        <v>25</v>
      </c>
      <c r="K478" s="7" t="s">
        <v>5243</v>
      </c>
      <c r="L478" s="4"/>
      <c r="M478">
        <f t="shared" si="16"/>
        <v>9284.8933125000003</v>
      </c>
      <c r="N478" s="3"/>
      <c r="O478" s="3"/>
      <c r="P478" s="3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" x14ac:dyDescent="0.2">
      <c r="A479" s="4" t="s">
        <v>1221</v>
      </c>
      <c r="B479" s="5">
        <v>9772.9880625000005</v>
      </c>
      <c r="C479" s="5">
        <f t="shared" si="15"/>
        <v>698.07057589285716</v>
      </c>
      <c r="D479" s="4">
        <v>14</v>
      </c>
      <c r="E479" s="5" t="s">
        <v>10</v>
      </c>
      <c r="F479" s="4" t="s">
        <v>1222</v>
      </c>
      <c r="G479" s="4" t="s">
        <v>20</v>
      </c>
      <c r="H479" s="4" t="s">
        <v>1223</v>
      </c>
      <c r="I479" s="4" t="s">
        <v>22</v>
      </c>
      <c r="J479" s="4" t="s">
        <v>207</v>
      </c>
      <c r="K479" s="4" t="s">
        <v>53</v>
      </c>
      <c r="M479">
        <f t="shared" si="16"/>
        <v>628.26351830357146</v>
      </c>
    </row>
    <row r="480" spans="1:25" ht="14" x14ac:dyDescent="0.2">
      <c r="A480" s="4" t="s">
        <v>1224</v>
      </c>
      <c r="B480" s="5">
        <v>2995.1268750000004</v>
      </c>
      <c r="C480" s="5">
        <f t="shared" si="15"/>
        <v>299.51268750000003</v>
      </c>
      <c r="D480" s="4">
        <v>10</v>
      </c>
      <c r="E480" s="5" t="s">
        <v>10</v>
      </c>
      <c r="F480" s="4" t="s">
        <v>1225</v>
      </c>
      <c r="G480" s="4" t="s">
        <v>20</v>
      </c>
      <c r="H480" s="4" t="s">
        <v>1226</v>
      </c>
      <c r="I480" s="4" t="s">
        <v>22</v>
      </c>
      <c r="J480" s="4" t="s">
        <v>207</v>
      </c>
      <c r="K480" s="4" t="s">
        <v>53</v>
      </c>
      <c r="M480">
        <f t="shared" si="16"/>
        <v>269.56141875000003</v>
      </c>
    </row>
    <row r="481" spans="1:13" ht="14" x14ac:dyDescent="0.2">
      <c r="A481" s="4" t="s">
        <v>1227</v>
      </c>
      <c r="B481" s="5">
        <v>6101.1843750000007</v>
      </c>
      <c r="C481" s="5">
        <f t="shared" si="15"/>
        <v>6101.1843750000007</v>
      </c>
      <c r="D481" s="4">
        <v>1</v>
      </c>
      <c r="E481" s="5" t="s">
        <v>181</v>
      </c>
      <c r="F481" s="4" t="s">
        <v>1222</v>
      </c>
      <c r="G481" s="4" t="s">
        <v>20</v>
      </c>
      <c r="H481" s="4" t="s">
        <v>1226</v>
      </c>
      <c r="I481" s="4" t="s">
        <v>22</v>
      </c>
      <c r="J481" s="4" t="s">
        <v>1228</v>
      </c>
      <c r="K481" s="4" t="s">
        <v>53</v>
      </c>
      <c r="M481">
        <f t="shared" si="16"/>
        <v>5491.0659375000005</v>
      </c>
    </row>
    <row r="482" spans="1:13" ht="14" x14ac:dyDescent="0.2">
      <c r="A482" s="4" t="s">
        <v>1229</v>
      </c>
      <c r="B482" s="5">
        <v>6323.0456250000007</v>
      </c>
      <c r="C482" s="5">
        <f t="shared" si="15"/>
        <v>632.30456250000009</v>
      </c>
      <c r="D482" s="4">
        <v>10</v>
      </c>
      <c r="E482" s="5" t="s">
        <v>10</v>
      </c>
      <c r="F482" s="4" t="s">
        <v>1222</v>
      </c>
      <c r="G482" s="4" t="s">
        <v>20</v>
      </c>
      <c r="H482" s="4" t="s">
        <v>1230</v>
      </c>
      <c r="I482" s="4" t="s">
        <v>22</v>
      </c>
      <c r="J482" s="4" t="s">
        <v>207</v>
      </c>
      <c r="K482" s="4" t="s">
        <v>53</v>
      </c>
      <c r="M482">
        <f t="shared" si="16"/>
        <v>569.07410625000011</v>
      </c>
    </row>
    <row r="483" spans="1:13" ht="14" x14ac:dyDescent="0.2">
      <c r="A483" s="4" t="s">
        <v>1231</v>
      </c>
      <c r="B483" s="5">
        <v>5435.600625</v>
      </c>
      <c r="C483" s="5">
        <f t="shared" si="15"/>
        <v>543.56006249999996</v>
      </c>
      <c r="D483" s="4">
        <v>10</v>
      </c>
      <c r="E483" s="5" t="s">
        <v>10</v>
      </c>
      <c r="F483" s="4" t="s">
        <v>1222</v>
      </c>
      <c r="G483" s="4" t="s">
        <v>20</v>
      </c>
      <c r="H483" s="4" t="s">
        <v>1232</v>
      </c>
      <c r="I483" s="4" t="s">
        <v>22</v>
      </c>
      <c r="J483" s="4" t="s">
        <v>207</v>
      </c>
      <c r="K483" s="4" t="s">
        <v>53</v>
      </c>
      <c r="M483">
        <f t="shared" si="16"/>
        <v>489.20405624999995</v>
      </c>
    </row>
    <row r="484" spans="1:13" ht="14" x14ac:dyDescent="0.2">
      <c r="A484" s="4" t="s">
        <v>1233</v>
      </c>
      <c r="B484" s="5">
        <v>3771.6412500000001</v>
      </c>
      <c r="C484" s="5">
        <f t="shared" si="15"/>
        <v>3771.6412500000001</v>
      </c>
      <c r="D484" s="4">
        <v>1</v>
      </c>
      <c r="E484" s="5" t="s">
        <v>181</v>
      </c>
      <c r="F484" s="4" t="s">
        <v>1222</v>
      </c>
      <c r="G484" s="4" t="s">
        <v>20</v>
      </c>
      <c r="H484" s="4" t="s">
        <v>1232</v>
      </c>
      <c r="I484" s="4" t="s">
        <v>22</v>
      </c>
      <c r="J484" s="4" t="s">
        <v>824</v>
      </c>
      <c r="K484" s="4" t="s">
        <v>53</v>
      </c>
      <c r="M484">
        <f t="shared" si="16"/>
        <v>3394.4771250000003</v>
      </c>
    </row>
    <row r="485" spans="1:13" ht="14" x14ac:dyDescent="0.2">
      <c r="A485" s="4" t="s">
        <v>1234</v>
      </c>
      <c r="B485" s="5">
        <v>3882.5718750000005</v>
      </c>
      <c r="C485" s="5">
        <f t="shared" si="15"/>
        <v>3882.5718750000005</v>
      </c>
      <c r="D485" s="4">
        <v>1</v>
      </c>
      <c r="E485" s="5" t="s">
        <v>181</v>
      </c>
      <c r="F485" s="4" t="s">
        <v>1222</v>
      </c>
      <c r="G485" s="4" t="s">
        <v>20</v>
      </c>
      <c r="H485" s="4" t="s">
        <v>1235</v>
      </c>
      <c r="I485" s="4" t="s">
        <v>22</v>
      </c>
      <c r="J485" s="4" t="s">
        <v>1094</v>
      </c>
      <c r="K485" s="4" t="s">
        <v>53</v>
      </c>
      <c r="M485">
        <f t="shared" si="16"/>
        <v>3494.3146875000002</v>
      </c>
    </row>
    <row r="486" spans="1:13" ht="14" x14ac:dyDescent="0.2">
      <c r="A486" s="4" t="s">
        <v>1236</v>
      </c>
      <c r="B486" s="5">
        <v>6433.9762500000006</v>
      </c>
      <c r="C486" s="5">
        <f t="shared" si="15"/>
        <v>459.56973214285716</v>
      </c>
      <c r="D486" s="4">
        <v>14</v>
      </c>
      <c r="E486" s="5" t="s">
        <v>10</v>
      </c>
      <c r="F486" s="4" t="s">
        <v>1222</v>
      </c>
      <c r="G486" s="4" t="s">
        <v>20</v>
      </c>
      <c r="H486" s="4" t="s">
        <v>1222</v>
      </c>
      <c r="I486" s="4" t="s">
        <v>22</v>
      </c>
      <c r="J486" s="4" t="s">
        <v>207</v>
      </c>
      <c r="K486" s="4" t="s">
        <v>53</v>
      </c>
      <c r="M486">
        <f t="shared" si="16"/>
        <v>413.61275892857145</v>
      </c>
    </row>
    <row r="487" spans="1:13" ht="14" x14ac:dyDescent="0.2">
      <c r="A487" s="4" t="s">
        <v>1237</v>
      </c>
      <c r="B487" s="5">
        <v>1996.7512500000003</v>
      </c>
      <c r="C487" s="5">
        <f t="shared" si="15"/>
        <v>1996.7512500000003</v>
      </c>
      <c r="D487" s="4">
        <v>1</v>
      </c>
      <c r="E487" s="5" t="s">
        <v>124</v>
      </c>
      <c r="F487" s="4" t="s">
        <v>1222</v>
      </c>
      <c r="G487" s="4" t="s">
        <v>20</v>
      </c>
      <c r="H487" s="4" t="s">
        <v>1222</v>
      </c>
      <c r="I487" s="4" t="s">
        <v>22</v>
      </c>
      <c r="J487" s="4" t="s">
        <v>207</v>
      </c>
      <c r="K487" s="4" t="s">
        <v>53</v>
      </c>
      <c r="M487">
        <f t="shared" si="16"/>
        <v>1797.0761250000003</v>
      </c>
    </row>
    <row r="488" spans="1:13" ht="14" x14ac:dyDescent="0.2">
      <c r="A488" s="4" t="s">
        <v>1238</v>
      </c>
      <c r="B488" s="5">
        <v>4270.8290625</v>
      </c>
      <c r="C488" s="5">
        <f t="shared" si="15"/>
        <v>305.05921875000001</v>
      </c>
      <c r="D488" s="4">
        <v>14</v>
      </c>
      <c r="E488" s="5" t="s">
        <v>10</v>
      </c>
      <c r="F488" s="4" t="s">
        <v>1238</v>
      </c>
      <c r="G488" s="4" t="s">
        <v>20</v>
      </c>
      <c r="H488" s="4" t="s">
        <v>1238</v>
      </c>
      <c r="I488" s="4" t="s">
        <v>22</v>
      </c>
      <c r="J488" s="4" t="s">
        <v>89</v>
      </c>
      <c r="K488" s="4" t="s">
        <v>294</v>
      </c>
      <c r="M488">
        <f t="shared" si="16"/>
        <v>274.553296875</v>
      </c>
    </row>
    <row r="489" spans="1:13" ht="14" x14ac:dyDescent="0.2">
      <c r="A489" s="4" t="s">
        <v>1239</v>
      </c>
      <c r="B489" s="5">
        <v>13311.675000000001</v>
      </c>
      <c r="C489" s="5">
        <f t="shared" si="15"/>
        <v>443.72250000000003</v>
      </c>
      <c r="D489" s="4">
        <v>30</v>
      </c>
      <c r="E489" s="5" t="s">
        <v>10</v>
      </c>
      <c r="F489" s="4" t="s">
        <v>1240</v>
      </c>
      <c r="G489" s="4" t="s">
        <v>20</v>
      </c>
      <c r="H489" s="4" t="s">
        <v>1241</v>
      </c>
      <c r="I489" s="4" t="s">
        <v>14</v>
      </c>
      <c r="J489" s="4" t="s">
        <v>146</v>
      </c>
      <c r="K489" s="4" t="s">
        <v>118</v>
      </c>
      <c r="M489">
        <f t="shared" si="16"/>
        <v>399.35025000000002</v>
      </c>
    </row>
    <row r="490" spans="1:13" ht="14" x14ac:dyDescent="0.2">
      <c r="A490" s="4" t="s">
        <v>1242</v>
      </c>
      <c r="B490" s="5">
        <v>4375.1038500000004</v>
      </c>
      <c r="C490" s="5">
        <f t="shared" si="15"/>
        <v>4375.1038500000004</v>
      </c>
      <c r="D490" s="4">
        <v>1</v>
      </c>
      <c r="E490" s="5" t="s">
        <v>59</v>
      </c>
      <c r="F490" s="4" t="s">
        <v>644</v>
      </c>
      <c r="G490" s="4" t="s">
        <v>20</v>
      </c>
      <c r="H490" s="4" t="s">
        <v>1242</v>
      </c>
      <c r="I490" s="4" t="s">
        <v>14</v>
      </c>
      <c r="J490" s="4" t="s">
        <v>1243</v>
      </c>
      <c r="K490" s="4" t="s">
        <v>118</v>
      </c>
      <c r="M490">
        <f t="shared" si="16"/>
        <v>3937.5934650000004</v>
      </c>
    </row>
    <row r="491" spans="1:13" ht="14" x14ac:dyDescent="0.2">
      <c r="A491" s="4" t="s">
        <v>1244</v>
      </c>
      <c r="B491" s="5">
        <v>6212.1150000000007</v>
      </c>
      <c r="C491" s="5">
        <f t="shared" si="15"/>
        <v>6212.1150000000007</v>
      </c>
      <c r="D491" s="4">
        <v>1</v>
      </c>
      <c r="E491" s="5" t="s">
        <v>181</v>
      </c>
      <c r="F491" s="4" t="s">
        <v>355</v>
      </c>
      <c r="G491" s="4" t="s">
        <v>20</v>
      </c>
      <c r="H491" s="4" t="s">
        <v>1245</v>
      </c>
      <c r="I491" s="4" t="s">
        <v>14</v>
      </c>
      <c r="J491" s="4" t="s">
        <v>1246</v>
      </c>
      <c r="K491" s="4" t="s">
        <v>53</v>
      </c>
      <c r="M491">
        <f t="shared" si="16"/>
        <v>5590.9035000000003</v>
      </c>
    </row>
    <row r="492" spans="1:13" ht="14" x14ac:dyDescent="0.2">
      <c r="A492" s="4" t="s">
        <v>1247</v>
      </c>
      <c r="B492" s="5">
        <v>10871.20125</v>
      </c>
      <c r="C492" s="5">
        <f t="shared" si="15"/>
        <v>776.51437499999997</v>
      </c>
      <c r="D492" s="4">
        <v>14</v>
      </c>
      <c r="E492" s="5" t="s">
        <v>10</v>
      </c>
      <c r="F492" s="4" t="s">
        <v>355</v>
      </c>
      <c r="G492" s="4" t="s">
        <v>20</v>
      </c>
      <c r="H492" s="4" t="s">
        <v>1245</v>
      </c>
      <c r="I492" s="4" t="s">
        <v>14</v>
      </c>
      <c r="J492" s="4" t="s">
        <v>1248</v>
      </c>
      <c r="K492" s="4" t="s">
        <v>53</v>
      </c>
      <c r="M492">
        <f t="shared" si="16"/>
        <v>698.86293749999993</v>
      </c>
    </row>
    <row r="493" spans="1:13" ht="14" x14ac:dyDescent="0.2">
      <c r="A493" s="4" t="s">
        <v>1249</v>
      </c>
      <c r="B493" s="5">
        <v>9429.1031250000015</v>
      </c>
      <c r="C493" s="5">
        <f t="shared" si="15"/>
        <v>673.50736607142869</v>
      </c>
      <c r="D493" s="4">
        <v>14</v>
      </c>
      <c r="E493" s="5" t="s">
        <v>10</v>
      </c>
      <c r="F493" s="4" t="s">
        <v>355</v>
      </c>
      <c r="G493" s="4" t="s">
        <v>20</v>
      </c>
      <c r="H493" s="4" t="s">
        <v>1245</v>
      </c>
      <c r="I493" s="4" t="s">
        <v>14</v>
      </c>
      <c r="J493" s="4" t="s">
        <v>491</v>
      </c>
      <c r="K493" s="4" t="s">
        <v>53</v>
      </c>
      <c r="M493">
        <f t="shared" si="16"/>
        <v>606.15662946428586</v>
      </c>
    </row>
    <row r="494" spans="1:13" ht="14" x14ac:dyDescent="0.2">
      <c r="A494" s="4" t="s">
        <v>1250</v>
      </c>
      <c r="B494" s="5">
        <v>75377.359687500008</v>
      </c>
      <c r="C494" s="5">
        <f t="shared" si="15"/>
        <v>75377.359687500008</v>
      </c>
      <c r="D494" s="4">
        <v>1</v>
      </c>
      <c r="E494" s="4" t="s">
        <v>913</v>
      </c>
      <c r="F494" s="4" t="s">
        <v>1250</v>
      </c>
      <c r="G494" s="4" t="s">
        <v>12</v>
      </c>
      <c r="H494" s="4" t="s">
        <v>1251</v>
      </c>
      <c r="I494" s="4" t="s">
        <v>14</v>
      </c>
      <c r="J494" s="4" t="s">
        <v>1252</v>
      </c>
      <c r="K494" s="4" t="s">
        <v>74</v>
      </c>
      <c r="M494">
        <f t="shared" si="16"/>
        <v>67839.623718750008</v>
      </c>
    </row>
    <row r="495" spans="1:13" ht="14" x14ac:dyDescent="0.2">
      <c r="A495" s="4" t="s">
        <v>1253</v>
      </c>
      <c r="B495" s="5">
        <v>26512.419375000001</v>
      </c>
      <c r="C495" s="5">
        <f t="shared" si="15"/>
        <v>26512.419375000001</v>
      </c>
      <c r="D495" s="4">
        <v>1</v>
      </c>
      <c r="E495" s="5" t="s">
        <v>124</v>
      </c>
      <c r="F495" s="4" t="s">
        <v>1254</v>
      </c>
      <c r="G495" s="4" t="s">
        <v>12</v>
      </c>
      <c r="H495" s="4" t="s">
        <v>1255</v>
      </c>
      <c r="I495" s="4" t="s">
        <v>14</v>
      </c>
      <c r="J495" s="4" t="s">
        <v>1256</v>
      </c>
      <c r="K495" s="4" t="s">
        <v>219</v>
      </c>
      <c r="M495">
        <f t="shared" si="16"/>
        <v>23861.177437500002</v>
      </c>
    </row>
    <row r="496" spans="1:13" ht="14" x14ac:dyDescent="0.2">
      <c r="A496" s="4" t="s">
        <v>1257</v>
      </c>
      <c r="B496" s="5">
        <v>5269.2046875000005</v>
      </c>
      <c r="C496" s="5">
        <f t="shared" si="15"/>
        <v>526.92046875000005</v>
      </c>
      <c r="D496" s="4">
        <v>10</v>
      </c>
      <c r="E496" s="5" t="s">
        <v>1258</v>
      </c>
      <c r="F496" s="4" t="s">
        <v>1259</v>
      </c>
      <c r="G496" s="4" t="s">
        <v>20</v>
      </c>
      <c r="H496" s="4" t="s">
        <v>1260</v>
      </c>
      <c r="I496" s="4" t="s">
        <v>22</v>
      </c>
      <c r="J496" s="4" t="s">
        <v>1261</v>
      </c>
      <c r="K496" s="4" t="s">
        <v>53</v>
      </c>
      <c r="M496">
        <f t="shared" si="16"/>
        <v>474.22842187500004</v>
      </c>
    </row>
    <row r="497" spans="1:13" ht="14" x14ac:dyDescent="0.2">
      <c r="A497" s="4" t="s">
        <v>1262</v>
      </c>
      <c r="B497" s="5">
        <v>3882.5718750000005</v>
      </c>
      <c r="C497" s="5">
        <f t="shared" si="15"/>
        <v>388.25718750000004</v>
      </c>
      <c r="D497" s="4">
        <v>10</v>
      </c>
      <c r="E497" s="5" t="s">
        <v>30</v>
      </c>
      <c r="F497" s="4" t="s">
        <v>1263</v>
      </c>
      <c r="G497" s="4" t="s">
        <v>20</v>
      </c>
      <c r="H497" s="4" t="s">
        <v>1263</v>
      </c>
      <c r="I497" s="4" t="s">
        <v>22</v>
      </c>
      <c r="J497" s="4" t="s">
        <v>47</v>
      </c>
      <c r="K497" s="4" t="s">
        <v>53</v>
      </c>
      <c r="M497">
        <f t="shared" si="16"/>
        <v>349.43146875000002</v>
      </c>
    </row>
    <row r="498" spans="1:13" ht="14" x14ac:dyDescent="0.2">
      <c r="A498" s="7" t="s">
        <v>5244</v>
      </c>
      <c r="B498" s="10">
        <v>1663.9593750000001</v>
      </c>
      <c r="C498" s="5">
        <f t="shared" si="15"/>
        <v>1663.9593750000001</v>
      </c>
      <c r="D498" s="9">
        <v>1</v>
      </c>
      <c r="E498" s="10" t="s">
        <v>5176</v>
      </c>
      <c r="F498" s="7" t="s">
        <v>1537</v>
      </c>
      <c r="H498" s="7" t="s">
        <v>1537</v>
      </c>
      <c r="J498" s="7" t="s">
        <v>4324</v>
      </c>
      <c r="K498" s="7" t="s">
        <v>53</v>
      </c>
      <c r="M498">
        <f t="shared" si="16"/>
        <v>1497.5634375000002</v>
      </c>
    </row>
    <row r="499" spans="1:13" ht="14" x14ac:dyDescent="0.2">
      <c r="A499" s="4" t="s">
        <v>1264</v>
      </c>
      <c r="B499" s="5">
        <v>15086.565000000001</v>
      </c>
      <c r="C499" s="5">
        <f t="shared" si="15"/>
        <v>2514.4275000000002</v>
      </c>
      <c r="D499" s="4">
        <v>6</v>
      </c>
      <c r="E499" s="4" t="s">
        <v>1265</v>
      </c>
      <c r="F499" s="4" t="s">
        <v>1264</v>
      </c>
      <c r="G499" s="4" t="s">
        <v>20</v>
      </c>
      <c r="H499" s="4" t="s">
        <v>1259</v>
      </c>
      <c r="I499" s="4" t="s">
        <v>22</v>
      </c>
      <c r="J499" s="4" t="s">
        <v>1266</v>
      </c>
      <c r="K499" s="4" t="s">
        <v>53</v>
      </c>
      <c r="M499">
        <f t="shared" si="16"/>
        <v>2262.9847500000001</v>
      </c>
    </row>
    <row r="500" spans="1:13" ht="14" x14ac:dyDescent="0.2">
      <c r="A500" s="7" t="s">
        <v>5245</v>
      </c>
      <c r="B500" s="10">
        <v>1442.0981250000002</v>
      </c>
      <c r="C500" s="5">
        <f t="shared" si="15"/>
        <v>1442.0981250000002</v>
      </c>
      <c r="D500" s="9">
        <v>1</v>
      </c>
      <c r="E500" s="10" t="s">
        <v>5176</v>
      </c>
      <c r="F500" s="7" t="s">
        <v>5246</v>
      </c>
      <c r="H500" s="7" t="s">
        <v>5247</v>
      </c>
      <c r="J500" s="11">
        <v>5.0000000000000001E-4</v>
      </c>
      <c r="K500" s="7" t="s">
        <v>23</v>
      </c>
      <c r="M500">
        <f t="shared" si="16"/>
        <v>1297.8883125000002</v>
      </c>
    </row>
    <row r="501" spans="1:13" ht="14" x14ac:dyDescent="0.2">
      <c r="A501" s="4" t="s">
        <v>1267</v>
      </c>
      <c r="B501" s="5">
        <v>1331.1675</v>
      </c>
      <c r="C501" s="5">
        <f t="shared" si="15"/>
        <v>133.11675</v>
      </c>
      <c r="D501" s="4">
        <v>10</v>
      </c>
      <c r="E501" s="5" t="s">
        <v>10</v>
      </c>
      <c r="F501" s="4" t="s">
        <v>1268</v>
      </c>
      <c r="G501" s="4" t="s">
        <v>20</v>
      </c>
      <c r="H501" s="4" t="s">
        <v>1269</v>
      </c>
      <c r="I501" s="4" t="s">
        <v>22</v>
      </c>
      <c r="J501" s="4" t="s">
        <v>78</v>
      </c>
      <c r="K501" s="4" t="s">
        <v>87</v>
      </c>
      <c r="M501">
        <f t="shared" si="16"/>
        <v>119.80507499999999</v>
      </c>
    </row>
    <row r="502" spans="1:13" ht="14" x14ac:dyDescent="0.2">
      <c r="A502" s="4" t="s">
        <v>1270</v>
      </c>
      <c r="B502" s="5">
        <v>1663.9593750000001</v>
      </c>
      <c r="C502" s="5">
        <f t="shared" si="15"/>
        <v>166.3959375</v>
      </c>
      <c r="D502" s="4">
        <v>10</v>
      </c>
      <c r="E502" s="5" t="s">
        <v>10</v>
      </c>
      <c r="F502" s="4" t="s">
        <v>1268</v>
      </c>
      <c r="G502" s="4" t="s">
        <v>20</v>
      </c>
      <c r="H502" s="4" t="s">
        <v>1271</v>
      </c>
      <c r="I502" s="4" t="s">
        <v>22</v>
      </c>
      <c r="J502" s="4" t="s">
        <v>140</v>
      </c>
      <c r="K502" s="4" t="s">
        <v>87</v>
      </c>
      <c r="M502">
        <f t="shared" si="16"/>
        <v>149.75634375000001</v>
      </c>
    </row>
    <row r="503" spans="1:13" ht="14" x14ac:dyDescent="0.2">
      <c r="A503" s="4" t="s">
        <v>1272</v>
      </c>
      <c r="B503" s="5">
        <v>13089.813750000001</v>
      </c>
      <c r="C503" s="5">
        <f t="shared" si="15"/>
        <v>1308.9813750000001</v>
      </c>
      <c r="D503" s="4">
        <v>10</v>
      </c>
      <c r="E503" s="5" t="s">
        <v>10</v>
      </c>
      <c r="F503" s="4" t="s">
        <v>1273</v>
      </c>
      <c r="G503" s="4" t="s">
        <v>12</v>
      </c>
      <c r="H503" s="4" t="s">
        <v>1274</v>
      </c>
      <c r="I503" s="4" t="s">
        <v>14</v>
      </c>
      <c r="J503" s="4" t="s">
        <v>78</v>
      </c>
      <c r="K503" s="4" t="s">
        <v>68</v>
      </c>
      <c r="M503">
        <f t="shared" si="16"/>
        <v>1178.0832375</v>
      </c>
    </row>
    <row r="504" spans="1:13" ht="14" x14ac:dyDescent="0.2">
      <c r="A504" s="4" t="s">
        <v>1275</v>
      </c>
      <c r="B504" s="5">
        <v>59243.609587500003</v>
      </c>
      <c r="C504" s="5">
        <f t="shared" si="15"/>
        <v>592.43609587499998</v>
      </c>
      <c r="D504" s="4">
        <v>100</v>
      </c>
      <c r="E504" s="5" t="s">
        <v>10</v>
      </c>
      <c r="F504" s="4" t="s">
        <v>1276</v>
      </c>
      <c r="G504" s="4" t="s">
        <v>12</v>
      </c>
      <c r="H504" s="4" t="s">
        <v>1276</v>
      </c>
      <c r="I504" s="4" t="s">
        <v>22</v>
      </c>
      <c r="J504" s="4" t="s">
        <v>273</v>
      </c>
      <c r="K504" s="4" t="s">
        <v>227</v>
      </c>
      <c r="M504">
        <f t="shared" si="16"/>
        <v>533.19248628749995</v>
      </c>
    </row>
    <row r="505" spans="1:13" ht="14" x14ac:dyDescent="0.2">
      <c r="A505" s="4" t="s">
        <v>1277</v>
      </c>
      <c r="B505" s="5">
        <v>4991.8781250000002</v>
      </c>
      <c r="C505" s="5">
        <f t="shared" si="15"/>
        <v>166.3959375</v>
      </c>
      <c r="D505" s="4">
        <v>30</v>
      </c>
      <c r="E505" s="5" t="s">
        <v>10</v>
      </c>
      <c r="F505" s="4" t="s">
        <v>1278</v>
      </c>
      <c r="G505" s="4" t="s">
        <v>12</v>
      </c>
      <c r="H505" s="4" t="s">
        <v>1278</v>
      </c>
      <c r="I505" s="4" t="s">
        <v>22</v>
      </c>
      <c r="J505" s="4" t="s">
        <v>397</v>
      </c>
      <c r="K505" s="4" t="s">
        <v>312</v>
      </c>
      <c r="M505">
        <f t="shared" si="16"/>
        <v>149.75634375000001</v>
      </c>
    </row>
    <row r="506" spans="1:13" ht="14" x14ac:dyDescent="0.2">
      <c r="A506" s="4" t="s">
        <v>1279</v>
      </c>
      <c r="B506" s="5">
        <v>6433.9762500000006</v>
      </c>
      <c r="C506" s="5">
        <f t="shared" si="15"/>
        <v>1072.329375</v>
      </c>
      <c r="D506" s="4">
        <v>6</v>
      </c>
      <c r="E506" s="5" t="s">
        <v>1265</v>
      </c>
      <c r="F506" s="4" t="s">
        <v>1004</v>
      </c>
      <c r="G506" s="4" t="s">
        <v>20</v>
      </c>
      <c r="H506" s="4" t="s">
        <v>1280</v>
      </c>
      <c r="I506" s="4" t="s">
        <v>22</v>
      </c>
      <c r="J506" s="4" t="s">
        <v>140</v>
      </c>
      <c r="K506" s="4" t="s">
        <v>103</v>
      </c>
      <c r="M506">
        <f t="shared" si="16"/>
        <v>965.09643749999998</v>
      </c>
    </row>
    <row r="507" spans="1:13" ht="14" x14ac:dyDescent="0.2">
      <c r="A507" s="4" t="s">
        <v>1281</v>
      </c>
      <c r="B507" s="5">
        <v>3438.8493750000002</v>
      </c>
      <c r="C507" s="5">
        <f t="shared" si="15"/>
        <v>573.14156250000008</v>
      </c>
      <c r="D507" s="4">
        <v>6</v>
      </c>
      <c r="E507" s="5" t="s">
        <v>10</v>
      </c>
      <c r="F507" s="4" t="s">
        <v>1004</v>
      </c>
      <c r="G507" s="4" t="s">
        <v>20</v>
      </c>
      <c r="H507" s="4" t="s">
        <v>1282</v>
      </c>
      <c r="I507" s="4" t="s">
        <v>22</v>
      </c>
      <c r="J507" s="4" t="s">
        <v>140</v>
      </c>
      <c r="K507" s="4" t="s">
        <v>103</v>
      </c>
      <c r="M507">
        <f t="shared" si="16"/>
        <v>515.82740625000008</v>
      </c>
    </row>
    <row r="508" spans="1:13" ht="14" x14ac:dyDescent="0.2">
      <c r="A508" s="4" t="s">
        <v>1283</v>
      </c>
      <c r="B508" s="5">
        <v>19412.859375</v>
      </c>
      <c r="C508" s="5">
        <f t="shared" si="15"/>
        <v>647.09531249999998</v>
      </c>
      <c r="D508" s="4">
        <v>30</v>
      </c>
      <c r="E508" s="4" t="s">
        <v>10</v>
      </c>
      <c r="F508" s="4" t="s">
        <v>1284</v>
      </c>
      <c r="G508" s="4" t="s">
        <v>12</v>
      </c>
      <c r="H508" s="4" t="s">
        <v>1285</v>
      </c>
      <c r="I508" s="4" t="s">
        <v>22</v>
      </c>
      <c r="J508" s="4" t="s">
        <v>140</v>
      </c>
      <c r="K508" s="4" t="s">
        <v>227</v>
      </c>
      <c r="M508">
        <f t="shared" si="16"/>
        <v>582.38578125000004</v>
      </c>
    </row>
    <row r="509" spans="1:13" ht="14" x14ac:dyDescent="0.2">
      <c r="A509" s="4" t="s">
        <v>1286</v>
      </c>
      <c r="B509" s="5">
        <v>7543.2825000000003</v>
      </c>
      <c r="C509" s="5">
        <f t="shared" si="15"/>
        <v>538.80589285714291</v>
      </c>
      <c r="D509" s="4">
        <v>14</v>
      </c>
      <c r="E509" s="5" t="s">
        <v>10</v>
      </c>
      <c r="F509" s="4" t="s">
        <v>355</v>
      </c>
      <c r="G509" s="4" t="s">
        <v>20</v>
      </c>
      <c r="H509" s="4" t="s">
        <v>1287</v>
      </c>
      <c r="I509" s="4" t="s">
        <v>22</v>
      </c>
      <c r="J509" s="4" t="s">
        <v>1288</v>
      </c>
      <c r="K509" s="4" t="s">
        <v>53</v>
      </c>
      <c r="M509">
        <f t="shared" si="16"/>
        <v>484.92530357142863</v>
      </c>
    </row>
    <row r="510" spans="1:13" ht="14" x14ac:dyDescent="0.2">
      <c r="A510" s="7" t="s">
        <v>5248</v>
      </c>
      <c r="B510" s="10">
        <v>14420.981250000001</v>
      </c>
      <c r="C510" s="5">
        <f t="shared" si="15"/>
        <v>2403.4968750000003</v>
      </c>
      <c r="D510" s="9">
        <v>6</v>
      </c>
      <c r="E510" s="10" t="s">
        <v>5185</v>
      </c>
      <c r="F510" s="7" t="s">
        <v>5249</v>
      </c>
      <c r="H510" s="7" t="s">
        <v>1287</v>
      </c>
      <c r="I510" s="7" t="s">
        <v>22</v>
      </c>
      <c r="J510" s="7" t="s">
        <v>52</v>
      </c>
      <c r="K510" s="7" t="s">
        <v>2747</v>
      </c>
      <c r="M510">
        <f t="shared" si="16"/>
        <v>2163.1471875000002</v>
      </c>
    </row>
    <row r="511" spans="1:13" ht="14" x14ac:dyDescent="0.2">
      <c r="A511" s="4" t="s">
        <v>1289</v>
      </c>
      <c r="B511" s="5">
        <v>35497.800000000003</v>
      </c>
      <c r="C511" s="5">
        <f t="shared" si="15"/>
        <v>1267.7785714285715</v>
      </c>
      <c r="D511" s="4">
        <v>28</v>
      </c>
      <c r="E511" s="5" t="s">
        <v>10</v>
      </c>
      <c r="F511" s="4" t="s">
        <v>1290</v>
      </c>
      <c r="G511" s="4" t="s">
        <v>12</v>
      </c>
      <c r="H511" s="4" t="s">
        <v>1291</v>
      </c>
      <c r="I511" s="4" t="s">
        <v>14</v>
      </c>
      <c r="J511" s="4" t="s">
        <v>1292</v>
      </c>
      <c r="K511" s="4" t="s">
        <v>90</v>
      </c>
      <c r="M511">
        <f t="shared" si="16"/>
        <v>1141.0007142857144</v>
      </c>
    </row>
    <row r="512" spans="1:13" ht="14" x14ac:dyDescent="0.2">
      <c r="A512" s="4" t="s">
        <v>1293</v>
      </c>
      <c r="B512" s="5">
        <v>35497.800000000003</v>
      </c>
      <c r="C512" s="5">
        <f t="shared" si="15"/>
        <v>1267.7785714285715</v>
      </c>
      <c r="D512" s="4">
        <v>28</v>
      </c>
      <c r="E512" s="5" t="s">
        <v>10</v>
      </c>
      <c r="F512" s="4" t="s">
        <v>1290</v>
      </c>
      <c r="G512" s="4" t="s">
        <v>12</v>
      </c>
      <c r="H512" s="4" t="s">
        <v>1291</v>
      </c>
      <c r="I512" s="4" t="s">
        <v>14</v>
      </c>
      <c r="J512" s="4" t="s">
        <v>1294</v>
      </c>
      <c r="K512" s="4" t="s">
        <v>90</v>
      </c>
      <c r="M512">
        <f t="shared" si="16"/>
        <v>1141.0007142857144</v>
      </c>
    </row>
    <row r="513" spans="1:13" ht="14" x14ac:dyDescent="0.2">
      <c r="A513" s="4" t="s">
        <v>1295</v>
      </c>
      <c r="B513" s="5">
        <v>3882.5718750000005</v>
      </c>
      <c r="C513" s="5">
        <f t="shared" si="15"/>
        <v>388.25718750000004</v>
      </c>
      <c r="D513" s="4">
        <v>10</v>
      </c>
      <c r="E513" s="5" t="s">
        <v>10</v>
      </c>
      <c r="F513" s="4" t="s">
        <v>1296</v>
      </c>
      <c r="G513" s="4" t="s">
        <v>20</v>
      </c>
      <c r="H513" s="4" t="s">
        <v>1297</v>
      </c>
      <c r="I513" s="4" t="s">
        <v>14</v>
      </c>
      <c r="J513" s="4" t="s">
        <v>1298</v>
      </c>
      <c r="K513" s="4" t="s">
        <v>87</v>
      </c>
      <c r="M513">
        <f t="shared" si="16"/>
        <v>349.43146875000002</v>
      </c>
    </row>
    <row r="514" spans="1:13" ht="14" x14ac:dyDescent="0.2">
      <c r="A514" s="4" t="s">
        <v>1299</v>
      </c>
      <c r="B514" s="5">
        <v>3327.9187500000003</v>
      </c>
      <c r="C514" s="5">
        <f t="shared" si="15"/>
        <v>332.791875</v>
      </c>
      <c r="D514" s="4">
        <v>10</v>
      </c>
      <c r="E514" s="5" t="s">
        <v>10</v>
      </c>
      <c r="F514" s="4" t="s">
        <v>1296</v>
      </c>
      <c r="G514" s="4" t="s">
        <v>20</v>
      </c>
      <c r="H514" s="4" t="s">
        <v>1297</v>
      </c>
      <c r="I514" s="4" t="s">
        <v>14</v>
      </c>
      <c r="J514" s="4" t="s">
        <v>1300</v>
      </c>
      <c r="K514" s="4" t="s">
        <v>87</v>
      </c>
      <c r="M514">
        <f t="shared" si="16"/>
        <v>299.51268750000003</v>
      </c>
    </row>
    <row r="515" spans="1:13" ht="14" x14ac:dyDescent="0.2">
      <c r="A515" s="4" t="s">
        <v>1301</v>
      </c>
      <c r="B515" s="5">
        <v>3098.2923562500005</v>
      </c>
      <c r="C515" s="5">
        <f t="shared" ref="C515:C578" si="17">(B515/D515)</f>
        <v>103.27641187500002</v>
      </c>
      <c r="D515" s="4">
        <v>30</v>
      </c>
      <c r="E515" s="5" t="s">
        <v>10</v>
      </c>
      <c r="F515" s="4" t="s">
        <v>1302</v>
      </c>
      <c r="G515" s="4" t="s">
        <v>12</v>
      </c>
      <c r="H515" s="4" t="s">
        <v>1303</v>
      </c>
      <c r="I515" s="4" t="s">
        <v>22</v>
      </c>
      <c r="J515" s="4" t="s">
        <v>737</v>
      </c>
      <c r="K515" s="4" t="s">
        <v>90</v>
      </c>
      <c r="M515">
        <f t="shared" si="16"/>
        <v>92.948770687500016</v>
      </c>
    </row>
    <row r="516" spans="1:13" ht="14" x14ac:dyDescent="0.2">
      <c r="A516" s="4" t="s">
        <v>1304</v>
      </c>
      <c r="B516" s="5">
        <v>7272.6117749999994</v>
      </c>
      <c r="C516" s="5">
        <f t="shared" si="17"/>
        <v>242.42039249999999</v>
      </c>
      <c r="D516" s="4">
        <v>30</v>
      </c>
      <c r="E516" s="5" t="s">
        <v>10</v>
      </c>
      <c r="F516" s="4" t="s">
        <v>1305</v>
      </c>
      <c r="G516" s="4" t="s">
        <v>12</v>
      </c>
      <c r="H516" s="4" t="s">
        <v>1306</v>
      </c>
      <c r="I516" s="4" t="s">
        <v>22</v>
      </c>
      <c r="J516" s="4" t="s">
        <v>1307</v>
      </c>
      <c r="K516" s="4" t="s">
        <v>16</v>
      </c>
      <c r="M516">
        <f t="shared" si="16"/>
        <v>218.17835324999999</v>
      </c>
    </row>
    <row r="517" spans="1:13" ht="14" x14ac:dyDescent="0.2">
      <c r="A517" s="4" t="s">
        <v>1308</v>
      </c>
      <c r="B517" s="5">
        <v>12757.021875</v>
      </c>
      <c r="C517" s="5">
        <f t="shared" si="17"/>
        <v>425.23406249999999</v>
      </c>
      <c r="D517" s="4">
        <v>30</v>
      </c>
      <c r="E517" s="5" t="s">
        <v>10</v>
      </c>
      <c r="F517" s="4" t="s">
        <v>1309</v>
      </c>
      <c r="G517" s="4" t="s">
        <v>12</v>
      </c>
      <c r="H517" s="4" t="s">
        <v>1310</v>
      </c>
      <c r="I517" s="4" t="s">
        <v>22</v>
      </c>
      <c r="J517" s="4" t="s">
        <v>1311</v>
      </c>
      <c r="K517" s="4" t="s">
        <v>16</v>
      </c>
      <c r="M517">
        <f t="shared" si="16"/>
        <v>382.71065625</v>
      </c>
    </row>
    <row r="518" spans="1:13" ht="14" x14ac:dyDescent="0.2">
      <c r="A518" s="4" t="s">
        <v>1312</v>
      </c>
      <c r="B518" s="5">
        <v>40489.678125000006</v>
      </c>
      <c r="C518" s="5">
        <f t="shared" si="17"/>
        <v>1446.0599330357145</v>
      </c>
      <c r="D518" s="4">
        <v>28</v>
      </c>
      <c r="E518" s="4" t="s">
        <v>10</v>
      </c>
      <c r="F518" s="4" t="s">
        <v>1313</v>
      </c>
      <c r="G518" s="4" t="s">
        <v>12</v>
      </c>
      <c r="H518" s="4" t="s">
        <v>1314</v>
      </c>
      <c r="I518" s="4" t="s">
        <v>22</v>
      </c>
      <c r="J518" s="4" t="s">
        <v>1315</v>
      </c>
      <c r="K518" s="4" t="s">
        <v>1316</v>
      </c>
      <c r="M518">
        <f t="shared" si="16"/>
        <v>1301.453939732143</v>
      </c>
    </row>
    <row r="519" spans="1:13" ht="14" x14ac:dyDescent="0.2">
      <c r="A519" s="4" t="s">
        <v>1317</v>
      </c>
      <c r="B519" s="5">
        <v>40489.678125000006</v>
      </c>
      <c r="C519" s="5">
        <f t="shared" si="17"/>
        <v>1446.0599330357145</v>
      </c>
      <c r="D519" s="4">
        <v>28</v>
      </c>
      <c r="E519" s="5" t="s">
        <v>10</v>
      </c>
      <c r="F519" s="4" t="s">
        <v>499</v>
      </c>
      <c r="G519" s="4" t="s">
        <v>12</v>
      </c>
      <c r="H519" s="4" t="s">
        <v>1314</v>
      </c>
      <c r="I519" s="4" t="s">
        <v>22</v>
      </c>
      <c r="J519" s="4" t="s">
        <v>503</v>
      </c>
      <c r="K519" s="4" t="s">
        <v>90</v>
      </c>
      <c r="M519">
        <f t="shared" si="16"/>
        <v>1301.453939732143</v>
      </c>
    </row>
    <row r="520" spans="1:13" ht="14" x14ac:dyDescent="0.2">
      <c r="A520" s="4" t="s">
        <v>1318</v>
      </c>
      <c r="B520" s="5">
        <v>3216.9881250000003</v>
      </c>
      <c r="C520" s="5">
        <f t="shared" si="17"/>
        <v>536.16468750000001</v>
      </c>
      <c r="D520" s="4">
        <v>6</v>
      </c>
      <c r="E520" s="5" t="s">
        <v>10</v>
      </c>
      <c r="F520" s="4" t="s">
        <v>280</v>
      </c>
      <c r="G520" s="4" t="s">
        <v>20</v>
      </c>
      <c r="H520" s="4" t="s">
        <v>1319</v>
      </c>
      <c r="I520" s="4" t="s">
        <v>14</v>
      </c>
      <c r="J520" s="4" t="s">
        <v>564</v>
      </c>
      <c r="K520" s="4" t="s">
        <v>108</v>
      </c>
      <c r="M520">
        <f t="shared" si="16"/>
        <v>482.54821874999999</v>
      </c>
    </row>
    <row r="521" spans="1:13" ht="14" x14ac:dyDescent="0.2">
      <c r="A521" s="4" t="s">
        <v>1320</v>
      </c>
      <c r="B521" s="5">
        <v>8208.8662500000009</v>
      </c>
      <c r="C521" s="5">
        <f t="shared" si="17"/>
        <v>1368.1443750000001</v>
      </c>
      <c r="D521" s="4">
        <v>6</v>
      </c>
      <c r="E521" s="5" t="s">
        <v>10</v>
      </c>
      <c r="F521" s="4" t="s">
        <v>105</v>
      </c>
      <c r="G521" s="4" t="s">
        <v>20</v>
      </c>
      <c r="H521" s="4" t="s">
        <v>1321</v>
      </c>
      <c r="I521" s="4" t="s">
        <v>14</v>
      </c>
      <c r="J521" s="4" t="s">
        <v>1322</v>
      </c>
      <c r="K521" s="4" t="s">
        <v>108</v>
      </c>
      <c r="M521">
        <f t="shared" si="16"/>
        <v>1231.3299375000001</v>
      </c>
    </row>
    <row r="522" spans="1:13" ht="14" x14ac:dyDescent="0.2">
      <c r="A522" s="4" t="s">
        <v>1323</v>
      </c>
      <c r="B522" s="5">
        <v>3549.78</v>
      </c>
      <c r="C522" s="5">
        <f t="shared" si="17"/>
        <v>295.815</v>
      </c>
      <c r="D522" s="4">
        <v>12</v>
      </c>
      <c r="E522" s="5" t="s">
        <v>10</v>
      </c>
      <c r="F522" s="4" t="s">
        <v>105</v>
      </c>
      <c r="G522" s="4" t="s">
        <v>20</v>
      </c>
      <c r="H522" s="4" t="s">
        <v>1321</v>
      </c>
      <c r="I522" s="4" t="s">
        <v>14</v>
      </c>
      <c r="J522" s="4" t="s">
        <v>107</v>
      </c>
      <c r="K522" s="4" t="s">
        <v>108</v>
      </c>
      <c r="M522">
        <f t="shared" si="16"/>
        <v>266.23349999999999</v>
      </c>
    </row>
    <row r="523" spans="1:13" ht="14" x14ac:dyDescent="0.2">
      <c r="A523" s="4" t="s">
        <v>1324</v>
      </c>
      <c r="B523" s="5">
        <v>5435.600625</v>
      </c>
      <c r="C523" s="5">
        <f t="shared" si="17"/>
        <v>226.48335937499999</v>
      </c>
      <c r="D523" s="4">
        <v>24</v>
      </c>
      <c r="E523" s="5" t="s">
        <v>10</v>
      </c>
      <c r="F523" s="4" t="s">
        <v>280</v>
      </c>
      <c r="G523" s="4" t="s">
        <v>20</v>
      </c>
      <c r="H523" s="4" t="s">
        <v>1321</v>
      </c>
      <c r="I523" s="4" t="s">
        <v>14</v>
      </c>
      <c r="J523" s="4" t="s">
        <v>1325</v>
      </c>
      <c r="K523" s="4" t="s">
        <v>108</v>
      </c>
      <c r="M523">
        <f t="shared" si="16"/>
        <v>203.83502343749998</v>
      </c>
    </row>
    <row r="524" spans="1:13" ht="14" x14ac:dyDescent="0.2">
      <c r="A524" s="4" t="s">
        <v>1326</v>
      </c>
      <c r="B524" s="5">
        <v>5435.600625</v>
      </c>
      <c r="C524" s="5">
        <f t="shared" si="17"/>
        <v>226.48335937499999</v>
      </c>
      <c r="D524" s="4">
        <v>24</v>
      </c>
      <c r="E524" s="5" t="s">
        <v>10</v>
      </c>
      <c r="F524" s="4" t="s">
        <v>280</v>
      </c>
      <c r="G524" s="4" t="s">
        <v>20</v>
      </c>
      <c r="H524" s="4" t="s">
        <v>1321</v>
      </c>
      <c r="I524" s="4" t="s">
        <v>14</v>
      </c>
      <c r="J524" s="4" t="s">
        <v>1325</v>
      </c>
      <c r="K524" s="4" t="s">
        <v>108</v>
      </c>
      <c r="M524">
        <f t="shared" si="16"/>
        <v>203.83502343749998</v>
      </c>
    </row>
    <row r="525" spans="1:13" ht="14" x14ac:dyDescent="0.2">
      <c r="A525" s="4" t="s">
        <v>1327</v>
      </c>
      <c r="B525" s="5">
        <v>4714.5515625000007</v>
      </c>
      <c r="C525" s="5">
        <f t="shared" si="17"/>
        <v>4714.5515625000007</v>
      </c>
      <c r="D525" s="4">
        <v>1</v>
      </c>
      <c r="E525" s="5" t="s">
        <v>10</v>
      </c>
      <c r="F525" s="4" t="s">
        <v>1328</v>
      </c>
      <c r="G525" s="4" t="s">
        <v>20</v>
      </c>
      <c r="H525" s="4" t="s">
        <v>1328</v>
      </c>
      <c r="I525" s="4" t="s">
        <v>22</v>
      </c>
      <c r="J525" s="4" t="s">
        <v>47</v>
      </c>
      <c r="K525" s="4" t="s">
        <v>34</v>
      </c>
      <c r="M525">
        <f t="shared" si="16"/>
        <v>4243.0964062500007</v>
      </c>
    </row>
    <row r="526" spans="1:13" ht="14" x14ac:dyDescent="0.2">
      <c r="A526" s="4" t="s">
        <v>1329</v>
      </c>
      <c r="B526" s="5">
        <v>41044.331250000003</v>
      </c>
      <c r="C526" s="5">
        <f t="shared" si="17"/>
        <v>1465.8689732142859</v>
      </c>
      <c r="D526" s="4">
        <v>28</v>
      </c>
      <c r="E526" s="5" t="s">
        <v>10</v>
      </c>
      <c r="F526" s="4" t="s">
        <v>499</v>
      </c>
      <c r="G526" s="4" t="s">
        <v>12</v>
      </c>
      <c r="H526" s="4" t="s">
        <v>1330</v>
      </c>
      <c r="I526" s="4" t="s">
        <v>14</v>
      </c>
      <c r="J526" s="4" t="s">
        <v>1331</v>
      </c>
      <c r="K526" s="4" t="s">
        <v>90</v>
      </c>
      <c r="M526">
        <f t="shared" si="16"/>
        <v>1319.2820758928574</v>
      </c>
    </row>
    <row r="527" spans="1:13" ht="14" x14ac:dyDescent="0.2">
      <c r="A527" s="4" t="s">
        <v>1332</v>
      </c>
      <c r="B527" s="5">
        <v>41044.331250000003</v>
      </c>
      <c r="C527" s="5">
        <f t="shared" si="17"/>
        <v>1465.8689732142859</v>
      </c>
      <c r="D527" s="4">
        <v>28</v>
      </c>
      <c r="E527" s="5" t="s">
        <v>10</v>
      </c>
      <c r="F527" s="4" t="s">
        <v>1333</v>
      </c>
      <c r="G527" s="4" t="s">
        <v>12</v>
      </c>
      <c r="H527" s="4" t="s">
        <v>1334</v>
      </c>
      <c r="I527" s="4" t="s">
        <v>14</v>
      </c>
      <c r="J527" s="4" t="s">
        <v>1335</v>
      </c>
      <c r="K527" s="4" t="s">
        <v>90</v>
      </c>
      <c r="M527">
        <f t="shared" si="16"/>
        <v>1319.2820758928574</v>
      </c>
    </row>
    <row r="528" spans="1:13" ht="14" x14ac:dyDescent="0.2">
      <c r="A528" s="4" t="s">
        <v>1336</v>
      </c>
      <c r="B528" s="5">
        <v>43262.943750000006</v>
      </c>
      <c r="C528" s="5">
        <f t="shared" si="17"/>
        <v>1545.1051339285716</v>
      </c>
      <c r="D528" s="4">
        <v>28</v>
      </c>
      <c r="E528" s="5" t="s">
        <v>10</v>
      </c>
      <c r="F528" s="4" t="s">
        <v>1337</v>
      </c>
      <c r="G528" s="4" t="s">
        <v>12</v>
      </c>
      <c r="H528" s="4" t="s">
        <v>1330</v>
      </c>
      <c r="I528" s="4" t="s">
        <v>14</v>
      </c>
      <c r="J528" s="4" t="s">
        <v>1338</v>
      </c>
      <c r="K528" s="4" t="s">
        <v>90</v>
      </c>
      <c r="M528">
        <f t="shared" si="16"/>
        <v>1390.5946205357145</v>
      </c>
    </row>
    <row r="529" spans="1:13" ht="14" x14ac:dyDescent="0.2">
      <c r="A529" s="4" t="s">
        <v>1339</v>
      </c>
      <c r="B529" s="5">
        <v>43262.943750000006</v>
      </c>
      <c r="C529" s="5">
        <f t="shared" si="17"/>
        <v>1545.1051339285716</v>
      </c>
      <c r="D529" s="4">
        <v>28</v>
      </c>
      <c r="E529" s="5" t="s">
        <v>10</v>
      </c>
      <c r="F529" s="4" t="s">
        <v>1337</v>
      </c>
      <c r="G529" s="4" t="s">
        <v>12</v>
      </c>
      <c r="H529" s="4" t="s">
        <v>1330</v>
      </c>
      <c r="I529" s="4" t="s">
        <v>14</v>
      </c>
      <c r="J529" s="4" t="s">
        <v>1340</v>
      </c>
      <c r="K529" s="4" t="s">
        <v>90</v>
      </c>
      <c r="M529">
        <f t="shared" si="16"/>
        <v>1390.5946205357145</v>
      </c>
    </row>
    <row r="530" spans="1:13" ht="14" x14ac:dyDescent="0.2">
      <c r="A530" s="4" t="s">
        <v>1341</v>
      </c>
      <c r="B530" s="5">
        <v>41044.331250000003</v>
      </c>
      <c r="C530" s="5">
        <f t="shared" si="17"/>
        <v>1465.8689732142859</v>
      </c>
      <c r="D530" s="4">
        <v>28</v>
      </c>
      <c r="E530" s="5" t="s">
        <v>10</v>
      </c>
      <c r="F530" s="4" t="s">
        <v>499</v>
      </c>
      <c r="G530" s="4" t="s">
        <v>12</v>
      </c>
      <c r="H530" s="4" t="s">
        <v>1330</v>
      </c>
      <c r="I530" s="4" t="s">
        <v>14</v>
      </c>
      <c r="J530" s="4" t="s">
        <v>503</v>
      </c>
      <c r="K530" s="4" t="s">
        <v>90</v>
      </c>
      <c r="M530">
        <f t="shared" si="16"/>
        <v>1319.2820758928574</v>
      </c>
    </row>
    <row r="531" spans="1:13" ht="14" x14ac:dyDescent="0.2">
      <c r="A531" s="4" t="s">
        <v>1342</v>
      </c>
      <c r="B531" s="5">
        <v>1331.1675</v>
      </c>
      <c r="C531" s="5">
        <f t="shared" si="17"/>
        <v>1331.1675</v>
      </c>
      <c r="D531" s="4">
        <v>1</v>
      </c>
      <c r="E531" s="5" t="s">
        <v>59</v>
      </c>
      <c r="F531" s="4" t="s">
        <v>1343</v>
      </c>
      <c r="G531" s="4" t="s">
        <v>20</v>
      </c>
      <c r="H531" s="4" t="s">
        <v>1344</v>
      </c>
      <c r="I531" s="4" t="s">
        <v>22</v>
      </c>
      <c r="J531" s="4" t="s">
        <v>1345</v>
      </c>
      <c r="K531" s="4" t="s">
        <v>118</v>
      </c>
      <c r="M531">
        <f t="shared" si="16"/>
        <v>1198.0507500000001</v>
      </c>
    </row>
    <row r="532" spans="1:13" ht="14" x14ac:dyDescent="0.2">
      <c r="A532" s="4" t="s">
        <v>1346</v>
      </c>
      <c r="B532" s="5">
        <v>1331.1675</v>
      </c>
      <c r="C532" s="5">
        <f t="shared" si="17"/>
        <v>1331.1675</v>
      </c>
      <c r="D532" s="4">
        <v>1</v>
      </c>
      <c r="E532" s="5" t="s">
        <v>59</v>
      </c>
      <c r="F532" s="4" t="s">
        <v>1343</v>
      </c>
      <c r="G532" s="4" t="s">
        <v>20</v>
      </c>
      <c r="H532" s="4" t="s">
        <v>1347</v>
      </c>
      <c r="I532" s="4" t="s">
        <v>22</v>
      </c>
      <c r="J532" s="4" t="s">
        <v>1348</v>
      </c>
      <c r="K532" s="4" t="s">
        <v>118</v>
      </c>
      <c r="M532">
        <f t="shared" si="16"/>
        <v>1198.0507500000001</v>
      </c>
    </row>
    <row r="533" spans="1:13" ht="14" x14ac:dyDescent="0.2">
      <c r="A533" s="4" t="s">
        <v>1349</v>
      </c>
      <c r="B533" s="5">
        <v>1331.1675</v>
      </c>
      <c r="C533" s="5">
        <f t="shared" si="17"/>
        <v>1331.1675</v>
      </c>
      <c r="D533" s="4">
        <v>1</v>
      </c>
      <c r="E533" s="5" t="s">
        <v>59</v>
      </c>
      <c r="F533" s="4" t="s">
        <v>1350</v>
      </c>
      <c r="G533" s="4" t="s">
        <v>20</v>
      </c>
      <c r="H533" s="4" t="s">
        <v>1351</v>
      </c>
      <c r="I533" s="4" t="s">
        <v>22</v>
      </c>
      <c r="J533" s="4" t="s">
        <v>1352</v>
      </c>
      <c r="K533" s="4" t="s">
        <v>118</v>
      </c>
      <c r="M533">
        <f t="shared" si="16"/>
        <v>1198.0507500000001</v>
      </c>
    </row>
    <row r="534" spans="1:13" ht="14" x14ac:dyDescent="0.2">
      <c r="A534" s="4" t="s">
        <v>1353</v>
      </c>
      <c r="B534" s="5">
        <v>1275.7021875</v>
      </c>
      <c r="C534" s="5">
        <f t="shared" si="17"/>
        <v>1275.7021875</v>
      </c>
      <c r="D534" s="4">
        <v>1</v>
      </c>
      <c r="E534" s="5" t="s">
        <v>59</v>
      </c>
      <c r="F534" s="4" t="s">
        <v>1354</v>
      </c>
      <c r="G534" s="4" t="s">
        <v>20</v>
      </c>
      <c r="H534" s="4" t="s">
        <v>1355</v>
      </c>
      <c r="I534" s="4" t="s">
        <v>22</v>
      </c>
      <c r="J534" s="4" t="s">
        <v>25</v>
      </c>
      <c r="K534" s="4" t="s">
        <v>1356</v>
      </c>
      <c r="M534">
        <f t="shared" si="16"/>
        <v>1148.1319687499999</v>
      </c>
    </row>
    <row r="535" spans="1:13" ht="14" x14ac:dyDescent="0.2">
      <c r="A535" s="7" t="s">
        <v>5250</v>
      </c>
      <c r="B535" s="10">
        <v>42819.221250000002</v>
      </c>
      <c r="C535" s="5">
        <f t="shared" si="17"/>
        <v>713.65368750000005</v>
      </c>
      <c r="D535" s="9">
        <v>60</v>
      </c>
      <c r="E535" s="10" t="s">
        <v>5189</v>
      </c>
      <c r="F535" s="7" t="s">
        <v>5251</v>
      </c>
      <c r="H535" s="7" t="s">
        <v>5252</v>
      </c>
      <c r="I535" s="7" t="s">
        <v>22</v>
      </c>
      <c r="J535" s="7" t="s">
        <v>200</v>
      </c>
      <c r="K535" s="7" t="s">
        <v>34</v>
      </c>
      <c r="M535">
        <f t="shared" si="16"/>
        <v>642.28831875000003</v>
      </c>
    </row>
    <row r="536" spans="1:13" ht="14" x14ac:dyDescent="0.2">
      <c r="A536" s="4" t="s">
        <v>1357</v>
      </c>
      <c r="B536" s="5">
        <v>6323.0456250000007</v>
      </c>
      <c r="C536" s="5">
        <f t="shared" si="17"/>
        <v>316.15228125000004</v>
      </c>
      <c r="D536" s="4">
        <v>20</v>
      </c>
      <c r="E536" s="5" t="s">
        <v>10</v>
      </c>
      <c r="F536" s="4" t="s">
        <v>1358</v>
      </c>
      <c r="G536" s="4" t="s">
        <v>12</v>
      </c>
      <c r="H536" s="4" t="s">
        <v>1359</v>
      </c>
      <c r="I536" s="4" t="s">
        <v>22</v>
      </c>
      <c r="J536" s="4" t="s">
        <v>200</v>
      </c>
      <c r="K536" s="4" t="s">
        <v>227</v>
      </c>
      <c r="M536">
        <f t="shared" si="16"/>
        <v>284.53705312500006</v>
      </c>
    </row>
    <row r="537" spans="1:13" ht="14" x14ac:dyDescent="0.2">
      <c r="A537" s="4" t="s">
        <v>1360</v>
      </c>
      <c r="B537" s="5">
        <v>4437.2250000000004</v>
      </c>
      <c r="C537" s="5">
        <f t="shared" si="17"/>
        <v>4437.2250000000004</v>
      </c>
      <c r="D537" s="4">
        <v>1</v>
      </c>
      <c r="E537" s="5" t="s">
        <v>124</v>
      </c>
      <c r="F537" s="4" t="s">
        <v>1361</v>
      </c>
      <c r="G537" s="4" t="s">
        <v>12</v>
      </c>
      <c r="H537" s="4" t="s">
        <v>1362</v>
      </c>
      <c r="I537" s="4" t="s">
        <v>22</v>
      </c>
      <c r="J537" s="4" t="s">
        <v>1363</v>
      </c>
      <c r="K537" s="4" t="s">
        <v>219</v>
      </c>
      <c r="M537">
        <f t="shared" si="16"/>
        <v>3993.5025000000005</v>
      </c>
    </row>
    <row r="538" spans="1:13" ht="14" x14ac:dyDescent="0.2">
      <c r="A538" s="4" t="s">
        <v>1364</v>
      </c>
      <c r="B538" s="5">
        <v>39665.463581250006</v>
      </c>
      <c r="C538" s="5">
        <f t="shared" si="17"/>
        <v>396.65463581250003</v>
      </c>
      <c r="D538" s="4">
        <v>100</v>
      </c>
      <c r="E538" s="5" t="s">
        <v>10</v>
      </c>
      <c r="F538" s="4" t="s">
        <v>1365</v>
      </c>
      <c r="G538" s="4" t="s">
        <v>12</v>
      </c>
      <c r="H538" s="4" t="s">
        <v>1365</v>
      </c>
      <c r="I538" s="4" t="s">
        <v>22</v>
      </c>
      <c r="J538" s="4" t="s">
        <v>1366</v>
      </c>
      <c r="K538" s="4" t="s">
        <v>219</v>
      </c>
      <c r="M538">
        <f t="shared" si="16"/>
        <v>356.98917223125</v>
      </c>
    </row>
    <row r="539" spans="1:13" ht="14" x14ac:dyDescent="0.2">
      <c r="A539" s="4" t="s">
        <v>1367</v>
      </c>
      <c r="B539" s="5">
        <v>3944.6930250000005</v>
      </c>
      <c r="C539" s="5">
        <f t="shared" si="17"/>
        <v>131.48976750000003</v>
      </c>
      <c r="D539" s="4">
        <v>30</v>
      </c>
      <c r="E539" s="5" t="s">
        <v>10</v>
      </c>
      <c r="F539" s="4" t="s">
        <v>1368</v>
      </c>
      <c r="G539" s="4" t="s">
        <v>12</v>
      </c>
      <c r="H539" s="4" t="s">
        <v>1369</v>
      </c>
      <c r="I539" s="4" t="s">
        <v>22</v>
      </c>
      <c r="J539" s="4" t="s">
        <v>1370</v>
      </c>
      <c r="K539" s="4" t="s">
        <v>312</v>
      </c>
      <c r="M539">
        <f t="shared" si="16"/>
        <v>118.34079075000002</v>
      </c>
    </row>
    <row r="540" spans="1:13" ht="14" x14ac:dyDescent="0.2">
      <c r="A540" s="4" t="s">
        <v>1371</v>
      </c>
      <c r="B540" s="5">
        <v>1372.2118312500002</v>
      </c>
      <c r="C540" s="5">
        <f t="shared" si="17"/>
        <v>1372.2118312500002</v>
      </c>
      <c r="D540" s="4">
        <v>1</v>
      </c>
      <c r="E540" s="5" t="s">
        <v>59</v>
      </c>
      <c r="F540" s="4" t="s">
        <v>1372</v>
      </c>
      <c r="G540" s="4" t="s">
        <v>20</v>
      </c>
      <c r="H540" s="4" t="s">
        <v>1373</v>
      </c>
      <c r="I540" s="4" t="s">
        <v>22</v>
      </c>
      <c r="J540" s="4" t="s">
        <v>646</v>
      </c>
      <c r="K540" s="4" t="s">
        <v>87</v>
      </c>
      <c r="M540">
        <f t="shared" si="16"/>
        <v>1234.9906481250002</v>
      </c>
    </row>
    <row r="541" spans="1:13" ht="14" x14ac:dyDescent="0.2">
      <c r="A541" s="4" t="s">
        <v>1374</v>
      </c>
      <c r="B541" s="5">
        <v>839.74483124999995</v>
      </c>
      <c r="C541" s="5">
        <f t="shared" si="17"/>
        <v>839.74483124999995</v>
      </c>
      <c r="D541" s="4">
        <v>1</v>
      </c>
      <c r="E541" s="5" t="s">
        <v>59</v>
      </c>
      <c r="F541" s="4" t="s">
        <v>1372</v>
      </c>
      <c r="G541" s="4" t="s">
        <v>20</v>
      </c>
      <c r="H541" s="4" t="s">
        <v>1375</v>
      </c>
      <c r="I541" s="4" t="s">
        <v>22</v>
      </c>
      <c r="J541" s="4" t="s">
        <v>646</v>
      </c>
      <c r="K541" s="4" t="s">
        <v>87</v>
      </c>
      <c r="M541">
        <f t="shared" ref="M541:M604" si="18">C541-(C541* 10%)</f>
        <v>755.77034812499994</v>
      </c>
    </row>
    <row r="542" spans="1:13" ht="14" x14ac:dyDescent="0.2">
      <c r="A542" s="4" t="s">
        <v>1376</v>
      </c>
      <c r="B542" s="5">
        <v>21076.818750000002</v>
      </c>
      <c r="C542" s="5">
        <f t="shared" si="17"/>
        <v>21076.818750000002</v>
      </c>
      <c r="D542" s="4">
        <v>1</v>
      </c>
      <c r="E542" s="4" t="s">
        <v>219</v>
      </c>
      <c r="F542" s="4" t="s">
        <v>1376</v>
      </c>
      <c r="G542" s="4" t="s">
        <v>12</v>
      </c>
      <c r="H542" s="4" t="s">
        <v>1377</v>
      </c>
      <c r="I542" s="4" t="s">
        <v>22</v>
      </c>
      <c r="J542" s="4" t="s">
        <v>25</v>
      </c>
      <c r="K542" s="4" t="s">
        <v>850</v>
      </c>
      <c r="M542">
        <f t="shared" si="18"/>
        <v>18969.136875000004</v>
      </c>
    </row>
    <row r="543" spans="1:13" ht="14" x14ac:dyDescent="0.2">
      <c r="A543" s="4" t="s">
        <v>1378</v>
      </c>
      <c r="B543" s="5">
        <v>998.37562500000013</v>
      </c>
      <c r="C543" s="5">
        <f t="shared" si="17"/>
        <v>99.837562500000018</v>
      </c>
      <c r="D543" s="4">
        <v>10</v>
      </c>
      <c r="E543" s="5" t="s">
        <v>10</v>
      </c>
      <c r="F543" s="4" t="s">
        <v>1379</v>
      </c>
      <c r="G543" s="4" t="s">
        <v>20</v>
      </c>
      <c r="H543" s="4" t="s">
        <v>1380</v>
      </c>
      <c r="I543" s="4" t="s">
        <v>22</v>
      </c>
      <c r="J543" s="4" t="s">
        <v>273</v>
      </c>
      <c r="K543" s="4" t="s">
        <v>406</v>
      </c>
      <c r="M543">
        <f t="shared" si="18"/>
        <v>89.853806250000019</v>
      </c>
    </row>
    <row r="544" spans="1:13" ht="14" x14ac:dyDescent="0.2">
      <c r="A544" s="4" t="s">
        <v>1381</v>
      </c>
      <c r="B544" s="5">
        <v>57506.436000000002</v>
      </c>
      <c r="C544" s="5">
        <f t="shared" si="17"/>
        <v>1916.8812</v>
      </c>
      <c r="D544" s="4">
        <v>30</v>
      </c>
      <c r="E544" s="5" t="s">
        <v>25</v>
      </c>
      <c r="F544" s="4" t="s">
        <v>1382</v>
      </c>
      <c r="G544" s="4" t="s">
        <v>12</v>
      </c>
      <c r="H544" s="4" t="s">
        <v>1382</v>
      </c>
      <c r="I544" s="4" t="s">
        <v>22</v>
      </c>
      <c r="K544" s="4" t="s">
        <v>28</v>
      </c>
      <c r="M544">
        <f t="shared" si="18"/>
        <v>1725.19308</v>
      </c>
    </row>
    <row r="545" spans="1:13" ht="14" x14ac:dyDescent="0.2">
      <c r="A545" s="4" t="s">
        <v>1383</v>
      </c>
      <c r="B545" s="5">
        <v>19004.634675000001</v>
      </c>
      <c r="C545" s="5">
        <f t="shared" si="17"/>
        <v>19004.634675000001</v>
      </c>
      <c r="D545" s="4">
        <v>1</v>
      </c>
      <c r="E545" s="5" t="s">
        <v>175</v>
      </c>
      <c r="F545" s="4" t="s">
        <v>1384</v>
      </c>
      <c r="G545" s="4" t="s">
        <v>12</v>
      </c>
      <c r="H545" s="4" t="s">
        <v>1385</v>
      </c>
      <c r="I545" s="4" t="s">
        <v>22</v>
      </c>
      <c r="J545" s="4" t="s">
        <v>1386</v>
      </c>
      <c r="K545" s="4" t="s">
        <v>244</v>
      </c>
      <c r="M545">
        <f t="shared" si="18"/>
        <v>17104.1712075</v>
      </c>
    </row>
    <row r="546" spans="1:13" ht="14" x14ac:dyDescent="0.2">
      <c r="A546" s="4" t="s">
        <v>1387</v>
      </c>
      <c r="B546" s="5">
        <v>14310.050625000002</v>
      </c>
      <c r="C546" s="5">
        <f t="shared" si="17"/>
        <v>14310.050625000002</v>
      </c>
      <c r="D546" s="4">
        <v>1</v>
      </c>
      <c r="E546" s="5" t="s">
        <v>124</v>
      </c>
      <c r="F546" s="4" t="s">
        <v>1387</v>
      </c>
      <c r="G546" s="4" t="s">
        <v>20</v>
      </c>
      <c r="H546" s="4" t="s">
        <v>1388</v>
      </c>
      <c r="I546" s="4" t="s">
        <v>22</v>
      </c>
      <c r="J546" s="4" t="s">
        <v>1389</v>
      </c>
      <c r="K546" s="4" t="s">
        <v>34</v>
      </c>
      <c r="M546">
        <f t="shared" si="18"/>
        <v>12879.045562500001</v>
      </c>
    </row>
    <row r="547" spans="1:13" ht="14" x14ac:dyDescent="0.2">
      <c r="A547" s="4" t="s">
        <v>1390</v>
      </c>
      <c r="B547" s="5">
        <v>1237.9857750000001</v>
      </c>
      <c r="C547" s="5">
        <f t="shared" si="17"/>
        <v>49.519431000000004</v>
      </c>
      <c r="D547" s="4">
        <v>25</v>
      </c>
      <c r="E547" s="5" t="s">
        <v>10</v>
      </c>
      <c r="F547" s="4" t="s">
        <v>1391</v>
      </c>
      <c r="G547" s="4" t="s">
        <v>12</v>
      </c>
      <c r="H547" s="4" t="s">
        <v>1392</v>
      </c>
      <c r="I547" s="4" t="s">
        <v>22</v>
      </c>
      <c r="J547" s="4" t="s">
        <v>1393</v>
      </c>
      <c r="K547" s="4" t="s">
        <v>155</v>
      </c>
      <c r="M547">
        <f t="shared" si="18"/>
        <v>44.567487900000003</v>
      </c>
    </row>
    <row r="548" spans="1:13" ht="14" x14ac:dyDescent="0.2">
      <c r="A548" s="4" t="s">
        <v>1394</v>
      </c>
      <c r="B548" s="5">
        <v>6165.5241375000005</v>
      </c>
      <c r="C548" s="5">
        <f t="shared" si="17"/>
        <v>6165.5241375000005</v>
      </c>
      <c r="D548" s="4">
        <v>1</v>
      </c>
      <c r="E548" s="5" t="s">
        <v>175</v>
      </c>
      <c r="F548" s="4" t="s">
        <v>1384</v>
      </c>
      <c r="G548" s="4" t="s">
        <v>12</v>
      </c>
      <c r="H548" s="4" t="s">
        <v>1395</v>
      </c>
      <c r="I548" s="4" t="s">
        <v>22</v>
      </c>
      <c r="J548" s="4" t="s">
        <v>1396</v>
      </c>
      <c r="K548" s="4" t="s">
        <v>244</v>
      </c>
      <c r="M548">
        <f t="shared" si="18"/>
        <v>5548.9717237500008</v>
      </c>
    </row>
    <row r="549" spans="1:13" ht="14" x14ac:dyDescent="0.2">
      <c r="A549" s="4" t="s">
        <v>1397</v>
      </c>
      <c r="B549" s="5">
        <v>1996.7512500000003</v>
      </c>
      <c r="C549" s="5">
        <f t="shared" si="17"/>
        <v>166.39593750000003</v>
      </c>
      <c r="D549" s="4">
        <v>12</v>
      </c>
      <c r="E549" s="5" t="s">
        <v>10</v>
      </c>
      <c r="F549" s="4" t="s">
        <v>280</v>
      </c>
      <c r="G549" s="4" t="s">
        <v>20</v>
      </c>
      <c r="H549" s="4" t="s">
        <v>1398</v>
      </c>
      <c r="I549" s="4" t="s">
        <v>22</v>
      </c>
      <c r="J549" s="4" t="s">
        <v>1399</v>
      </c>
      <c r="K549" s="4" t="s">
        <v>108</v>
      </c>
      <c r="M549">
        <f t="shared" si="18"/>
        <v>149.75634375000004</v>
      </c>
    </row>
    <row r="550" spans="1:13" ht="14" x14ac:dyDescent="0.2">
      <c r="A550" s="4" t="s">
        <v>1400</v>
      </c>
      <c r="B550" s="5">
        <v>1331.1675</v>
      </c>
      <c r="C550" s="5">
        <f t="shared" si="17"/>
        <v>221.86125000000001</v>
      </c>
      <c r="D550" s="4">
        <v>6</v>
      </c>
      <c r="E550" s="5" t="s">
        <v>10</v>
      </c>
      <c r="F550" s="4" t="s">
        <v>280</v>
      </c>
      <c r="G550" s="4" t="s">
        <v>20</v>
      </c>
      <c r="H550" s="4" t="s">
        <v>1398</v>
      </c>
      <c r="I550" s="4" t="s">
        <v>22</v>
      </c>
      <c r="J550" s="4" t="s">
        <v>1399</v>
      </c>
      <c r="K550" s="4" t="s">
        <v>108</v>
      </c>
      <c r="M550">
        <f t="shared" si="18"/>
        <v>199.67512500000001</v>
      </c>
    </row>
    <row r="551" spans="1:13" ht="14" x14ac:dyDescent="0.2">
      <c r="A551" s="4" t="s">
        <v>1401</v>
      </c>
      <c r="B551" s="5">
        <v>1797.076125</v>
      </c>
      <c r="C551" s="5">
        <f t="shared" si="17"/>
        <v>299.51268750000003</v>
      </c>
      <c r="D551" s="4">
        <v>6</v>
      </c>
      <c r="E551" s="5" t="s">
        <v>10</v>
      </c>
      <c r="F551" s="4" t="s">
        <v>105</v>
      </c>
      <c r="G551" s="4" t="s">
        <v>20</v>
      </c>
      <c r="H551" s="4" t="s">
        <v>1402</v>
      </c>
      <c r="I551" s="4" t="s">
        <v>22</v>
      </c>
      <c r="J551" s="4" t="s">
        <v>1322</v>
      </c>
      <c r="K551" s="4" t="s">
        <v>108</v>
      </c>
      <c r="M551">
        <f t="shared" si="18"/>
        <v>269.56141875000003</v>
      </c>
    </row>
    <row r="552" spans="1:13" ht="14" x14ac:dyDescent="0.2">
      <c r="A552" s="4" t="s">
        <v>1403</v>
      </c>
      <c r="B552" s="5">
        <v>161736.85125000001</v>
      </c>
      <c r="C552" s="5">
        <f t="shared" si="17"/>
        <v>5391.2283750000006</v>
      </c>
      <c r="D552" s="4">
        <v>30</v>
      </c>
      <c r="E552" s="5" t="s">
        <v>10</v>
      </c>
      <c r="F552" s="4" t="s">
        <v>1404</v>
      </c>
      <c r="G552" s="4" t="s">
        <v>12</v>
      </c>
      <c r="H552" s="4" t="s">
        <v>1405</v>
      </c>
      <c r="I552" s="4" t="s">
        <v>14</v>
      </c>
      <c r="J552" s="4" t="s">
        <v>1406</v>
      </c>
      <c r="K552" s="4" t="s">
        <v>227</v>
      </c>
      <c r="M552">
        <f t="shared" si="18"/>
        <v>4852.1055375000005</v>
      </c>
    </row>
    <row r="553" spans="1:13" ht="14" x14ac:dyDescent="0.2">
      <c r="A553" s="4" t="s">
        <v>1407</v>
      </c>
      <c r="B553" s="5">
        <v>10183.431375000002</v>
      </c>
      <c r="C553" s="5">
        <f t="shared" si="17"/>
        <v>339.44771250000008</v>
      </c>
      <c r="D553" s="4">
        <v>30</v>
      </c>
      <c r="E553" s="5" t="s">
        <v>10</v>
      </c>
      <c r="F553" s="4" t="s">
        <v>731</v>
      </c>
      <c r="G553" s="4" t="s">
        <v>12</v>
      </c>
      <c r="H553" s="4" t="s">
        <v>1408</v>
      </c>
      <c r="I553" s="4" t="s">
        <v>14</v>
      </c>
      <c r="J553" s="4" t="s">
        <v>146</v>
      </c>
      <c r="K553" s="4" t="s">
        <v>90</v>
      </c>
      <c r="M553">
        <f t="shared" si="18"/>
        <v>305.50294125000005</v>
      </c>
    </row>
    <row r="554" spans="1:13" ht="14" x14ac:dyDescent="0.2">
      <c r="A554" s="4" t="s">
        <v>1409</v>
      </c>
      <c r="B554" s="5">
        <v>11758.646250000002</v>
      </c>
      <c r="C554" s="5">
        <f t="shared" si="17"/>
        <v>391.95487500000007</v>
      </c>
      <c r="D554" s="4">
        <v>30</v>
      </c>
      <c r="E554" s="5" t="s">
        <v>10</v>
      </c>
      <c r="F554" s="4" t="s">
        <v>731</v>
      </c>
      <c r="G554" s="4" t="s">
        <v>12</v>
      </c>
      <c r="H554" s="4" t="s">
        <v>1408</v>
      </c>
      <c r="I554" s="4" t="s">
        <v>14</v>
      </c>
      <c r="J554" s="4" t="s">
        <v>603</v>
      </c>
      <c r="K554" s="4" t="s">
        <v>90</v>
      </c>
      <c r="M554">
        <f t="shared" si="18"/>
        <v>352.75938750000006</v>
      </c>
    </row>
    <row r="555" spans="1:13" ht="14" x14ac:dyDescent="0.2">
      <c r="A555" s="4" t="s">
        <v>1410</v>
      </c>
      <c r="B555" s="5">
        <v>13866.328125000002</v>
      </c>
      <c r="C555" s="5">
        <f t="shared" si="17"/>
        <v>462.21093750000006</v>
      </c>
      <c r="D555" s="4">
        <v>30</v>
      </c>
      <c r="E555" s="5" t="s">
        <v>10</v>
      </c>
      <c r="F555" s="4" t="s">
        <v>731</v>
      </c>
      <c r="G555" s="4" t="s">
        <v>12</v>
      </c>
      <c r="H555" s="4" t="s">
        <v>1408</v>
      </c>
      <c r="I555" s="4" t="s">
        <v>14</v>
      </c>
      <c r="J555" s="4" t="s">
        <v>200</v>
      </c>
      <c r="K555" s="4" t="s">
        <v>90</v>
      </c>
      <c r="M555">
        <f t="shared" si="18"/>
        <v>415.98984375000003</v>
      </c>
    </row>
    <row r="556" spans="1:13" ht="14" x14ac:dyDescent="0.2">
      <c r="A556" s="4" t="s">
        <v>1411</v>
      </c>
      <c r="B556" s="5">
        <v>18279.202500000003</v>
      </c>
      <c r="C556" s="5">
        <f t="shared" si="17"/>
        <v>609.30675000000008</v>
      </c>
      <c r="D556" s="4">
        <v>30</v>
      </c>
      <c r="E556" s="4" t="s">
        <v>10</v>
      </c>
      <c r="F556" s="4" t="s">
        <v>1411</v>
      </c>
      <c r="G556" s="4" t="s">
        <v>12</v>
      </c>
      <c r="H556" s="4" t="s">
        <v>1412</v>
      </c>
      <c r="I556" s="4" t="s">
        <v>14</v>
      </c>
      <c r="J556" s="4" t="s">
        <v>945</v>
      </c>
      <c r="K556" s="4" t="s">
        <v>1316</v>
      </c>
      <c r="M556">
        <f t="shared" si="18"/>
        <v>548.37607500000013</v>
      </c>
    </row>
    <row r="557" spans="1:13" ht="14" x14ac:dyDescent="0.2">
      <c r="A557" s="4" t="s">
        <v>1413</v>
      </c>
      <c r="B557" s="5">
        <v>16084.940625000001</v>
      </c>
      <c r="C557" s="5">
        <f t="shared" si="17"/>
        <v>536.16468750000001</v>
      </c>
      <c r="D557" s="4">
        <v>30</v>
      </c>
      <c r="E557" s="4" t="s">
        <v>10</v>
      </c>
      <c r="F557" s="4" t="s">
        <v>1411</v>
      </c>
      <c r="G557" s="4" t="s">
        <v>12</v>
      </c>
      <c r="H557" s="4" t="s">
        <v>1412</v>
      </c>
      <c r="I557" s="4" t="s">
        <v>14</v>
      </c>
      <c r="J557" s="4" t="s">
        <v>737</v>
      </c>
      <c r="K557" s="4" t="s">
        <v>1316</v>
      </c>
      <c r="M557">
        <f t="shared" si="18"/>
        <v>482.54821874999999</v>
      </c>
    </row>
    <row r="558" spans="1:13" ht="14" x14ac:dyDescent="0.2">
      <c r="A558" s="4" t="s">
        <v>1414</v>
      </c>
      <c r="B558" s="5">
        <v>5756.1901312500004</v>
      </c>
      <c r="C558" s="5">
        <f t="shared" si="17"/>
        <v>319.78834062500005</v>
      </c>
      <c r="D558" s="4">
        <v>18</v>
      </c>
      <c r="E558" s="5" t="s">
        <v>30</v>
      </c>
      <c r="F558" s="4" t="s">
        <v>1415</v>
      </c>
      <c r="G558" s="4" t="s">
        <v>20</v>
      </c>
      <c r="H558" s="4" t="s">
        <v>1416</v>
      </c>
      <c r="I558" s="4" t="s">
        <v>22</v>
      </c>
      <c r="J558" s="4" t="s">
        <v>1298</v>
      </c>
      <c r="K558" s="4" t="s">
        <v>118</v>
      </c>
      <c r="M558">
        <f t="shared" si="18"/>
        <v>287.80950656250002</v>
      </c>
    </row>
    <row r="559" spans="1:13" ht="14" x14ac:dyDescent="0.2">
      <c r="A559" s="4" t="s">
        <v>1417</v>
      </c>
      <c r="B559" s="5">
        <v>16972.385625000003</v>
      </c>
      <c r="C559" s="5">
        <f t="shared" si="17"/>
        <v>606.15662946428586</v>
      </c>
      <c r="D559" s="4">
        <v>28</v>
      </c>
      <c r="E559" s="5" t="s">
        <v>10</v>
      </c>
      <c r="F559" s="4" t="s">
        <v>1418</v>
      </c>
      <c r="G559" s="4" t="s">
        <v>12</v>
      </c>
      <c r="H559" s="4" t="s">
        <v>1419</v>
      </c>
      <c r="I559" s="4" t="s">
        <v>22</v>
      </c>
      <c r="J559" s="4" t="s">
        <v>1256</v>
      </c>
      <c r="K559" s="4" t="s">
        <v>812</v>
      </c>
      <c r="M559">
        <f t="shared" si="18"/>
        <v>545.54096651785721</v>
      </c>
    </row>
    <row r="560" spans="1:13" ht="14" x14ac:dyDescent="0.2">
      <c r="A560" s="7" t="s">
        <v>5253</v>
      </c>
      <c r="B560" s="10">
        <v>48254.821875000001</v>
      </c>
      <c r="C560" s="5">
        <f t="shared" si="17"/>
        <v>536.16468750000001</v>
      </c>
      <c r="D560" s="9">
        <v>90</v>
      </c>
      <c r="E560" s="10" t="s">
        <v>5189</v>
      </c>
      <c r="F560" s="7" t="s">
        <v>5254</v>
      </c>
      <c r="H560" s="7" t="s">
        <v>5255</v>
      </c>
      <c r="I560" s="7" t="s">
        <v>22</v>
      </c>
      <c r="J560" s="7" t="s">
        <v>95</v>
      </c>
      <c r="K560" s="7" t="s">
        <v>34</v>
      </c>
      <c r="M560">
        <f t="shared" si="18"/>
        <v>482.54821874999999</v>
      </c>
    </row>
    <row r="561" spans="1:13" ht="14" x14ac:dyDescent="0.2">
      <c r="A561" s="4" t="s">
        <v>1420</v>
      </c>
      <c r="B561" s="5">
        <v>12579.532875000001</v>
      </c>
      <c r="C561" s="5">
        <f t="shared" si="17"/>
        <v>125.79532875000001</v>
      </c>
      <c r="D561" s="4">
        <v>100</v>
      </c>
      <c r="E561" s="5" t="s">
        <v>30</v>
      </c>
      <c r="F561" s="4" t="s">
        <v>568</v>
      </c>
      <c r="G561" s="4" t="s">
        <v>12</v>
      </c>
      <c r="H561" s="4" t="s">
        <v>1421</v>
      </c>
      <c r="I561" s="4" t="s">
        <v>22</v>
      </c>
      <c r="J561" s="4" t="s">
        <v>1422</v>
      </c>
      <c r="K561" s="4" t="s">
        <v>34</v>
      </c>
      <c r="M561">
        <f t="shared" si="18"/>
        <v>113.21579587500001</v>
      </c>
    </row>
    <row r="562" spans="1:13" ht="14" x14ac:dyDescent="0.2">
      <c r="A562" s="4" t="s">
        <v>1423</v>
      </c>
      <c r="B562" s="5">
        <v>5756.1901312500004</v>
      </c>
      <c r="C562" s="5">
        <f t="shared" si="17"/>
        <v>57.561901312500005</v>
      </c>
      <c r="D562" s="4">
        <v>100</v>
      </c>
      <c r="E562" s="5" t="s">
        <v>10</v>
      </c>
      <c r="F562" s="4" t="s">
        <v>1424</v>
      </c>
      <c r="G562" s="4" t="s">
        <v>12</v>
      </c>
      <c r="H562" s="4" t="s">
        <v>1425</v>
      </c>
      <c r="I562" s="4" t="s">
        <v>22</v>
      </c>
      <c r="K562" s="4" t="s">
        <v>34</v>
      </c>
      <c r="M562">
        <f t="shared" si="18"/>
        <v>51.805711181250004</v>
      </c>
    </row>
    <row r="563" spans="1:13" ht="14" x14ac:dyDescent="0.2">
      <c r="A563" s="4" t="s">
        <v>1426</v>
      </c>
      <c r="B563" s="5">
        <v>1639.5546375000001</v>
      </c>
      <c r="C563" s="5">
        <f t="shared" si="17"/>
        <v>1639.5546375000001</v>
      </c>
      <c r="D563" s="4">
        <v>1</v>
      </c>
      <c r="E563" s="5" t="s">
        <v>181</v>
      </c>
      <c r="F563" s="4" t="s">
        <v>1427</v>
      </c>
      <c r="G563" s="4" t="s">
        <v>20</v>
      </c>
      <c r="H563" s="4" t="s">
        <v>1426</v>
      </c>
      <c r="I563" s="4" t="s">
        <v>22</v>
      </c>
      <c r="J563" s="4" t="s">
        <v>1428</v>
      </c>
      <c r="K563" s="4" t="s">
        <v>118</v>
      </c>
      <c r="M563">
        <f t="shared" si="18"/>
        <v>1475.5991737500001</v>
      </c>
    </row>
    <row r="564" spans="1:13" ht="14" x14ac:dyDescent="0.2">
      <c r="A564" s="4" t="s">
        <v>1429</v>
      </c>
      <c r="B564" s="5">
        <v>1572.9962625000001</v>
      </c>
      <c r="C564" s="5">
        <f t="shared" si="17"/>
        <v>1572.9962625000001</v>
      </c>
      <c r="D564" s="4">
        <v>1</v>
      </c>
      <c r="E564" s="5" t="s">
        <v>181</v>
      </c>
      <c r="F564" s="4" t="s">
        <v>1427</v>
      </c>
      <c r="G564" s="4" t="s">
        <v>20</v>
      </c>
      <c r="H564" s="4" t="s">
        <v>1429</v>
      </c>
      <c r="I564" s="4" t="s">
        <v>22</v>
      </c>
      <c r="J564" s="4" t="s">
        <v>1430</v>
      </c>
      <c r="K564" s="4" t="s">
        <v>118</v>
      </c>
      <c r="M564">
        <f t="shared" si="18"/>
        <v>1415.69663625</v>
      </c>
    </row>
    <row r="565" spans="1:13" ht="14" x14ac:dyDescent="0.2">
      <c r="A565" s="4" t="s">
        <v>1431</v>
      </c>
      <c r="B565" s="5">
        <v>1893.5857687500002</v>
      </c>
      <c r="C565" s="5">
        <f t="shared" si="17"/>
        <v>1893.5857687500002</v>
      </c>
      <c r="D565" s="4">
        <v>1</v>
      </c>
      <c r="E565" s="5" t="s">
        <v>874</v>
      </c>
      <c r="F565" s="4" t="s">
        <v>1432</v>
      </c>
      <c r="G565" s="4" t="s">
        <v>12</v>
      </c>
      <c r="H565" s="4" t="s">
        <v>1433</v>
      </c>
      <c r="I565" s="4" t="s">
        <v>22</v>
      </c>
      <c r="J565" s="8">
        <v>5.0000000000000001E-4</v>
      </c>
      <c r="K565" s="4" t="s">
        <v>23</v>
      </c>
      <c r="M565">
        <f t="shared" si="18"/>
        <v>1704.2271918750002</v>
      </c>
    </row>
    <row r="566" spans="1:13" ht="14" x14ac:dyDescent="0.2">
      <c r="A566" s="4" t="s">
        <v>1434</v>
      </c>
      <c r="B566" s="5">
        <v>17302.958887500004</v>
      </c>
      <c r="C566" s="5">
        <f t="shared" si="17"/>
        <v>17302.958887500004</v>
      </c>
      <c r="D566" s="4">
        <v>1</v>
      </c>
      <c r="E566" s="5" t="s">
        <v>175</v>
      </c>
      <c r="F566" s="4" t="s">
        <v>1435</v>
      </c>
      <c r="G566" s="4" t="s">
        <v>12</v>
      </c>
      <c r="H566" s="4" t="s">
        <v>1436</v>
      </c>
      <c r="I566" s="4" t="s">
        <v>22</v>
      </c>
      <c r="J566" s="4" t="s">
        <v>1437</v>
      </c>
      <c r="K566" s="4" t="s">
        <v>244</v>
      </c>
      <c r="M566">
        <f t="shared" si="18"/>
        <v>15572.662998750004</v>
      </c>
    </row>
    <row r="567" spans="1:13" ht="14" x14ac:dyDescent="0.2">
      <c r="A567" s="4" t="s">
        <v>1438</v>
      </c>
      <c r="B567" s="5">
        <v>1572.9962625000001</v>
      </c>
      <c r="C567" s="5">
        <f t="shared" si="17"/>
        <v>1572.9962625000001</v>
      </c>
      <c r="D567" s="4">
        <v>1</v>
      </c>
      <c r="E567" s="5" t="s">
        <v>55</v>
      </c>
      <c r="F567" s="4" t="s">
        <v>1439</v>
      </c>
      <c r="G567" s="4" t="s">
        <v>20</v>
      </c>
      <c r="H567" s="4" t="s">
        <v>1440</v>
      </c>
      <c r="I567" s="4" t="s">
        <v>22</v>
      </c>
      <c r="K567" s="4" t="s">
        <v>23</v>
      </c>
      <c r="M567">
        <f t="shared" si="18"/>
        <v>1415.69663625</v>
      </c>
    </row>
    <row r="568" spans="1:13" ht="14" x14ac:dyDescent="0.2">
      <c r="A568" s="4" t="s">
        <v>1441</v>
      </c>
      <c r="B568" s="5">
        <v>5213.7393750000001</v>
      </c>
      <c r="C568" s="5">
        <f t="shared" si="17"/>
        <v>5213.7393750000001</v>
      </c>
      <c r="D568" s="4">
        <v>1</v>
      </c>
      <c r="E568" s="5" t="s">
        <v>10</v>
      </c>
      <c r="F568" s="4" t="s">
        <v>1442</v>
      </c>
      <c r="G568" s="4" t="s">
        <v>20</v>
      </c>
      <c r="H568" s="4" t="s">
        <v>1443</v>
      </c>
      <c r="I568" s="4" t="s">
        <v>22</v>
      </c>
      <c r="K568" s="4" t="s">
        <v>53</v>
      </c>
      <c r="M568">
        <f t="shared" si="18"/>
        <v>4692.3654375000006</v>
      </c>
    </row>
    <row r="569" spans="1:13" ht="14" x14ac:dyDescent="0.2">
      <c r="A569" s="4" t="s">
        <v>1444</v>
      </c>
      <c r="B569" s="5">
        <v>499.18781250000006</v>
      </c>
      <c r="C569" s="5">
        <f t="shared" si="17"/>
        <v>49.918781250000009</v>
      </c>
      <c r="D569" s="4">
        <v>10</v>
      </c>
      <c r="E569" s="5" t="s">
        <v>10</v>
      </c>
      <c r="F569" s="4" t="s">
        <v>1445</v>
      </c>
      <c r="G569" s="4" t="s">
        <v>20</v>
      </c>
      <c r="H569" s="4" t="s">
        <v>1446</v>
      </c>
      <c r="I569" s="4" t="s">
        <v>22</v>
      </c>
      <c r="J569" s="4" t="s">
        <v>1447</v>
      </c>
      <c r="K569" s="4" t="s">
        <v>53</v>
      </c>
      <c r="M569">
        <f t="shared" si="18"/>
        <v>44.92690312500001</v>
      </c>
    </row>
    <row r="570" spans="1:13" ht="14" x14ac:dyDescent="0.2">
      <c r="A570" s="4" t="s">
        <v>1448</v>
      </c>
      <c r="B570" s="5">
        <v>2336.1989625000006</v>
      </c>
      <c r="C570" s="5">
        <f t="shared" si="17"/>
        <v>2336.1989625000006</v>
      </c>
      <c r="D570" s="4">
        <v>1</v>
      </c>
      <c r="E570" s="5" t="s">
        <v>25</v>
      </c>
      <c r="F570" s="4" t="s">
        <v>1449</v>
      </c>
      <c r="G570" s="4" t="s">
        <v>12</v>
      </c>
      <c r="H570" s="4" t="s">
        <v>1449</v>
      </c>
      <c r="I570" s="4" t="s">
        <v>22</v>
      </c>
      <c r="K570" s="4" t="s">
        <v>28</v>
      </c>
      <c r="M570">
        <f t="shared" si="18"/>
        <v>2102.5790662500003</v>
      </c>
    </row>
    <row r="571" spans="1:13" ht="14" x14ac:dyDescent="0.2">
      <c r="A571" s="4" t="s">
        <v>1450</v>
      </c>
      <c r="B571" s="5">
        <v>42153.637500000004</v>
      </c>
      <c r="C571" s="5">
        <f t="shared" si="17"/>
        <v>1405.1212500000001</v>
      </c>
      <c r="D571" s="4">
        <v>30</v>
      </c>
      <c r="E571" s="5" t="s">
        <v>10</v>
      </c>
      <c r="F571" s="4" t="s">
        <v>1451</v>
      </c>
      <c r="G571" s="4" t="s">
        <v>12</v>
      </c>
      <c r="H571" s="4" t="s">
        <v>1452</v>
      </c>
      <c r="I571" s="4" t="s">
        <v>14</v>
      </c>
      <c r="J571" s="4" t="s">
        <v>942</v>
      </c>
      <c r="K571" s="4" t="s">
        <v>90</v>
      </c>
      <c r="M571">
        <f t="shared" si="18"/>
        <v>1264.6091250000002</v>
      </c>
    </row>
    <row r="572" spans="1:13" ht="14" x14ac:dyDescent="0.2">
      <c r="A572" s="4" t="s">
        <v>1453</v>
      </c>
      <c r="B572" s="5">
        <v>42153.637500000004</v>
      </c>
      <c r="C572" s="5">
        <f t="shared" si="17"/>
        <v>1405.1212500000001</v>
      </c>
      <c r="D572" s="4">
        <v>30</v>
      </c>
      <c r="E572" s="5" t="s">
        <v>10</v>
      </c>
      <c r="F572" s="4" t="s">
        <v>1451</v>
      </c>
      <c r="G572" s="4" t="s">
        <v>12</v>
      </c>
      <c r="H572" s="4" t="s">
        <v>1452</v>
      </c>
      <c r="I572" s="4" t="s">
        <v>14</v>
      </c>
      <c r="J572" s="4" t="s">
        <v>1454</v>
      </c>
      <c r="K572" s="4" t="s">
        <v>90</v>
      </c>
      <c r="M572">
        <f t="shared" si="18"/>
        <v>1264.6091250000002</v>
      </c>
    </row>
    <row r="573" spans="1:13" ht="14" x14ac:dyDescent="0.2">
      <c r="A573" s="4" t="s">
        <v>1455</v>
      </c>
      <c r="B573" s="5">
        <v>42153.637500000004</v>
      </c>
      <c r="C573" s="5">
        <f t="shared" si="17"/>
        <v>1405.1212500000001</v>
      </c>
      <c r="D573" s="4">
        <v>30</v>
      </c>
      <c r="E573" s="5" t="s">
        <v>10</v>
      </c>
      <c r="F573" s="4" t="s">
        <v>1451</v>
      </c>
      <c r="G573" s="4" t="s">
        <v>12</v>
      </c>
      <c r="H573" s="4" t="s">
        <v>1452</v>
      </c>
      <c r="I573" s="4" t="s">
        <v>14</v>
      </c>
      <c r="J573" s="4" t="s">
        <v>945</v>
      </c>
      <c r="K573" s="4" t="s">
        <v>90</v>
      </c>
      <c r="M573">
        <f t="shared" si="18"/>
        <v>1264.6091250000002</v>
      </c>
    </row>
    <row r="574" spans="1:13" ht="14" x14ac:dyDescent="0.2">
      <c r="A574" s="4" t="s">
        <v>1456</v>
      </c>
      <c r="B574" s="5">
        <v>42153.637500000004</v>
      </c>
      <c r="C574" s="5">
        <f t="shared" si="17"/>
        <v>1405.1212500000001</v>
      </c>
      <c r="D574" s="4">
        <v>30</v>
      </c>
      <c r="E574" s="5" t="s">
        <v>10</v>
      </c>
      <c r="F574" s="4" t="s">
        <v>1451</v>
      </c>
      <c r="G574" s="4" t="s">
        <v>12</v>
      </c>
      <c r="H574" s="4" t="s">
        <v>1452</v>
      </c>
      <c r="I574" s="4" t="s">
        <v>14</v>
      </c>
      <c r="J574" s="4" t="s">
        <v>737</v>
      </c>
      <c r="K574" s="4" t="s">
        <v>90</v>
      </c>
      <c r="M574">
        <f t="shared" si="18"/>
        <v>1264.6091250000002</v>
      </c>
    </row>
    <row r="575" spans="1:13" ht="14" x14ac:dyDescent="0.2">
      <c r="A575" s="4" t="s">
        <v>1457</v>
      </c>
      <c r="B575" s="5">
        <v>44372.250000000007</v>
      </c>
      <c r="C575" s="5">
        <f t="shared" si="17"/>
        <v>1479.0750000000003</v>
      </c>
      <c r="D575" s="4">
        <v>30</v>
      </c>
      <c r="E575" s="5" t="s">
        <v>10</v>
      </c>
      <c r="F575" s="4" t="s">
        <v>1458</v>
      </c>
      <c r="G575" s="4" t="s">
        <v>12</v>
      </c>
      <c r="H575" s="4" t="s">
        <v>1459</v>
      </c>
      <c r="I575" s="4" t="s">
        <v>14</v>
      </c>
      <c r="J575" s="4" t="s">
        <v>1460</v>
      </c>
      <c r="K575" s="4" t="s">
        <v>90</v>
      </c>
      <c r="M575">
        <f t="shared" si="18"/>
        <v>1331.1675000000002</v>
      </c>
    </row>
    <row r="576" spans="1:13" ht="14" x14ac:dyDescent="0.2">
      <c r="A576" s="4" t="s">
        <v>1461</v>
      </c>
      <c r="B576" s="5">
        <v>36607.106250000004</v>
      </c>
      <c r="C576" s="5">
        <f t="shared" si="17"/>
        <v>1220.2368750000001</v>
      </c>
      <c r="D576" s="4">
        <v>30</v>
      </c>
      <c r="E576" s="5" t="s">
        <v>10</v>
      </c>
      <c r="F576" s="4" t="s">
        <v>1458</v>
      </c>
      <c r="G576" s="4" t="s">
        <v>12</v>
      </c>
      <c r="H576" s="4" t="s">
        <v>1459</v>
      </c>
      <c r="I576" s="4" t="s">
        <v>14</v>
      </c>
      <c r="J576" s="4" t="s">
        <v>1462</v>
      </c>
      <c r="K576" s="4" t="s">
        <v>90</v>
      </c>
      <c r="M576">
        <f t="shared" si="18"/>
        <v>1098.2131875</v>
      </c>
    </row>
    <row r="577" spans="1:25" ht="14" x14ac:dyDescent="0.2">
      <c r="A577" s="4" t="s">
        <v>1463</v>
      </c>
      <c r="B577" s="5">
        <v>33057.326250000006</v>
      </c>
      <c r="C577" s="5">
        <f t="shared" si="17"/>
        <v>1101.9108750000003</v>
      </c>
      <c r="D577" s="4">
        <v>30</v>
      </c>
      <c r="E577" s="5" t="s">
        <v>10</v>
      </c>
      <c r="F577" s="4" t="s">
        <v>1464</v>
      </c>
      <c r="G577" s="4" t="s">
        <v>12</v>
      </c>
      <c r="H577" s="4" t="s">
        <v>1465</v>
      </c>
      <c r="I577" s="4" t="s">
        <v>14</v>
      </c>
      <c r="J577" s="4" t="s">
        <v>1466</v>
      </c>
      <c r="K577" s="4" t="s">
        <v>90</v>
      </c>
      <c r="M577">
        <f t="shared" si="18"/>
        <v>991.71978750000017</v>
      </c>
    </row>
    <row r="578" spans="1:25" ht="14" x14ac:dyDescent="0.2">
      <c r="A578" s="4" t="s">
        <v>1467</v>
      </c>
      <c r="B578" s="5">
        <v>33057.326250000006</v>
      </c>
      <c r="C578" s="5">
        <f t="shared" si="17"/>
        <v>1101.9108750000003</v>
      </c>
      <c r="D578" s="4">
        <v>30</v>
      </c>
      <c r="E578" s="5" t="s">
        <v>10</v>
      </c>
      <c r="F578" s="4" t="s">
        <v>1468</v>
      </c>
      <c r="G578" s="4" t="s">
        <v>12</v>
      </c>
      <c r="H578" s="4" t="s">
        <v>1465</v>
      </c>
      <c r="I578" s="4" t="s">
        <v>14</v>
      </c>
      <c r="J578" s="4" t="s">
        <v>1469</v>
      </c>
      <c r="K578" s="4" t="s">
        <v>90</v>
      </c>
      <c r="M578">
        <f t="shared" si="18"/>
        <v>991.71978750000017</v>
      </c>
    </row>
    <row r="579" spans="1:25" ht="14" x14ac:dyDescent="0.2">
      <c r="A579" s="4" t="s">
        <v>1470</v>
      </c>
      <c r="B579" s="5">
        <v>33057.326250000006</v>
      </c>
      <c r="C579" s="5">
        <f t="shared" ref="C579:C642" si="19">(B579/D579)</f>
        <v>1101.9108750000003</v>
      </c>
      <c r="D579" s="4">
        <v>30</v>
      </c>
      <c r="E579" s="5" t="s">
        <v>10</v>
      </c>
      <c r="F579" s="4" t="s">
        <v>1464</v>
      </c>
      <c r="G579" s="4" t="s">
        <v>12</v>
      </c>
      <c r="H579" s="4" t="s">
        <v>1471</v>
      </c>
      <c r="I579" s="4" t="s">
        <v>14</v>
      </c>
      <c r="J579" s="4" t="s">
        <v>146</v>
      </c>
      <c r="K579" s="4" t="s">
        <v>90</v>
      </c>
      <c r="M579">
        <f t="shared" si="18"/>
        <v>991.71978750000017</v>
      </c>
    </row>
    <row r="580" spans="1:25" ht="14" x14ac:dyDescent="0.2">
      <c r="A580" s="4" t="s">
        <v>1472</v>
      </c>
      <c r="B580" s="5">
        <v>33057.326250000006</v>
      </c>
      <c r="C580" s="5">
        <f t="shared" si="19"/>
        <v>1101.9108750000003</v>
      </c>
      <c r="D580" s="4">
        <v>30</v>
      </c>
      <c r="E580" s="5" t="s">
        <v>10</v>
      </c>
      <c r="F580" s="4" t="s">
        <v>1464</v>
      </c>
      <c r="G580" s="4" t="s">
        <v>12</v>
      </c>
      <c r="H580" s="4" t="s">
        <v>1471</v>
      </c>
      <c r="I580" s="4" t="s">
        <v>14</v>
      </c>
      <c r="J580" s="4" t="s">
        <v>200</v>
      </c>
      <c r="K580" s="4" t="s">
        <v>90</v>
      </c>
      <c r="M580">
        <f t="shared" si="18"/>
        <v>991.71978750000017</v>
      </c>
    </row>
    <row r="581" spans="1:25" ht="14" x14ac:dyDescent="0.2">
      <c r="A581" s="4" t="s">
        <v>1473</v>
      </c>
      <c r="B581" s="5">
        <v>909.631125</v>
      </c>
      <c r="C581" s="5">
        <f t="shared" si="19"/>
        <v>909.631125</v>
      </c>
      <c r="D581" s="4">
        <v>1</v>
      </c>
      <c r="E581" s="5" t="s">
        <v>25</v>
      </c>
      <c r="F581" s="4" t="s">
        <v>1474</v>
      </c>
      <c r="G581" s="4" t="s">
        <v>20</v>
      </c>
      <c r="H581" s="4" t="s">
        <v>1474</v>
      </c>
      <c r="I581" s="4" t="s">
        <v>22</v>
      </c>
      <c r="J581" s="4" t="s">
        <v>25</v>
      </c>
      <c r="K581" s="4" t="s">
        <v>219</v>
      </c>
      <c r="M581">
        <f t="shared" si="18"/>
        <v>818.66801250000003</v>
      </c>
    </row>
    <row r="582" spans="1:25" ht="14" x14ac:dyDescent="0.2">
      <c r="A582" s="4" t="s">
        <v>1475</v>
      </c>
      <c r="B582" s="5">
        <v>25638.286050000002</v>
      </c>
      <c r="C582" s="5">
        <f t="shared" si="19"/>
        <v>915.65307321428577</v>
      </c>
      <c r="D582" s="4">
        <v>28</v>
      </c>
      <c r="E582" s="5" t="s">
        <v>10</v>
      </c>
      <c r="F582" s="4" t="s">
        <v>1476</v>
      </c>
      <c r="G582" s="4" t="s">
        <v>12</v>
      </c>
      <c r="H582" s="4" t="s">
        <v>1477</v>
      </c>
      <c r="I582" s="4" t="s">
        <v>14</v>
      </c>
      <c r="J582" s="4" t="s">
        <v>146</v>
      </c>
      <c r="K582" s="4" t="s">
        <v>312</v>
      </c>
      <c r="M582">
        <f t="shared" si="18"/>
        <v>824.08776589285719</v>
      </c>
    </row>
    <row r="583" spans="1:25" ht="14" x14ac:dyDescent="0.2">
      <c r="A583" s="4" t="s">
        <v>1478</v>
      </c>
      <c r="B583" s="5">
        <v>28753.218000000001</v>
      </c>
      <c r="C583" s="5">
        <f t="shared" si="19"/>
        <v>1026.9006428571429</v>
      </c>
      <c r="D583" s="4">
        <v>28</v>
      </c>
      <c r="E583" s="5" t="s">
        <v>10</v>
      </c>
      <c r="F583" s="4" t="s">
        <v>1479</v>
      </c>
      <c r="G583" s="4" t="s">
        <v>12</v>
      </c>
      <c r="H583" s="4" t="s">
        <v>1477</v>
      </c>
      <c r="I583" s="4" t="s">
        <v>14</v>
      </c>
      <c r="J583" s="4" t="s">
        <v>148</v>
      </c>
      <c r="K583" s="4" t="s">
        <v>312</v>
      </c>
      <c r="M583">
        <f t="shared" si="18"/>
        <v>924.21057857142864</v>
      </c>
    </row>
    <row r="584" spans="1:25" ht="14" x14ac:dyDescent="0.2">
      <c r="A584" s="4" t="s">
        <v>1480</v>
      </c>
      <c r="B584" s="5">
        <v>28753.218000000001</v>
      </c>
      <c r="C584" s="5">
        <f t="shared" si="19"/>
        <v>1026.9006428571429</v>
      </c>
      <c r="D584" s="4">
        <v>28</v>
      </c>
      <c r="E584" s="5" t="s">
        <v>10</v>
      </c>
      <c r="F584" s="4" t="s">
        <v>1479</v>
      </c>
      <c r="G584" s="4" t="s">
        <v>12</v>
      </c>
      <c r="H584" s="4" t="s">
        <v>1477</v>
      </c>
      <c r="I584" s="4" t="s">
        <v>14</v>
      </c>
      <c r="J584" s="4" t="s">
        <v>495</v>
      </c>
      <c r="K584" s="4" t="s">
        <v>312</v>
      </c>
      <c r="M584">
        <f t="shared" si="18"/>
        <v>924.21057857142864</v>
      </c>
    </row>
    <row r="585" spans="1:25" ht="14" x14ac:dyDescent="0.2">
      <c r="A585" s="4" t="s">
        <v>1481</v>
      </c>
      <c r="B585" s="5">
        <v>24560.040375</v>
      </c>
      <c r="C585" s="5">
        <f t="shared" si="19"/>
        <v>877.14429910714284</v>
      </c>
      <c r="D585" s="4">
        <v>28</v>
      </c>
      <c r="E585" s="5" t="s">
        <v>10</v>
      </c>
      <c r="F585" s="4" t="s">
        <v>1476</v>
      </c>
      <c r="G585" s="4" t="s">
        <v>12</v>
      </c>
      <c r="H585" s="4" t="s">
        <v>1477</v>
      </c>
      <c r="I585" s="4" t="s">
        <v>14</v>
      </c>
      <c r="J585" s="4" t="s">
        <v>200</v>
      </c>
      <c r="K585" s="4" t="s">
        <v>312</v>
      </c>
      <c r="M585">
        <f t="shared" si="18"/>
        <v>789.42986919642851</v>
      </c>
    </row>
    <row r="586" spans="1:25" ht="14" x14ac:dyDescent="0.2">
      <c r="A586" s="4" t="s">
        <v>1482</v>
      </c>
      <c r="B586" s="5">
        <v>2298.4825500000006</v>
      </c>
      <c r="C586" s="5">
        <f t="shared" si="19"/>
        <v>2298.4825500000006</v>
      </c>
      <c r="D586" s="4">
        <v>1</v>
      </c>
      <c r="E586" s="5" t="s">
        <v>175</v>
      </c>
      <c r="F586" s="4" t="s">
        <v>1483</v>
      </c>
      <c r="G586" s="4" t="s">
        <v>12</v>
      </c>
      <c r="H586" s="4" t="s">
        <v>1484</v>
      </c>
      <c r="I586" s="4" t="s">
        <v>22</v>
      </c>
      <c r="J586" s="4" t="s">
        <v>1485</v>
      </c>
      <c r="K586" s="4" t="s">
        <v>179</v>
      </c>
      <c r="M586">
        <f t="shared" si="18"/>
        <v>2068.6342950000007</v>
      </c>
    </row>
    <row r="587" spans="1:25" ht="14" x14ac:dyDescent="0.2">
      <c r="A587" s="7" t="s">
        <v>5256</v>
      </c>
      <c r="B587" s="10">
        <v>4437.2250000000004</v>
      </c>
      <c r="C587" s="5">
        <f t="shared" si="19"/>
        <v>4437.2250000000004</v>
      </c>
      <c r="D587" s="9">
        <v>1</v>
      </c>
      <c r="E587" s="10" t="s">
        <v>5217</v>
      </c>
      <c r="F587" s="7" t="s">
        <v>5257</v>
      </c>
      <c r="H587" s="7" t="s">
        <v>5258</v>
      </c>
      <c r="I587" s="4" t="s">
        <v>22</v>
      </c>
      <c r="J587" s="12">
        <v>0.01</v>
      </c>
      <c r="K587" s="7" t="s">
        <v>244</v>
      </c>
      <c r="M587">
        <f t="shared" si="18"/>
        <v>3993.5025000000005</v>
      </c>
    </row>
    <row r="588" spans="1:25" ht="14" x14ac:dyDescent="0.2">
      <c r="A588" s="4" t="s">
        <v>1486</v>
      </c>
      <c r="B588" s="5">
        <v>17012.320650000001</v>
      </c>
      <c r="C588" s="5">
        <f t="shared" si="19"/>
        <v>17012.320650000001</v>
      </c>
      <c r="D588" s="4">
        <v>1</v>
      </c>
      <c r="E588" s="5" t="s">
        <v>25</v>
      </c>
      <c r="F588" s="4" t="s">
        <v>1487</v>
      </c>
      <c r="G588" s="4" t="s">
        <v>12</v>
      </c>
      <c r="H588" s="4" t="s">
        <v>1487</v>
      </c>
      <c r="I588" s="4" t="s">
        <v>22</v>
      </c>
      <c r="K588" s="4" t="s">
        <v>860</v>
      </c>
      <c r="M588">
        <f t="shared" si="18"/>
        <v>15311.088585000001</v>
      </c>
    </row>
    <row r="589" spans="1:25" ht="14" x14ac:dyDescent="0.2">
      <c r="A589" s="7" t="s">
        <v>5259</v>
      </c>
      <c r="B589" s="10">
        <v>36607.106250000004</v>
      </c>
      <c r="C589" s="5">
        <f t="shared" si="19"/>
        <v>1220.2368750000001</v>
      </c>
      <c r="D589" s="9">
        <v>30</v>
      </c>
      <c r="E589" s="10" t="s">
        <v>5185</v>
      </c>
      <c r="F589" s="7" t="s">
        <v>5260</v>
      </c>
      <c r="G589" s="7" t="s">
        <v>20</v>
      </c>
      <c r="H589" s="7" t="s">
        <v>5260</v>
      </c>
      <c r="I589" s="4" t="s">
        <v>22</v>
      </c>
      <c r="J589" s="7" t="s">
        <v>5261</v>
      </c>
      <c r="K589" s="7" t="s">
        <v>53</v>
      </c>
      <c r="L589" s="4"/>
      <c r="M589">
        <f t="shared" si="18"/>
        <v>1098.2131875</v>
      </c>
      <c r="N589" s="3"/>
      <c r="O589" s="3"/>
      <c r="P589" s="3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" x14ac:dyDescent="0.2">
      <c r="A590" s="4" t="s">
        <v>1488</v>
      </c>
      <c r="B590" s="5">
        <v>2568.0439687500002</v>
      </c>
      <c r="C590" s="5">
        <f t="shared" si="19"/>
        <v>2568.0439687500002</v>
      </c>
      <c r="D590" s="4">
        <v>1</v>
      </c>
      <c r="E590" s="5" t="s">
        <v>175</v>
      </c>
      <c r="F590" s="4" t="s">
        <v>1489</v>
      </c>
      <c r="G590" s="4" t="s">
        <v>12</v>
      </c>
      <c r="H590" s="4" t="s">
        <v>1490</v>
      </c>
      <c r="I590" s="4" t="s">
        <v>22</v>
      </c>
      <c r="J590" s="8">
        <v>5.0000000000000001E-3</v>
      </c>
      <c r="K590" s="4" t="s">
        <v>244</v>
      </c>
      <c r="M590">
        <f t="shared" si="18"/>
        <v>2311.2395718750004</v>
      </c>
    </row>
    <row r="591" spans="1:25" ht="14" x14ac:dyDescent="0.2">
      <c r="A591" s="4" t="s">
        <v>1491</v>
      </c>
      <c r="B591" s="5">
        <v>1663.9593750000001</v>
      </c>
      <c r="C591" s="5">
        <f t="shared" si="19"/>
        <v>55.465312500000003</v>
      </c>
      <c r="D591" s="4">
        <v>30</v>
      </c>
      <c r="E591" s="5" t="s">
        <v>10</v>
      </c>
      <c r="F591" s="4" t="s">
        <v>1491</v>
      </c>
      <c r="G591" s="4" t="s">
        <v>20</v>
      </c>
      <c r="H591" s="4" t="s">
        <v>1492</v>
      </c>
      <c r="I591" s="4" t="s">
        <v>22</v>
      </c>
      <c r="J591" s="4" t="s">
        <v>1493</v>
      </c>
      <c r="K591" s="4" t="s">
        <v>34</v>
      </c>
      <c r="M591">
        <f t="shared" si="18"/>
        <v>49.918781250000002</v>
      </c>
    </row>
    <row r="592" spans="1:25" ht="14" x14ac:dyDescent="0.2">
      <c r="A592" s="4" t="s">
        <v>1494</v>
      </c>
      <c r="B592" s="5">
        <v>24959.390625000004</v>
      </c>
      <c r="C592" s="5">
        <f t="shared" si="19"/>
        <v>1663.9593750000001</v>
      </c>
      <c r="D592" s="4">
        <v>15</v>
      </c>
      <c r="E592" s="5" t="s">
        <v>1265</v>
      </c>
      <c r="F592" s="4" t="s">
        <v>1495</v>
      </c>
      <c r="G592" s="4" t="s">
        <v>12</v>
      </c>
      <c r="H592" s="4" t="s">
        <v>1496</v>
      </c>
      <c r="I592" s="4" t="s">
        <v>14</v>
      </c>
      <c r="J592" s="4" t="s">
        <v>95</v>
      </c>
      <c r="K592" s="4" t="s">
        <v>68</v>
      </c>
      <c r="M592">
        <f t="shared" si="18"/>
        <v>1497.5634375000002</v>
      </c>
    </row>
    <row r="593" spans="1:13" ht="14" x14ac:dyDescent="0.2">
      <c r="A593" s="4" t="s">
        <v>1497</v>
      </c>
      <c r="B593" s="5">
        <v>36607.106250000004</v>
      </c>
      <c r="C593" s="5">
        <f t="shared" si="19"/>
        <v>2440.4737500000001</v>
      </c>
      <c r="D593" s="4">
        <v>15</v>
      </c>
      <c r="E593" s="5" t="s">
        <v>1265</v>
      </c>
      <c r="F593" s="4" t="s">
        <v>1495</v>
      </c>
      <c r="G593" s="4" t="s">
        <v>12</v>
      </c>
      <c r="H593" s="4" t="s">
        <v>1498</v>
      </c>
      <c r="I593" s="4" t="s">
        <v>14</v>
      </c>
      <c r="J593" s="4" t="s">
        <v>52</v>
      </c>
      <c r="K593" s="4" t="s">
        <v>68</v>
      </c>
      <c r="M593">
        <f t="shared" si="18"/>
        <v>2196.426375</v>
      </c>
    </row>
    <row r="594" spans="1:13" ht="14" x14ac:dyDescent="0.2">
      <c r="A594" s="4" t="s">
        <v>1499</v>
      </c>
      <c r="B594" s="5">
        <v>6960.8967187500002</v>
      </c>
      <c r="C594" s="5">
        <f t="shared" si="19"/>
        <v>6960.8967187500002</v>
      </c>
      <c r="D594" s="4">
        <v>1</v>
      </c>
      <c r="E594" s="5" t="s">
        <v>175</v>
      </c>
      <c r="F594" s="4" t="s">
        <v>1500</v>
      </c>
      <c r="G594" s="4" t="s">
        <v>12</v>
      </c>
      <c r="H594" s="4" t="s">
        <v>1501</v>
      </c>
      <c r="I594" s="4" t="s">
        <v>22</v>
      </c>
      <c r="J594" s="4" t="s">
        <v>140</v>
      </c>
      <c r="K594" s="4" t="s">
        <v>1502</v>
      </c>
      <c r="M594">
        <f t="shared" si="18"/>
        <v>6264.8070468750002</v>
      </c>
    </row>
    <row r="595" spans="1:13" ht="14" x14ac:dyDescent="0.2">
      <c r="A595" s="4" t="s">
        <v>1503</v>
      </c>
      <c r="B595" s="5">
        <v>43742.164050000007</v>
      </c>
      <c r="C595" s="5">
        <f t="shared" si="19"/>
        <v>1562.2201446428573</v>
      </c>
      <c r="D595" s="4">
        <v>28</v>
      </c>
      <c r="E595" s="5" t="s">
        <v>30</v>
      </c>
      <c r="F595" s="4" t="s">
        <v>1504</v>
      </c>
      <c r="G595" s="4" t="s">
        <v>12</v>
      </c>
      <c r="H595" s="4" t="s">
        <v>1505</v>
      </c>
      <c r="I595" s="4" t="s">
        <v>14</v>
      </c>
      <c r="J595" s="4" t="s">
        <v>548</v>
      </c>
      <c r="K595" s="4" t="s">
        <v>227</v>
      </c>
      <c r="M595">
        <f t="shared" si="18"/>
        <v>1405.9981301785715</v>
      </c>
    </row>
    <row r="596" spans="1:13" ht="14" x14ac:dyDescent="0.2">
      <c r="A596" s="4" t="s">
        <v>1506</v>
      </c>
      <c r="B596" s="5">
        <v>55652.785256249997</v>
      </c>
      <c r="C596" s="5">
        <f t="shared" si="19"/>
        <v>1987.5994734374999</v>
      </c>
      <c r="D596" s="4">
        <v>28</v>
      </c>
      <c r="E596" s="5" t="s">
        <v>30</v>
      </c>
      <c r="F596" s="4" t="s">
        <v>1504</v>
      </c>
      <c r="G596" s="4" t="s">
        <v>12</v>
      </c>
      <c r="H596" s="4" t="s">
        <v>1505</v>
      </c>
      <c r="I596" s="4" t="s">
        <v>14</v>
      </c>
      <c r="J596" s="4" t="s">
        <v>550</v>
      </c>
      <c r="K596" s="4" t="s">
        <v>227</v>
      </c>
      <c r="M596">
        <f t="shared" si="18"/>
        <v>1788.83952609375</v>
      </c>
    </row>
    <row r="597" spans="1:13" ht="14" x14ac:dyDescent="0.2">
      <c r="A597" s="4" t="s">
        <v>1507</v>
      </c>
      <c r="B597" s="5">
        <v>1437.6609000000001</v>
      </c>
      <c r="C597" s="5">
        <f t="shared" si="19"/>
        <v>143.76609000000002</v>
      </c>
      <c r="D597" s="4">
        <v>10</v>
      </c>
      <c r="E597" s="5" t="s">
        <v>10</v>
      </c>
      <c r="F597" s="4" t="s">
        <v>1110</v>
      </c>
      <c r="G597" s="4" t="s">
        <v>20</v>
      </c>
      <c r="H597" s="4" t="s">
        <v>1508</v>
      </c>
      <c r="I597" s="4" t="s">
        <v>22</v>
      </c>
      <c r="J597" s="4" t="s">
        <v>207</v>
      </c>
      <c r="K597" s="4" t="s">
        <v>53</v>
      </c>
      <c r="M597">
        <f t="shared" si="18"/>
        <v>129.38948100000002</v>
      </c>
    </row>
    <row r="598" spans="1:13" ht="14" x14ac:dyDescent="0.2">
      <c r="A598" s="4" t="s">
        <v>1509</v>
      </c>
      <c r="B598" s="5">
        <v>2773.2656250000005</v>
      </c>
      <c r="C598" s="5">
        <f t="shared" si="19"/>
        <v>308.14062500000006</v>
      </c>
      <c r="D598" s="4">
        <v>9</v>
      </c>
      <c r="E598" s="5" t="s">
        <v>10</v>
      </c>
      <c r="F598" s="4" t="s">
        <v>1510</v>
      </c>
      <c r="G598" s="4" t="s">
        <v>20</v>
      </c>
      <c r="H598" s="4" t="s">
        <v>1511</v>
      </c>
      <c r="I598" s="4" t="s">
        <v>22</v>
      </c>
      <c r="J598" s="4" t="s">
        <v>1512</v>
      </c>
      <c r="K598" s="4" t="s">
        <v>108</v>
      </c>
      <c r="M598">
        <f t="shared" si="18"/>
        <v>277.32656250000002</v>
      </c>
    </row>
    <row r="599" spans="1:13" ht="14" x14ac:dyDescent="0.2">
      <c r="A599" s="4" t="s">
        <v>1513</v>
      </c>
      <c r="B599" s="5">
        <v>1331.1675</v>
      </c>
      <c r="C599" s="5">
        <f t="shared" si="19"/>
        <v>1331.1675</v>
      </c>
      <c r="D599" s="4">
        <v>1</v>
      </c>
      <c r="E599" s="5" t="s">
        <v>59</v>
      </c>
      <c r="F599" s="4" t="s">
        <v>1514</v>
      </c>
      <c r="G599" s="4" t="s">
        <v>20</v>
      </c>
      <c r="H599" s="4" t="s">
        <v>1513</v>
      </c>
      <c r="I599" s="4" t="s">
        <v>22</v>
      </c>
      <c r="J599" s="4" t="s">
        <v>1515</v>
      </c>
      <c r="K599" s="4" t="s">
        <v>118</v>
      </c>
      <c r="M599">
        <f t="shared" si="18"/>
        <v>1198.0507500000001</v>
      </c>
    </row>
    <row r="600" spans="1:13" ht="14" x14ac:dyDescent="0.2">
      <c r="A600" s="4" t="s">
        <v>1516</v>
      </c>
      <c r="B600" s="5">
        <v>1797.076125</v>
      </c>
      <c r="C600" s="5">
        <f t="shared" si="19"/>
        <v>179.70761250000001</v>
      </c>
      <c r="D600" s="4">
        <v>10</v>
      </c>
      <c r="E600" s="5" t="s">
        <v>10</v>
      </c>
      <c r="F600" s="4" t="s">
        <v>1517</v>
      </c>
      <c r="G600" s="4" t="s">
        <v>20</v>
      </c>
      <c r="H600" s="4" t="s">
        <v>1518</v>
      </c>
      <c r="I600" s="4" t="s">
        <v>22</v>
      </c>
      <c r="J600" s="4" t="s">
        <v>1519</v>
      </c>
      <c r="K600" s="4" t="s">
        <v>87</v>
      </c>
      <c r="M600">
        <f t="shared" si="18"/>
        <v>161.73685125</v>
      </c>
    </row>
    <row r="601" spans="1:13" ht="14" x14ac:dyDescent="0.2">
      <c r="A601" s="4" t="s">
        <v>1520</v>
      </c>
      <c r="B601" s="5">
        <v>1677.2710500000001</v>
      </c>
      <c r="C601" s="5">
        <f t="shared" si="19"/>
        <v>167.72710499999999</v>
      </c>
      <c r="D601" s="4">
        <v>10</v>
      </c>
      <c r="E601" s="5" t="s">
        <v>10</v>
      </c>
      <c r="F601" s="4" t="s">
        <v>1517</v>
      </c>
      <c r="G601" s="4" t="s">
        <v>20</v>
      </c>
      <c r="H601" s="4" t="s">
        <v>1518</v>
      </c>
      <c r="I601" s="4" t="s">
        <v>22</v>
      </c>
      <c r="J601" s="4" t="s">
        <v>1521</v>
      </c>
      <c r="K601" s="4" t="s">
        <v>87</v>
      </c>
      <c r="M601">
        <f t="shared" si="18"/>
        <v>150.95439450000001</v>
      </c>
    </row>
    <row r="602" spans="1:13" ht="14" x14ac:dyDescent="0.2">
      <c r="A602" s="4" t="s">
        <v>1522</v>
      </c>
      <c r="B602" s="5">
        <v>13089.813750000001</v>
      </c>
      <c r="C602" s="5">
        <f t="shared" si="19"/>
        <v>654.49068750000004</v>
      </c>
      <c r="D602" s="4">
        <v>20</v>
      </c>
      <c r="E602" s="5" t="s">
        <v>10</v>
      </c>
      <c r="F602" s="4" t="s">
        <v>1523</v>
      </c>
      <c r="G602" s="4" t="s">
        <v>12</v>
      </c>
      <c r="H602" s="4" t="s">
        <v>1524</v>
      </c>
      <c r="I602" s="4" t="s">
        <v>14</v>
      </c>
      <c r="J602" s="4" t="s">
        <v>207</v>
      </c>
      <c r="K602" s="4" t="s">
        <v>406</v>
      </c>
      <c r="M602">
        <f t="shared" si="18"/>
        <v>589.04161875</v>
      </c>
    </row>
    <row r="603" spans="1:13" ht="14" x14ac:dyDescent="0.2">
      <c r="A603" s="4" t="s">
        <v>1525</v>
      </c>
      <c r="B603" s="5">
        <v>4792.2030000000004</v>
      </c>
      <c r="C603" s="5">
        <f t="shared" si="19"/>
        <v>4792.2030000000004</v>
      </c>
      <c r="D603" s="4">
        <v>1</v>
      </c>
      <c r="E603" s="5" t="s">
        <v>55</v>
      </c>
      <c r="F603" s="4" t="s">
        <v>1526</v>
      </c>
      <c r="G603" s="4" t="s">
        <v>12</v>
      </c>
      <c r="H603" s="4" t="s">
        <v>1527</v>
      </c>
      <c r="I603" s="4" t="s">
        <v>14</v>
      </c>
      <c r="J603" s="4" t="s">
        <v>1528</v>
      </c>
      <c r="K603" s="4" t="s">
        <v>179</v>
      </c>
      <c r="M603">
        <f t="shared" si="18"/>
        <v>4312.9827000000005</v>
      </c>
    </row>
    <row r="604" spans="1:13" ht="14" x14ac:dyDescent="0.2">
      <c r="A604" s="4" t="s">
        <v>1529</v>
      </c>
      <c r="B604" s="5">
        <v>7210.4906250000004</v>
      </c>
      <c r="C604" s="5">
        <f t="shared" si="19"/>
        <v>7210.4906250000004</v>
      </c>
      <c r="D604" s="4">
        <v>1</v>
      </c>
      <c r="E604" s="5" t="s">
        <v>55</v>
      </c>
      <c r="F604" s="4" t="s">
        <v>1530</v>
      </c>
      <c r="G604" s="4" t="s">
        <v>20</v>
      </c>
      <c r="H604" s="4" t="s">
        <v>1531</v>
      </c>
      <c r="I604" s="4" t="s">
        <v>14</v>
      </c>
      <c r="J604" s="6">
        <v>0.02</v>
      </c>
      <c r="K604" s="4" t="s">
        <v>103</v>
      </c>
      <c r="M604">
        <f t="shared" si="18"/>
        <v>6489.4415625000001</v>
      </c>
    </row>
    <row r="605" spans="1:13" ht="14" x14ac:dyDescent="0.2">
      <c r="A605" s="4" t="s">
        <v>1532</v>
      </c>
      <c r="B605" s="5">
        <v>4938.6314250000005</v>
      </c>
      <c r="C605" s="5">
        <f t="shared" si="19"/>
        <v>4938.6314250000005</v>
      </c>
      <c r="D605" s="4">
        <v>1</v>
      </c>
      <c r="E605" s="5" t="s">
        <v>55</v>
      </c>
      <c r="F605" s="4" t="s">
        <v>1530</v>
      </c>
      <c r="G605" s="4" t="s">
        <v>20</v>
      </c>
      <c r="H605" s="4" t="s">
        <v>1531</v>
      </c>
      <c r="I605" s="4" t="s">
        <v>14</v>
      </c>
      <c r="J605" s="6">
        <v>0.02</v>
      </c>
      <c r="K605" s="4" t="s">
        <v>103</v>
      </c>
      <c r="M605">
        <f t="shared" ref="M605:M668" si="20">C605-(C605* 10%)</f>
        <v>4444.7682825000002</v>
      </c>
    </row>
    <row r="606" spans="1:13" ht="14" x14ac:dyDescent="0.2">
      <c r="A606" s="4" t="s">
        <v>1533</v>
      </c>
      <c r="B606" s="5">
        <v>26623.350000000002</v>
      </c>
      <c r="C606" s="5">
        <f t="shared" si="19"/>
        <v>26623.350000000002</v>
      </c>
      <c r="D606" s="4">
        <v>1</v>
      </c>
      <c r="E606" s="5" t="s">
        <v>202</v>
      </c>
      <c r="F606" s="4" t="s">
        <v>1534</v>
      </c>
      <c r="G606" s="4" t="s">
        <v>20</v>
      </c>
      <c r="H606" s="4" t="s">
        <v>1535</v>
      </c>
      <c r="I606" s="4" t="s">
        <v>14</v>
      </c>
      <c r="J606" s="6">
        <v>0.01</v>
      </c>
      <c r="K606" s="4" t="s">
        <v>103</v>
      </c>
      <c r="M606">
        <f t="shared" si="20"/>
        <v>23961.015000000003</v>
      </c>
    </row>
    <row r="607" spans="1:13" ht="14" x14ac:dyDescent="0.2">
      <c r="A607" s="4" t="s">
        <v>1536</v>
      </c>
      <c r="B607" s="5">
        <v>9540.0337500000005</v>
      </c>
      <c r="C607" s="5">
        <f t="shared" si="19"/>
        <v>596.25210937500003</v>
      </c>
      <c r="D607" s="4">
        <v>16</v>
      </c>
      <c r="E607" s="5" t="s">
        <v>30</v>
      </c>
      <c r="F607" s="4" t="s">
        <v>1537</v>
      </c>
      <c r="G607" s="4" t="s">
        <v>20</v>
      </c>
      <c r="H607" s="4" t="s">
        <v>1260</v>
      </c>
      <c r="I607" s="4" t="s">
        <v>14</v>
      </c>
      <c r="J607" s="4" t="s">
        <v>47</v>
      </c>
      <c r="K607" s="4" t="s">
        <v>53</v>
      </c>
      <c r="M607">
        <f t="shared" si="20"/>
        <v>536.62689843750002</v>
      </c>
    </row>
    <row r="608" spans="1:13" ht="14" x14ac:dyDescent="0.2">
      <c r="A608" s="4" t="s">
        <v>1538</v>
      </c>
      <c r="B608" s="5">
        <v>2419.3969312500003</v>
      </c>
      <c r="C608" s="5">
        <f t="shared" si="19"/>
        <v>2419.3969312500003</v>
      </c>
      <c r="D608" s="4">
        <v>1</v>
      </c>
      <c r="E608" s="5" t="s">
        <v>124</v>
      </c>
      <c r="F608" s="4" t="s">
        <v>1537</v>
      </c>
      <c r="G608" s="4" t="s">
        <v>20</v>
      </c>
      <c r="H608" s="4" t="s">
        <v>1260</v>
      </c>
      <c r="I608" s="4" t="s">
        <v>14</v>
      </c>
      <c r="J608" s="4" t="s">
        <v>47</v>
      </c>
      <c r="K608" s="4" t="s">
        <v>53</v>
      </c>
      <c r="M608">
        <f t="shared" si="20"/>
        <v>2177.4572381250005</v>
      </c>
    </row>
    <row r="609" spans="1:13" ht="14" x14ac:dyDescent="0.2">
      <c r="A609" s="7" t="s">
        <v>5262</v>
      </c>
      <c r="B609" s="10">
        <v>20522.165625000001</v>
      </c>
      <c r="C609" s="5">
        <f t="shared" si="19"/>
        <v>410.44331250000005</v>
      </c>
      <c r="D609" s="9">
        <v>50</v>
      </c>
      <c r="E609" s="10" t="s">
        <v>5189</v>
      </c>
      <c r="F609" s="7" t="s">
        <v>1537</v>
      </c>
      <c r="H609" s="7" t="s">
        <v>1260</v>
      </c>
      <c r="J609" s="7" t="s">
        <v>1261</v>
      </c>
      <c r="K609" s="7" t="s">
        <v>53</v>
      </c>
      <c r="M609">
        <f t="shared" si="20"/>
        <v>369.39898125000002</v>
      </c>
    </row>
    <row r="610" spans="1:13" ht="14" x14ac:dyDescent="0.2">
      <c r="A610" s="4" t="s">
        <v>1539</v>
      </c>
      <c r="B610" s="5">
        <v>10651.558612499999</v>
      </c>
      <c r="C610" s="5">
        <f t="shared" si="19"/>
        <v>10651.558612499999</v>
      </c>
      <c r="D610" s="4">
        <v>1</v>
      </c>
      <c r="E610" s="5" t="s">
        <v>25</v>
      </c>
      <c r="F610" s="4" t="s">
        <v>1537</v>
      </c>
      <c r="G610" s="4" t="s">
        <v>20</v>
      </c>
      <c r="H610" s="4" t="s">
        <v>1539</v>
      </c>
      <c r="I610" s="4" t="s">
        <v>14</v>
      </c>
      <c r="J610" s="6">
        <v>0.01</v>
      </c>
      <c r="K610" s="4" t="s">
        <v>53</v>
      </c>
      <c r="M610">
        <f t="shared" si="20"/>
        <v>9586.4027512499997</v>
      </c>
    </row>
    <row r="611" spans="1:13" ht="14" x14ac:dyDescent="0.2">
      <c r="A611" s="4" t="s">
        <v>1540</v>
      </c>
      <c r="B611" s="5">
        <v>2067.74685</v>
      </c>
      <c r="C611" s="5">
        <f t="shared" si="19"/>
        <v>21.539029687500001</v>
      </c>
      <c r="D611" s="4">
        <v>96</v>
      </c>
      <c r="E611" s="5" t="s">
        <v>10</v>
      </c>
      <c r="F611" s="4" t="s">
        <v>1541</v>
      </c>
      <c r="G611" s="4" t="s">
        <v>20</v>
      </c>
      <c r="H611" s="4" t="s">
        <v>1542</v>
      </c>
      <c r="I611" s="4" t="s">
        <v>22</v>
      </c>
      <c r="K611" s="4" t="s">
        <v>403</v>
      </c>
      <c r="M611">
        <f t="shared" si="20"/>
        <v>19.385126718750001</v>
      </c>
    </row>
    <row r="612" spans="1:13" ht="14" x14ac:dyDescent="0.2">
      <c r="A612" s="4" t="s">
        <v>1543</v>
      </c>
      <c r="B612" s="5">
        <v>11093.062500000002</v>
      </c>
      <c r="C612" s="5">
        <f t="shared" si="19"/>
        <v>369.76875000000007</v>
      </c>
      <c r="D612" s="4">
        <v>30</v>
      </c>
      <c r="E612" s="5" t="s">
        <v>10</v>
      </c>
      <c r="F612" s="4" t="s">
        <v>1544</v>
      </c>
      <c r="G612" s="4" t="s">
        <v>12</v>
      </c>
      <c r="H612" s="4" t="s">
        <v>1545</v>
      </c>
      <c r="I612" s="4" t="s">
        <v>14</v>
      </c>
      <c r="J612" s="4" t="s">
        <v>200</v>
      </c>
      <c r="K612" s="4" t="s">
        <v>16</v>
      </c>
      <c r="M612">
        <f t="shared" si="20"/>
        <v>332.79187500000006</v>
      </c>
    </row>
    <row r="613" spans="1:13" ht="14" x14ac:dyDescent="0.2">
      <c r="A613" s="4" t="s">
        <v>1546</v>
      </c>
      <c r="B613" s="5">
        <v>59015.092500000006</v>
      </c>
      <c r="C613" s="5">
        <f t="shared" si="19"/>
        <v>2107.6818750000002</v>
      </c>
      <c r="D613" s="4">
        <v>28</v>
      </c>
      <c r="E613" s="5" t="s">
        <v>10</v>
      </c>
      <c r="F613" s="4" t="s">
        <v>1547</v>
      </c>
      <c r="G613" s="4" t="s">
        <v>12</v>
      </c>
      <c r="H613" s="4" t="s">
        <v>1547</v>
      </c>
      <c r="I613" s="4" t="s">
        <v>22</v>
      </c>
      <c r="J613" s="4" t="s">
        <v>146</v>
      </c>
      <c r="K613" s="4" t="s">
        <v>16</v>
      </c>
      <c r="M613">
        <f t="shared" si="20"/>
        <v>1896.9136875000002</v>
      </c>
    </row>
    <row r="614" spans="1:13" ht="14" x14ac:dyDescent="0.2">
      <c r="A614" s="4" t="s">
        <v>1548</v>
      </c>
      <c r="B614" s="5">
        <v>31615.228125000001</v>
      </c>
      <c r="C614" s="5">
        <f t="shared" si="19"/>
        <v>1053.8409375000001</v>
      </c>
      <c r="D614" s="4">
        <v>30</v>
      </c>
      <c r="E614" s="5" t="s">
        <v>10</v>
      </c>
      <c r="F614" s="4" t="s">
        <v>1547</v>
      </c>
      <c r="G614" s="4" t="s">
        <v>12</v>
      </c>
      <c r="H614" s="4" t="s">
        <v>1549</v>
      </c>
      <c r="I614" s="4" t="s">
        <v>22</v>
      </c>
      <c r="J614" s="4" t="s">
        <v>146</v>
      </c>
      <c r="K614" s="4" t="s">
        <v>16</v>
      </c>
      <c r="M614">
        <f t="shared" si="20"/>
        <v>948.45684375000008</v>
      </c>
    </row>
    <row r="615" spans="1:13" ht="14" x14ac:dyDescent="0.2">
      <c r="A615" s="4" t="s">
        <v>1550</v>
      </c>
      <c r="B615" s="5">
        <v>9872.8256250000013</v>
      </c>
      <c r="C615" s="5">
        <f t="shared" si="19"/>
        <v>329.09418750000003</v>
      </c>
      <c r="D615" s="4">
        <v>30</v>
      </c>
      <c r="E615" s="5" t="s">
        <v>30</v>
      </c>
      <c r="F615" s="4" t="s">
        <v>1551</v>
      </c>
      <c r="G615" s="4" t="s">
        <v>12</v>
      </c>
      <c r="H615" s="4" t="s">
        <v>1552</v>
      </c>
      <c r="I615" s="4" t="s">
        <v>22</v>
      </c>
      <c r="K615" s="4" t="s">
        <v>34</v>
      </c>
      <c r="M615">
        <f t="shared" si="20"/>
        <v>296.18476875000005</v>
      </c>
    </row>
    <row r="616" spans="1:13" ht="14" x14ac:dyDescent="0.2">
      <c r="A616" s="4" t="s">
        <v>1553</v>
      </c>
      <c r="B616" s="5">
        <v>2067.74685</v>
      </c>
      <c r="C616" s="5">
        <f t="shared" si="19"/>
        <v>2067.74685</v>
      </c>
      <c r="D616" s="4">
        <v>1</v>
      </c>
      <c r="E616" s="5" t="s">
        <v>296</v>
      </c>
      <c r="F616" s="4" t="s">
        <v>1554</v>
      </c>
      <c r="G616" s="4" t="s">
        <v>12</v>
      </c>
      <c r="H616" s="4" t="s">
        <v>1553</v>
      </c>
      <c r="I616" s="4" t="s">
        <v>22</v>
      </c>
      <c r="J616" s="6">
        <v>0.5</v>
      </c>
      <c r="K616" s="4" t="s">
        <v>1555</v>
      </c>
      <c r="M616">
        <f t="shared" si="20"/>
        <v>1860.9721649999999</v>
      </c>
    </row>
    <row r="617" spans="1:13" ht="14" x14ac:dyDescent="0.2">
      <c r="A617" s="4" t="s">
        <v>1556</v>
      </c>
      <c r="B617" s="5">
        <v>3771.6412500000001</v>
      </c>
      <c r="C617" s="5">
        <f t="shared" si="19"/>
        <v>3771.6412500000001</v>
      </c>
      <c r="D617" s="4">
        <v>1</v>
      </c>
      <c r="E617" s="5" t="s">
        <v>10</v>
      </c>
      <c r="F617" s="4" t="s">
        <v>1557</v>
      </c>
      <c r="G617" s="4" t="s">
        <v>20</v>
      </c>
      <c r="H617" s="4" t="s">
        <v>1556</v>
      </c>
      <c r="I617" s="4" t="s">
        <v>14</v>
      </c>
      <c r="J617" s="4" t="s">
        <v>1558</v>
      </c>
      <c r="K617" s="4" t="s">
        <v>103</v>
      </c>
      <c r="M617">
        <f t="shared" si="20"/>
        <v>3394.4771250000003</v>
      </c>
    </row>
    <row r="618" spans="1:13" ht="14" x14ac:dyDescent="0.2">
      <c r="A618" s="4" t="s">
        <v>1559</v>
      </c>
      <c r="B618" s="5">
        <v>4326.2943750000004</v>
      </c>
      <c r="C618" s="5">
        <f t="shared" si="19"/>
        <v>4326.2943750000004</v>
      </c>
      <c r="D618" s="4">
        <v>1</v>
      </c>
      <c r="E618" s="5" t="s">
        <v>59</v>
      </c>
      <c r="F618" s="4" t="s">
        <v>1560</v>
      </c>
      <c r="G618" s="4" t="s">
        <v>20</v>
      </c>
      <c r="H618" s="4" t="s">
        <v>1559</v>
      </c>
      <c r="I618" s="4" t="s">
        <v>14</v>
      </c>
      <c r="J618" s="4" t="s">
        <v>757</v>
      </c>
      <c r="K618" s="4" t="s">
        <v>34</v>
      </c>
      <c r="M618">
        <f t="shared" si="20"/>
        <v>3893.6649375000002</v>
      </c>
    </row>
    <row r="619" spans="1:13" ht="14" x14ac:dyDescent="0.2">
      <c r="A619" s="4" t="s">
        <v>1561</v>
      </c>
      <c r="B619" s="5">
        <v>3549.78</v>
      </c>
      <c r="C619" s="5">
        <f t="shared" si="19"/>
        <v>3549.78</v>
      </c>
      <c r="D619" s="4">
        <v>1</v>
      </c>
      <c r="E619" s="5" t="s">
        <v>59</v>
      </c>
      <c r="F619" s="4" t="s">
        <v>1560</v>
      </c>
      <c r="G619" s="4" t="s">
        <v>20</v>
      </c>
      <c r="H619" s="4" t="s">
        <v>1561</v>
      </c>
      <c r="I619" s="4" t="s">
        <v>14</v>
      </c>
      <c r="J619" s="4" t="s">
        <v>1562</v>
      </c>
      <c r="K619" s="4" t="s">
        <v>34</v>
      </c>
      <c r="M619">
        <f t="shared" si="20"/>
        <v>3194.8020000000001</v>
      </c>
    </row>
    <row r="620" spans="1:13" ht="14" x14ac:dyDescent="0.2">
      <c r="A620" s="4" t="s">
        <v>1563</v>
      </c>
      <c r="B620" s="5">
        <v>6212.1150000000007</v>
      </c>
      <c r="C620" s="5">
        <f t="shared" si="19"/>
        <v>6212.1150000000007</v>
      </c>
      <c r="D620" s="4">
        <v>1</v>
      </c>
      <c r="E620" s="5" t="s">
        <v>18</v>
      </c>
      <c r="F620" s="4" t="s">
        <v>1564</v>
      </c>
      <c r="G620" s="4" t="s">
        <v>20</v>
      </c>
      <c r="H620" s="4" t="s">
        <v>1565</v>
      </c>
      <c r="I620" s="4" t="s">
        <v>22</v>
      </c>
      <c r="K620" s="4" t="s">
        <v>23</v>
      </c>
      <c r="M620">
        <f t="shared" si="20"/>
        <v>5590.9035000000003</v>
      </c>
    </row>
    <row r="621" spans="1:13" ht="14" x14ac:dyDescent="0.2">
      <c r="A621" s="4" t="s">
        <v>1566</v>
      </c>
      <c r="B621" s="5">
        <v>8208.8662500000009</v>
      </c>
      <c r="C621" s="5">
        <f t="shared" si="19"/>
        <v>8208.8662500000009</v>
      </c>
      <c r="D621" s="4">
        <v>1</v>
      </c>
      <c r="E621" s="5" t="s">
        <v>750</v>
      </c>
      <c r="F621" s="4" t="s">
        <v>1567</v>
      </c>
      <c r="G621" s="4" t="s">
        <v>20</v>
      </c>
      <c r="H621" s="4" t="s">
        <v>1566</v>
      </c>
      <c r="I621" s="4" t="s">
        <v>22</v>
      </c>
      <c r="J621" s="4" t="s">
        <v>161</v>
      </c>
      <c r="K621" s="4" t="s">
        <v>23</v>
      </c>
      <c r="M621">
        <f t="shared" si="20"/>
        <v>7387.9796250000009</v>
      </c>
    </row>
    <row r="622" spans="1:13" ht="14" x14ac:dyDescent="0.2">
      <c r="A622" s="4" t="s">
        <v>1568</v>
      </c>
      <c r="B622" s="5">
        <v>5159.38336875</v>
      </c>
      <c r="C622" s="5">
        <f t="shared" si="19"/>
        <v>5159.38336875</v>
      </c>
      <c r="D622" s="4">
        <v>1</v>
      </c>
      <c r="E622" s="5" t="s">
        <v>874</v>
      </c>
      <c r="F622" s="4" t="s">
        <v>1569</v>
      </c>
      <c r="G622" s="4" t="s">
        <v>20</v>
      </c>
      <c r="H622" s="4" t="s">
        <v>1568</v>
      </c>
      <c r="I622" s="4" t="s">
        <v>22</v>
      </c>
      <c r="J622" s="4" t="s">
        <v>1570</v>
      </c>
      <c r="K622" s="4" t="s">
        <v>87</v>
      </c>
      <c r="M622">
        <f t="shared" si="20"/>
        <v>4643.4450318750005</v>
      </c>
    </row>
    <row r="623" spans="1:13" ht="14" x14ac:dyDescent="0.2">
      <c r="A623" s="4" t="s">
        <v>1571</v>
      </c>
      <c r="B623" s="5">
        <v>7543.2825000000003</v>
      </c>
      <c r="C623" s="5">
        <f t="shared" si="19"/>
        <v>754.32825000000003</v>
      </c>
      <c r="D623" s="4">
        <v>10</v>
      </c>
      <c r="E623" s="5" t="s">
        <v>10</v>
      </c>
      <c r="F623" s="4" t="s">
        <v>1572</v>
      </c>
      <c r="G623" s="4" t="s">
        <v>20</v>
      </c>
      <c r="H623" s="4" t="s">
        <v>1573</v>
      </c>
      <c r="I623" s="4" t="s">
        <v>22</v>
      </c>
      <c r="J623" s="4" t="s">
        <v>1574</v>
      </c>
      <c r="K623" s="4" t="s">
        <v>1575</v>
      </c>
      <c r="M623">
        <f t="shared" si="20"/>
        <v>678.89542500000005</v>
      </c>
    </row>
    <row r="624" spans="1:13" ht="14" x14ac:dyDescent="0.2">
      <c r="A624" s="4" t="s">
        <v>1576</v>
      </c>
      <c r="B624" s="5">
        <v>30262.983806250002</v>
      </c>
      <c r="C624" s="5">
        <f t="shared" si="19"/>
        <v>3026.2983806250004</v>
      </c>
      <c r="D624" s="4">
        <v>10</v>
      </c>
      <c r="E624" s="5" t="s">
        <v>124</v>
      </c>
      <c r="F624" s="4" t="s">
        <v>1577</v>
      </c>
      <c r="G624" s="4" t="s">
        <v>12</v>
      </c>
      <c r="H624" s="4" t="s">
        <v>1578</v>
      </c>
      <c r="I624" s="4" t="s">
        <v>22</v>
      </c>
      <c r="J624" s="4" t="s">
        <v>148</v>
      </c>
      <c r="K624" s="4" t="s">
        <v>227</v>
      </c>
      <c r="M624">
        <f t="shared" si="20"/>
        <v>2723.6685425625005</v>
      </c>
    </row>
    <row r="625" spans="1:25" ht="14" x14ac:dyDescent="0.2">
      <c r="A625" s="4" t="s">
        <v>1579</v>
      </c>
      <c r="B625" s="5">
        <v>48692.99784375001</v>
      </c>
      <c r="C625" s="5">
        <f t="shared" si="19"/>
        <v>48692.99784375001</v>
      </c>
      <c r="D625" s="4">
        <v>1</v>
      </c>
      <c r="E625" s="5" t="s">
        <v>124</v>
      </c>
      <c r="F625" s="4" t="s">
        <v>1577</v>
      </c>
      <c r="G625" s="4" t="s">
        <v>12</v>
      </c>
      <c r="H625" s="4" t="s">
        <v>1578</v>
      </c>
      <c r="I625" s="4" t="s">
        <v>22</v>
      </c>
      <c r="J625" s="4" t="s">
        <v>495</v>
      </c>
      <c r="K625" s="4" t="s">
        <v>227</v>
      </c>
      <c r="M625">
        <f t="shared" si="20"/>
        <v>43823.698059375012</v>
      </c>
    </row>
    <row r="626" spans="1:25" ht="14" x14ac:dyDescent="0.2">
      <c r="A626" s="7" t="s">
        <v>5263</v>
      </c>
      <c r="B626" s="10">
        <v>6101.1843750000007</v>
      </c>
      <c r="C626" s="5">
        <f t="shared" si="19"/>
        <v>6101.1843750000007</v>
      </c>
      <c r="D626" s="9">
        <v>1</v>
      </c>
      <c r="E626" s="10" t="s">
        <v>5185</v>
      </c>
      <c r="F626" s="7" t="s">
        <v>5264</v>
      </c>
      <c r="H626" s="7" t="s">
        <v>5265</v>
      </c>
      <c r="J626" s="7" t="s">
        <v>5179</v>
      </c>
      <c r="K626" s="7" t="s">
        <v>786</v>
      </c>
      <c r="M626">
        <f t="shared" si="20"/>
        <v>5491.0659375000005</v>
      </c>
    </row>
    <row r="627" spans="1:25" ht="14" x14ac:dyDescent="0.2">
      <c r="A627" s="4" t="s">
        <v>1580</v>
      </c>
      <c r="B627" s="5">
        <v>8652.5887500000008</v>
      </c>
      <c r="C627" s="5">
        <f t="shared" si="19"/>
        <v>8652.5887500000008</v>
      </c>
      <c r="D627" s="4">
        <v>1</v>
      </c>
      <c r="E627" s="5" t="s">
        <v>124</v>
      </c>
      <c r="F627" s="4" t="s">
        <v>1581</v>
      </c>
      <c r="G627" s="4" t="s">
        <v>12</v>
      </c>
      <c r="H627" s="4" t="s">
        <v>1582</v>
      </c>
      <c r="I627" s="4" t="s">
        <v>14</v>
      </c>
      <c r="J627" s="4" t="s">
        <v>1261</v>
      </c>
      <c r="K627" s="4" t="s">
        <v>68</v>
      </c>
      <c r="M627">
        <f t="shared" si="20"/>
        <v>7787.3298750000004</v>
      </c>
    </row>
    <row r="628" spans="1:25" ht="14" x14ac:dyDescent="0.2">
      <c r="A628" s="4" t="s">
        <v>1583</v>
      </c>
      <c r="B628" s="5">
        <v>2396.1015000000002</v>
      </c>
      <c r="C628" s="5">
        <f t="shared" si="19"/>
        <v>99.837562500000004</v>
      </c>
      <c r="D628" s="4">
        <v>24</v>
      </c>
      <c r="E628" s="5" t="s">
        <v>10</v>
      </c>
      <c r="F628" s="4" t="s">
        <v>1584</v>
      </c>
      <c r="G628" s="4" t="s">
        <v>12</v>
      </c>
      <c r="H628" s="4" t="s">
        <v>1585</v>
      </c>
      <c r="I628" s="4" t="s">
        <v>22</v>
      </c>
      <c r="J628" s="4" t="s">
        <v>1586</v>
      </c>
      <c r="K628" s="4" t="s">
        <v>118</v>
      </c>
      <c r="M628">
        <f t="shared" si="20"/>
        <v>89.853806250000005</v>
      </c>
    </row>
    <row r="629" spans="1:25" ht="14" x14ac:dyDescent="0.2">
      <c r="A629" s="4" t="s">
        <v>1587</v>
      </c>
      <c r="B629" s="5">
        <v>6101.1843750000007</v>
      </c>
      <c r="C629" s="5">
        <f t="shared" si="19"/>
        <v>6101.1843750000007</v>
      </c>
      <c r="D629" s="4">
        <v>1</v>
      </c>
      <c r="E629" s="5" t="s">
        <v>55</v>
      </c>
      <c r="F629" s="4" t="s">
        <v>1588</v>
      </c>
      <c r="G629" s="4" t="s">
        <v>12</v>
      </c>
      <c r="H629" s="4" t="s">
        <v>1589</v>
      </c>
      <c r="I629" s="4" t="s">
        <v>22</v>
      </c>
      <c r="J629" s="6">
        <v>0.01</v>
      </c>
      <c r="K629" s="4" t="s">
        <v>23</v>
      </c>
      <c r="M629">
        <f t="shared" si="20"/>
        <v>5491.0659375000005</v>
      </c>
    </row>
    <row r="630" spans="1:25" ht="14" x14ac:dyDescent="0.2">
      <c r="A630" s="4" t="s">
        <v>1590</v>
      </c>
      <c r="B630" s="5">
        <v>7099.56</v>
      </c>
      <c r="C630" s="5">
        <f t="shared" si="19"/>
        <v>7099.56</v>
      </c>
      <c r="D630" s="4">
        <v>1</v>
      </c>
      <c r="E630" s="5" t="s">
        <v>55</v>
      </c>
      <c r="F630" s="4" t="s">
        <v>1588</v>
      </c>
      <c r="G630" s="4" t="s">
        <v>12</v>
      </c>
      <c r="H630" s="4" t="s">
        <v>1591</v>
      </c>
      <c r="I630" s="4" t="s">
        <v>22</v>
      </c>
      <c r="J630" s="6">
        <v>0.01</v>
      </c>
      <c r="K630" s="4" t="s">
        <v>23</v>
      </c>
      <c r="M630">
        <f t="shared" si="20"/>
        <v>6389.6040000000003</v>
      </c>
    </row>
    <row r="631" spans="1:25" ht="14" x14ac:dyDescent="0.2">
      <c r="A631" s="4" t="s">
        <v>1592</v>
      </c>
      <c r="B631" s="5">
        <v>7210.4906250000004</v>
      </c>
      <c r="C631" s="5">
        <f t="shared" si="19"/>
        <v>7210.4906250000004</v>
      </c>
      <c r="D631" s="4">
        <v>1</v>
      </c>
      <c r="E631" s="5" t="s">
        <v>55</v>
      </c>
      <c r="F631" s="4" t="s">
        <v>1593</v>
      </c>
      <c r="G631" s="4" t="s">
        <v>12</v>
      </c>
      <c r="H631" s="4" t="s">
        <v>1594</v>
      </c>
      <c r="I631" s="4" t="s">
        <v>14</v>
      </c>
      <c r="J631" s="4" t="s">
        <v>707</v>
      </c>
      <c r="K631" s="4" t="s">
        <v>68</v>
      </c>
      <c r="M631">
        <f t="shared" si="20"/>
        <v>6489.4415625000001</v>
      </c>
    </row>
    <row r="632" spans="1:25" ht="14" x14ac:dyDescent="0.2">
      <c r="A632" s="4" t="s">
        <v>1595</v>
      </c>
      <c r="B632" s="5">
        <v>3966.8791500000002</v>
      </c>
      <c r="C632" s="5">
        <f t="shared" si="19"/>
        <v>132.22930500000001</v>
      </c>
      <c r="D632" s="4">
        <v>30</v>
      </c>
      <c r="E632" s="5" t="s">
        <v>10</v>
      </c>
      <c r="F632" s="4" t="s">
        <v>1596</v>
      </c>
      <c r="G632" s="4" t="s">
        <v>20</v>
      </c>
      <c r="H632" s="4" t="s">
        <v>1596</v>
      </c>
      <c r="I632" s="4" t="s">
        <v>22</v>
      </c>
      <c r="J632" s="4" t="s">
        <v>200</v>
      </c>
      <c r="K632" s="4" t="s">
        <v>118</v>
      </c>
      <c r="M632">
        <f t="shared" si="20"/>
        <v>119.00637450000001</v>
      </c>
    </row>
    <row r="633" spans="1:25" ht="14" x14ac:dyDescent="0.2">
      <c r="A633" s="4" t="s">
        <v>1597</v>
      </c>
      <c r="B633" s="5">
        <v>88056.730125000002</v>
      </c>
      <c r="C633" s="5">
        <f t="shared" si="19"/>
        <v>2935.2243375000003</v>
      </c>
      <c r="D633" s="4">
        <v>30</v>
      </c>
      <c r="E633" s="5" t="s">
        <v>10</v>
      </c>
      <c r="F633" s="4" t="s">
        <v>1598</v>
      </c>
      <c r="G633" s="4" t="s">
        <v>12</v>
      </c>
      <c r="H633" s="4" t="s">
        <v>1599</v>
      </c>
      <c r="I633" s="4" t="s">
        <v>22</v>
      </c>
      <c r="J633" s="4" t="s">
        <v>1600</v>
      </c>
      <c r="K633" s="4" t="s">
        <v>406</v>
      </c>
      <c r="M633">
        <f t="shared" si="20"/>
        <v>2641.7019037500004</v>
      </c>
    </row>
    <row r="634" spans="1:25" ht="14" x14ac:dyDescent="0.2">
      <c r="A634" s="4" t="s">
        <v>1601</v>
      </c>
      <c r="B634" s="5">
        <v>57984.546993750009</v>
      </c>
      <c r="C634" s="5">
        <f t="shared" si="19"/>
        <v>57984.546993750009</v>
      </c>
      <c r="D634" s="4">
        <v>1</v>
      </c>
      <c r="E634" s="5" t="s">
        <v>690</v>
      </c>
      <c r="F634" s="4" t="s">
        <v>1598</v>
      </c>
      <c r="G634" s="4" t="s">
        <v>12</v>
      </c>
      <c r="H634" s="4" t="s">
        <v>1601</v>
      </c>
      <c r="I634" s="4" t="s">
        <v>22</v>
      </c>
      <c r="J634" s="4" t="s">
        <v>1602</v>
      </c>
      <c r="K634" s="4" t="s">
        <v>406</v>
      </c>
      <c r="M634">
        <f t="shared" si="20"/>
        <v>52186.092294375005</v>
      </c>
    </row>
    <row r="635" spans="1:25" ht="14" x14ac:dyDescent="0.2">
      <c r="A635" s="4" t="s">
        <v>1603</v>
      </c>
      <c r="B635" s="5">
        <v>581.27647500000012</v>
      </c>
      <c r="C635" s="5">
        <f t="shared" si="19"/>
        <v>58.127647500000009</v>
      </c>
      <c r="D635" s="4">
        <v>10</v>
      </c>
      <c r="E635" s="5" t="s">
        <v>10</v>
      </c>
      <c r="F635" s="4" t="s">
        <v>1604</v>
      </c>
      <c r="G635" s="4" t="s">
        <v>12</v>
      </c>
      <c r="H635" s="4" t="s">
        <v>1605</v>
      </c>
      <c r="I635" s="4" t="s">
        <v>22</v>
      </c>
      <c r="J635" s="4" t="s">
        <v>707</v>
      </c>
      <c r="K635" s="4" t="s">
        <v>1575</v>
      </c>
      <c r="M635">
        <f t="shared" si="20"/>
        <v>52.31488275000001</v>
      </c>
    </row>
    <row r="636" spans="1:25" ht="14" x14ac:dyDescent="0.2">
      <c r="A636" s="4" t="s">
        <v>1606</v>
      </c>
      <c r="B636" s="5">
        <v>572.40202500000009</v>
      </c>
      <c r="C636" s="5">
        <f t="shared" si="19"/>
        <v>57.240202500000009</v>
      </c>
      <c r="D636" s="4">
        <v>10</v>
      </c>
      <c r="E636" s="5" t="s">
        <v>10</v>
      </c>
      <c r="F636" s="4" t="s">
        <v>1604</v>
      </c>
      <c r="G636" s="4" t="s">
        <v>12</v>
      </c>
      <c r="H636" s="4" t="s">
        <v>1605</v>
      </c>
      <c r="I636" s="4" t="s">
        <v>22</v>
      </c>
      <c r="J636" s="4" t="s">
        <v>271</v>
      </c>
      <c r="K636" s="4" t="s">
        <v>1575</v>
      </c>
      <c r="M636">
        <f t="shared" si="20"/>
        <v>51.516182250000007</v>
      </c>
    </row>
    <row r="637" spans="1:25" ht="14" x14ac:dyDescent="0.2">
      <c r="A637" s="7" t="s">
        <v>5266</v>
      </c>
      <c r="B637" s="10">
        <v>221.86125000000001</v>
      </c>
      <c r="C637" s="5">
        <f t="shared" si="19"/>
        <v>110.93062500000001</v>
      </c>
      <c r="D637" s="9">
        <v>2</v>
      </c>
      <c r="E637" s="10" t="s">
        <v>5185</v>
      </c>
      <c r="F637" s="7" t="s">
        <v>1604</v>
      </c>
      <c r="G637" s="7" t="s">
        <v>12</v>
      </c>
      <c r="H637" s="7" t="s">
        <v>1604</v>
      </c>
      <c r="I637" s="4" t="s">
        <v>22</v>
      </c>
      <c r="J637" s="7" t="s">
        <v>5267</v>
      </c>
      <c r="K637" s="7" t="s">
        <v>1575</v>
      </c>
      <c r="L637" s="4"/>
      <c r="M637">
        <f t="shared" si="20"/>
        <v>99.837562500000004</v>
      </c>
      <c r="N637" s="3"/>
      <c r="O637" s="3"/>
      <c r="P637" s="3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" x14ac:dyDescent="0.2">
      <c r="A638" s="4" t="s">
        <v>1607</v>
      </c>
      <c r="B638" s="5">
        <v>1550.8101375000001</v>
      </c>
      <c r="C638" s="5">
        <f t="shared" si="19"/>
        <v>1550.8101375000001</v>
      </c>
      <c r="D638" s="4">
        <v>1</v>
      </c>
      <c r="E638" s="5" t="s">
        <v>175</v>
      </c>
      <c r="F638" s="4" t="s">
        <v>1608</v>
      </c>
      <c r="G638" s="4" t="s">
        <v>12</v>
      </c>
      <c r="H638" s="4" t="s">
        <v>1609</v>
      </c>
      <c r="I638" s="4" t="s">
        <v>22</v>
      </c>
      <c r="J638" s="4" t="s">
        <v>518</v>
      </c>
      <c r="K638" s="4" t="s">
        <v>179</v>
      </c>
      <c r="M638">
        <f t="shared" si="20"/>
        <v>1395.7291237500001</v>
      </c>
    </row>
    <row r="639" spans="1:25" ht="14" x14ac:dyDescent="0.2">
      <c r="A639" s="4" t="s">
        <v>1610</v>
      </c>
      <c r="B639" s="5">
        <v>2218.6125000000002</v>
      </c>
      <c r="C639" s="5">
        <f t="shared" si="19"/>
        <v>221.86125000000001</v>
      </c>
      <c r="D639" s="4">
        <v>10</v>
      </c>
      <c r="E639" s="5" t="s">
        <v>124</v>
      </c>
      <c r="F639" s="4" t="s">
        <v>1604</v>
      </c>
      <c r="G639" s="4" t="s">
        <v>12</v>
      </c>
      <c r="H639" s="4" t="s">
        <v>1605</v>
      </c>
      <c r="I639" s="4" t="s">
        <v>22</v>
      </c>
      <c r="J639" s="4" t="s">
        <v>198</v>
      </c>
      <c r="K639" s="4" t="s">
        <v>68</v>
      </c>
      <c r="M639">
        <f t="shared" si="20"/>
        <v>199.67512500000001</v>
      </c>
    </row>
    <row r="640" spans="1:25" ht="14" x14ac:dyDescent="0.2">
      <c r="A640" s="4" t="s">
        <v>1611</v>
      </c>
      <c r="B640" s="5">
        <v>3882.5718750000005</v>
      </c>
      <c r="C640" s="5">
        <f t="shared" si="19"/>
        <v>3882.5718750000005</v>
      </c>
      <c r="D640" s="4">
        <v>1</v>
      </c>
      <c r="E640" s="5" t="s">
        <v>55</v>
      </c>
      <c r="F640" s="4" t="s">
        <v>1612</v>
      </c>
      <c r="G640" s="4" t="s">
        <v>20</v>
      </c>
      <c r="H640" s="4" t="s">
        <v>1612</v>
      </c>
      <c r="I640" s="4" t="s">
        <v>22</v>
      </c>
      <c r="J640" s="4" t="s">
        <v>1613</v>
      </c>
      <c r="K640" s="4" t="s">
        <v>23</v>
      </c>
      <c r="M640">
        <f t="shared" si="20"/>
        <v>3494.3146875000002</v>
      </c>
    </row>
    <row r="641" spans="1:13" ht="14" x14ac:dyDescent="0.2">
      <c r="A641" s="4" t="s">
        <v>1614</v>
      </c>
      <c r="B641" s="5">
        <v>1386.6328125000002</v>
      </c>
      <c r="C641" s="5">
        <f t="shared" si="19"/>
        <v>1386.6328125000002</v>
      </c>
      <c r="D641" s="4">
        <v>1</v>
      </c>
      <c r="E641" s="5" t="s">
        <v>701</v>
      </c>
      <c r="F641" s="4" t="s">
        <v>1615</v>
      </c>
      <c r="G641" s="4" t="s">
        <v>12</v>
      </c>
      <c r="H641" s="4" t="s">
        <v>1615</v>
      </c>
      <c r="I641" s="4" t="s">
        <v>22</v>
      </c>
      <c r="J641" s="8">
        <v>4.2999999999999997E-2</v>
      </c>
      <c r="K641" s="4" t="s">
        <v>1555</v>
      </c>
      <c r="M641">
        <f t="shared" si="20"/>
        <v>1247.9695312500003</v>
      </c>
    </row>
    <row r="642" spans="1:13" ht="14" x14ac:dyDescent="0.2">
      <c r="A642" s="4" t="s">
        <v>1616</v>
      </c>
      <c r="B642" s="5">
        <v>1386.6328125000002</v>
      </c>
      <c r="C642" s="5">
        <f t="shared" si="19"/>
        <v>1386.6328125000002</v>
      </c>
      <c r="D642" s="4">
        <v>1</v>
      </c>
      <c r="E642" s="5" t="s">
        <v>296</v>
      </c>
      <c r="F642" s="4" t="s">
        <v>1615</v>
      </c>
      <c r="G642" s="4" t="s">
        <v>12</v>
      </c>
      <c r="H642" s="4" t="s">
        <v>1617</v>
      </c>
      <c r="I642" s="4" t="s">
        <v>22</v>
      </c>
      <c r="J642" s="6">
        <v>0.05</v>
      </c>
      <c r="K642" s="4" t="s">
        <v>16</v>
      </c>
      <c r="M642">
        <f t="shared" si="20"/>
        <v>1247.9695312500003</v>
      </c>
    </row>
    <row r="643" spans="1:13" ht="14" x14ac:dyDescent="0.2">
      <c r="A643" s="4" t="s">
        <v>1618</v>
      </c>
      <c r="B643" s="5">
        <v>1386.6328125000002</v>
      </c>
      <c r="C643" s="5">
        <f t="shared" ref="C643:C706" si="21">(B643/D643)</f>
        <v>1386.6328125000002</v>
      </c>
      <c r="D643" s="4">
        <v>1</v>
      </c>
      <c r="E643" s="5" t="s">
        <v>296</v>
      </c>
      <c r="F643" s="4" t="s">
        <v>1619</v>
      </c>
      <c r="G643" s="4" t="s">
        <v>12</v>
      </c>
      <c r="H643" s="4" t="s">
        <v>1618</v>
      </c>
      <c r="I643" s="4" t="s">
        <v>22</v>
      </c>
      <c r="J643" s="6">
        <v>0.05</v>
      </c>
      <c r="K643" s="4" t="s">
        <v>16</v>
      </c>
      <c r="M643">
        <f t="shared" si="20"/>
        <v>1247.9695312500003</v>
      </c>
    </row>
    <row r="644" spans="1:13" ht="14" x14ac:dyDescent="0.2">
      <c r="A644" s="4" t="s">
        <v>1620</v>
      </c>
      <c r="B644" s="5">
        <v>1386.6328125000002</v>
      </c>
      <c r="C644" s="5">
        <f t="shared" si="21"/>
        <v>1386.6328125000002</v>
      </c>
      <c r="D644" s="4">
        <v>1</v>
      </c>
      <c r="E644" s="5" t="s">
        <v>296</v>
      </c>
      <c r="F644" s="4" t="s">
        <v>1619</v>
      </c>
      <c r="G644" s="4" t="s">
        <v>12</v>
      </c>
      <c r="H644" s="4" t="s">
        <v>1620</v>
      </c>
      <c r="I644" s="4" t="s">
        <v>22</v>
      </c>
      <c r="J644" s="6">
        <v>0.05</v>
      </c>
      <c r="K644" s="4" t="s">
        <v>16</v>
      </c>
      <c r="M644">
        <f t="shared" si="20"/>
        <v>1247.9695312500003</v>
      </c>
    </row>
    <row r="645" spans="1:13" ht="14" x14ac:dyDescent="0.2">
      <c r="A645" s="4" t="s">
        <v>1621</v>
      </c>
      <c r="B645" s="5">
        <v>8874.4500000000007</v>
      </c>
      <c r="C645" s="5">
        <f t="shared" si="21"/>
        <v>88.744500000000002</v>
      </c>
      <c r="D645" s="4">
        <v>100</v>
      </c>
      <c r="E645" s="5" t="s">
        <v>10</v>
      </c>
      <c r="F645" s="4" t="s">
        <v>1622</v>
      </c>
      <c r="G645" s="4" t="s">
        <v>12</v>
      </c>
      <c r="H645" s="4" t="s">
        <v>1622</v>
      </c>
      <c r="I645" s="4" t="s">
        <v>22</v>
      </c>
      <c r="J645" s="4" t="s">
        <v>207</v>
      </c>
      <c r="K645" s="4" t="s">
        <v>16</v>
      </c>
      <c r="M645">
        <f t="shared" si="20"/>
        <v>79.870050000000006</v>
      </c>
    </row>
    <row r="646" spans="1:13" ht="14" x14ac:dyDescent="0.2">
      <c r="A646" s="4" t="s">
        <v>1623</v>
      </c>
      <c r="B646" s="5">
        <v>1127.0551500000001</v>
      </c>
      <c r="C646" s="5">
        <f t="shared" si="21"/>
        <v>112.70551500000002</v>
      </c>
      <c r="D646" s="4">
        <v>10</v>
      </c>
      <c r="E646" s="5" t="s">
        <v>10</v>
      </c>
      <c r="F646" s="4" t="s">
        <v>1624</v>
      </c>
      <c r="G646" s="4" t="s">
        <v>12</v>
      </c>
      <c r="H646" s="4" t="s">
        <v>1625</v>
      </c>
      <c r="I646" s="4" t="s">
        <v>22</v>
      </c>
      <c r="J646" s="4" t="s">
        <v>207</v>
      </c>
      <c r="K646" s="4" t="s">
        <v>16</v>
      </c>
      <c r="M646">
        <f t="shared" si="20"/>
        <v>101.43496350000001</v>
      </c>
    </row>
    <row r="647" spans="1:13" ht="14" x14ac:dyDescent="0.2">
      <c r="A647" s="4" t="s">
        <v>1626</v>
      </c>
      <c r="B647" s="5">
        <v>16084.940625000001</v>
      </c>
      <c r="C647" s="5">
        <f t="shared" si="21"/>
        <v>536.16468750000001</v>
      </c>
      <c r="D647" s="4">
        <v>30</v>
      </c>
      <c r="E647" s="5" t="s">
        <v>10</v>
      </c>
      <c r="F647" s="4" t="s">
        <v>1627</v>
      </c>
      <c r="G647" s="4" t="s">
        <v>12</v>
      </c>
      <c r="H647" s="4" t="s">
        <v>1628</v>
      </c>
      <c r="I647" s="4" t="s">
        <v>14</v>
      </c>
      <c r="J647" s="4" t="s">
        <v>548</v>
      </c>
      <c r="K647" s="4" t="s">
        <v>16</v>
      </c>
      <c r="M647">
        <f t="shared" si="20"/>
        <v>482.54821874999999</v>
      </c>
    </row>
    <row r="648" spans="1:13" ht="14" x14ac:dyDescent="0.2">
      <c r="A648" s="4" t="s">
        <v>1629</v>
      </c>
      <c r="B648" s="5">
        <v>19856.581875000003</v>
      </c>
      <c r="C648" s="5">
        <f t="shared" si="21"/>
        <v>661.88606250000009</v>
      </c>
      <c r="D648" s="4">
        <v>30</v>
      </c>
      <c r="E648" s="5" t="s">
        <v>10</v>
      </c>
      <c r="F648" s="4" t="s">
        <v>1627</v>
      </c>
      <c r="G648" s="4" t="s">
        <v>12</v>
      </c>
      <c r="H648" s="4" t="s">
        <v>1630</v>
      </c>
      <c r="I648" s="4" t="s">
        <v>14</v>
      </c>
      <c r="J648" s="4" t="s">
        <v>550</v>
      </c>
      <c r="K648" s="4" t="s">
        <v>16</v>
      </c>
      <c r="M648">
        <f t="shared" si="20"/>
        <v>595.69745625000007</v>
      </c>
    </row>
    <row r="649" spans="1:13" ht="14" x14ac:dyDescent="0.2">
      <c r="A649" s="4" t="s">
        <v>1631</v>
      </c>
      <c r="B649" s="5">
        <v>16417.732500000002</v>
      </c>
      <c r="C649" s="5">
        <f t="shared" si="21"/>
        <v>547.2577500000001</v>
      </c>
      <c r="D649" s="4">
        <v>30</v>
      </c>
      <c r="E649" s="5" t="s">
        <v>10</v>
      </c>
      <c r="F649" s="4" t="s">
        <v>1632</v>
      </c>
      <c r="G649" s="4" t="s">
        <v>12</v>
      </c>
      <c r="H649" s="4" t="s">
        <v>1630</v>
      </c>
      <c r="I649" s="4" t="s">
        <v>14</v>
      </c>
      <c r="J649" s="4" t="s">
        <v>497</v>
      </c>
      <c r="K649" s="4" t="s">
        <v>16</v>
      </c>
      <c r="M649">
        <f t="shared" si="20"/>
        <v>492.5319750000001</v>
      </c>
    </row>
    <row r="650" spans="1:13" ht="14" x14ac:dyDescent="0.2">
      <c r="A650" s="7" t="s">
        <v>5268</v>
      </c>
      <c r="B650" s="10">
        <v>776.51437500000009</v>
      </c>
      <c r="C650" s="5">
        <f t="shared" si="21"/>
        <v>77.651437500000014</v>
      </c>
      <c r="D650" s="9">
        <v>10</v>
      </c>
      <c r="E650" s="10" t="s">
        <v>5193</v>
      </c>
      <c r="F650" s="7" t="s">
        <v>5269</v>
      </c>
      <c r="H650" s="7" t="s">
        <v>5270</v>
      </c>
      <c r="I650" s="7" t="s">
        <v>22</v>
      </c>
      <c r="J650" s="7" t="s">
        <v>67</v>
      </c>
      <c r="K650" s="7" t="s">
        <v>90</v>
      </c>
      <c r="M650">
        <f t="shared" si="20"/>
        <v>69.886293750000007</v>
      </c>
    </row>
    <row r="651" spans="1:13" ht="14" x14ac:dyDescent="0.2">
      <c r="A651" s="4" t="s">
        <v>1633</v>
      </c>
      <c r="B651" s="5">
        <v>7667.524800000002</v>
      </c>
      <c r="C651" s="5">
        <f t="shared" si="21"/>
        <v>365.12022857142864</v>
      </c>
      <c r="D651" s="4">
        <v>21</v>
      </c>
      <c r="E651" s="5" t="s">
        <v>10</v>
      </c>
      <c r="F651" s="4" t="s">
        <v>1634</v>
      </c>
      <c r="G651" s="4" t="s">
        <v>12</v>
      </c>
      <c r="H651" s="4" t="s">
        <v>1635</v>
      </c>
      <c r="I651" s="4" t="s">
        <v>14</v>
      </c>
      <c r="K651" s="4" t="s">
        <v>68</v>
      </c>
      <c r="M651">
        <f t="shared" si="20"/>
        <v>328.60820571428576</v>
      </c>
    </row>
    <row r="652" spans="1:13" ht="14" x14ac:dyDescent="0.2">
      <c r="A652" s="4" t="s">
        <v>5271</v>
      </c>
      <c r="B652" s="5">
        <v>2551.4043750000001</v>
      </c>
      <c r="C652" s="5">
        <f t="shared" si="21"/>
        <v>2551.4043750000001</v>
      </c>
      <c r="D652" s="4">
        <v>1</v>
      </c>
      <c r="E652" s="5" t="s">
        <v>181</v>
      </c>
      <c r="F652" s="4" t="s">
        <v>1636</v>
      </c>
      <c r="G652" s="4" t="s">
        <v>20</v>
      </c>
      <c r="H652" s="4" t="s">
        <v>1637</v>
      </c>
      <c r="I652" s="4" t="s">
        <v>22</v>
      </c>
      <c r="K652" s="4" t="s">
        <v>406</v>
      </c>
      <c r="M652">
        <f t="shared" si="20"/>
        <v>2296.2639374999999</v>
      </c>
    </row>
    <row r="653" spans="1:13" ht="14" x14ac:dyDescent="0.2">
      <c r="A653" s="4" t="s">
        <v>1638</v>
      </c>
      <c r="B653" s="5">
        <v>3327.9187500000003</v>
      </c>
      <c r="C653" s="5">
        <f t="shared" si="21"/>
        <v>33.279187500000006</v>
      </c>
      <c r="D653" s="4">
        <v>100</v>
      </c>
      <c r="E653" s="5" t="s">
        <v>10</v>
      </c>
      <c r="F653" s="4" t="s">
        <v>1639</v>
      </c>
      <c r="G653" s="4" t="s">
        <v>12</v>
      </c>
      <c r="H653" s="4" t="s">
        <v>1640</v>
      </c>
      <c r="I653" s="4" t="s">
        <v>22</v>
      </c>
      <c r="J653" s="4" t="s">
        <v>200</v>
      </c>
      <c r="K653" s="4" t="s">
        <v>16</v>
      </c>
      <c r="M653">
        <f t="shared" si="20"/>
        <v>29.951268750000004</v>
      </c>
    </row>
    <row r="654" spans="1:13" ht="14" x14ac:dyDescent="0.2">
      <c r="A654" s="4" t="s">
        <v>1641</v>
      </c>
      <c r="B654" s="5">
        <v>332.791875</v>
      </c>
      <c r="C654" s="5">
        <f t="shared" si="21"/>
        <v>33.279187499999999</v>
      </c>
      <c r="D654" s="4">
        <v>10</v>
      </c>
      <c r="E654" s="5" t="s">
        <v>10</v>
      </c>
      <c r="F654" s="4" t="s">
        <v>1642</v>
      </c>
      <c r="G654" s="4" t="s">
        <v>12</v>
      </c>
      <c r="H654" s="4" t="s">
        <v>1642</v>
      </c>
      <c r="I654" s="4" t="s">
        <v>22</v>
      </c>
      <c r="J654" s="4" t="s">
        <v>200</v>
      </c>
      <c r="K654" s="4" t="s">
        <v>227</v>
      </c>
      <c r="M654">
        <f t="shared" si="20"/>
        <v>29.951268749999997</v>
      </c>
    </row>
    <row r="655" spans="1:13" ht="14" x14ac:dyDescent="0.2">
      <c r="A655" s="4" t="s">
        <v>1643</v>
      </c>
      <c r="B655" s="5">
        <v>665.58375000000001</v>
      </c>
      <c r="C655" s="5">
        <f t="shared" si="21"/>
        <v>66.558374999999998</v>
      </c>
      <c r="D655" s="4">
        <v>10</v>
      </c>
      <c r="E655" s="5" t="s">
        <v>10</v>
      </c>
      <c r="F655" s="4" t="s">
        <v>1642</v>
      </c>
      <c r="G655" s="4" t="s">
        <v>12</v>
      </c>
      <c r="H655" s="4" t="s">
        <v>1644</v>
      </c>
      <c r="I655" s="4" t="s">
        <v>22</v>
      </c>
      <c r="J655" s="4" t="s">
        <v>200</v>
      </c>
      <c r="K655" s="4" t="s">
        <v>227</v>
      </c>
      <c r="M655">
        <f t="shared" si="20"/>
        <v>59.902537499999994</v>
      </c>
    </row>
    <row r="656" spans="1:13" ht="14" x14ac:dyDescent="0.2">
      <c r="A656" s="4" t="s">
        <v>1645</v>
      </c>
      <c r="B656" s="5">
        <v>1941.2859375000003</v>
      </c>
      <c r="C656" s="5">
        <f t="shared" si="21"/>
        <v>1941.2859375000003</v>
      </c>
      <c r="D656" s="4">
        <v>1</v>
      </c>
      <c r="E656" s="5" t="s">
        <v>175</v>
      </c>
      <c r="F656" s="4" t="s">
        <v>1268</v>
      </c>
      <c r="G656" s="4" t="s">
        <v>20</v>
      </c>
      <c r="H656" s="4" t="s">
        <v>1268</v>
      </c>
      <c r="I656" s="4" t="s">
        <v>22</v>
      </c>
      <c r="J656" s="8">
        <v>1E-3</v>
      </c>
      <c r="K656" s="4" t="s">
        <v>87</v>
      </c>
      <c r="M656">
        <f t="shared" si="20"/>
        <v>1747.1573437500001</v>
      </c>
    </row>
    <row r="657" spans="1:25" ht="14" x14ac:dyDescent="0.2">
      <c r="A657" s="4" t="s">
        <v>1646</v>
      </c>
      <c r="B657" s="5">
        <v>1663.9593750000001</v>
      </c>
      <c r="C657" s="5">
        <f t="shared" si="21"/>
        <v>1663.9593750000001</v>
      </c>
      <c r="D657" s="4">
        <v>1</v>
      </c>
      <c r="E657" s="5" t="s">
        <v>874</v>
      </c>
      <c r="F657" s="4" t="s">
        <v>1268</v>
      </c>
      <c r="G657" s="4" t="s">
        <v>20</v>
      </c>
      <c r="H657" s="4" t="s">
        <v>1647</v>
      </c>
      <c r="I657" s="4" t="s">
        <v>22</v>
      </c>
      <c r="J657" s="8">
        <v>1.1599999999999999E-2</v>
      </c>
      <c r="K657" s="4" t="s">
        <v>87</v>
      </c>
      <c r="M657">
        <f t="shared" si="20"/>
        <v>1497.5634375000002</v>
      </c>
    </row>
    <row r="658" spans="1:25" ht="14" x14ac:dyDescent="0.2">
      <c r="A658" s="4" t="s">
        <v>1648</v>
      </c>
      <c r="B658" s="5">
        <v>1331.1675</v>
      </c>
      <c r="C658" s="5">
        <f t="shared" si="21"/>
        <v>110.93062500000001</v>
      </c>
      <c r="D658" s="4">
        <v>12</v>
      </c>
      <c r="E658" s="5" t="s">
        <v>10</v>
      </c>
      <c r="F658" s="4" t="s">
        <v>1649</v>
      </c>
      <c r="G658" s="4" t="s">
        <v>20</v>
      </c>
      <c r="H658" s="4" t="s">
        <v>1649</v>
      </c>
      <c r="I658" s="4" t="s">
        <v>22</v>
      </c>
      <c r="J658" s="4" t="s">
        <v>78</v>
      </c>
      <c r="K658" s="4" t="s">
        <v>87</v>
      </c>
      <c r="M658">
        <f t="shared" si="20"/>
        <v>99.837562500000004</v>
      </c>
    </row>
    <row r="659" spans="1:25" ht="14" x14ac:dyDescent="0.2">
      <c r="A659" s="4" t="s">
        <v>1650</v>
      </c>
      <c r="B659" s="5">
        <v>44039.458125000005</v>
      </c>
      <c r="C659" s="5">
        <f t="shared" si="21"/>
        <v>440.39458125000004</v>
      </c>
      <c r="D659" s="4">
        <v>100</v>
      </c>
      <c r="E659" s="5" t="s">
        <v>10</v>
      </c>
      <c r="F659" s="4" t="s">
        <v>1651</v>
      </c>
      <c r="G659" s="4" t="s">
        <v>20</v>
      </c>
      <c r="H659" s="4" t="s">
        <v>1652</v>
      </c>
      <c r="I659" s="4" t="s">
        <v>22</v>
      </c>
      <c r="J659" s="4" t="s">
        <v>1653</v>
      </c>
      <c r="K659" s="4" t="s">
        <v>87</v>
      </c>
      <c r="M659">
        <f t="shared" si="20"/>
        <v>396.35512312500003</v>
      </c>
    </row>
    <row r="660" spans="1:25" ht="14" x14ac:dyDescent="0.2">
      <c r="A660" s="4" t="s">
        <v>1654</v>
      </c>
      <c r="B660" s="5">
        <v>2773.2656250000005</v>
      </c>
      <c r="C660" s="5">
        <f t="shared" si="21"/>
        <v>2773.2656250000005</v>
      </c>
      <c r="D660" s="4">
        <v>1</v>
      </c>
      <c r="E660" s="5" t="s">
        <v>1212</v>
      </c>
      <c r="F660" s="4" t="s">
        <v>1655</v>
      </c>
      <c r="G660" s="4" t="s">
        <v>20</v>
      </c>
      <c r="H660" s="4" t="s">
        <v>1656</v>
      </c>
      <c r="I660" s="4" t="s">
        <v>22</v>
      </c>
      <c r="J660" s="8">
        <v>1E-3</v>
      </c>
      <c r="K660" s="5" t="s">
        <v>244</v>
      </c>
      <c r="M660">
        <f t="shared" si="20"/>
        <v>2495.9390625000005</v>
      </c>
    </row>
    <row r="661" spans="1:25" ht="14" x14ac:dyDescent="0.2">
      <c r="A661" s="4" t="s">
        <v>1657</v>
      </c>
      <c r="B661" s="5">
        <v>6101.1843750000007</v>
      </c>
      <c r="C661" s="5">
        <f t="shared" si="21"/>
        <v>61.011843750000004</v>
      </c>
      <c r="D661" s="4">
        <v>100</v>
      </c>
      <c r="E661" s="5" t="s">
        <v>10</v>
      </c>
      <c r="F661" s="4" t="s">
        <v>1658</v>
      </c>
      <c r="G661" s="4" t="s">
        <v>20</v>
      </c>
      <c r="H661" s="4" t="s">
        <v>1659</v>
      </c>
      <c r="I661" s="4" t="s">
        <v>22</v>
      </c>
      <c r="J661" s="4" t="s">
        <v>78</v>
      </c>
      <c r="K661" s="4" t="s">
        <v>87</v>
      </c>
      <c r="M661">
        <f t="shared" si="20"/>
        <v>54.910659375000002</v>
      </c>
    </row>
    <row r="662" spans="1:25" ht="14" x14ac:dyDescent="0.2">
      <c r="A662" s="4" t="s">
        <v>1660</v>
      </c>
      <c r="B662" s="5">
        <v>1331.1675</v>
      </c>
      <c r="C662" s="5">
        <f t="shared" si="21"/>
        <v>133.11675</v>
      </c>
      <c r="D662" s="4">
        <v>10</v>
      </c>
      <c r="E662" s="5" t="s">
        <v>124</v>
      </c>
      <c r="F662" s="4" t="s">
        <v>1268</v>
      </c>
      <c r="G662" s="4" t="s">
        <v>20</v>
      </c>
      <c r="H662" s="4" t="s">
        <v>1268</v>
      </c>
      <c r="I662" s="4" t="s">
        <v>22</v>
      </c>
      <c r="J662" s="4" t="s">
        <v>397</v>
      </c>
      <c r="K662" s="4" t="s">
        <v>87</v>
      </c>
      <c r="M662">
        <f t="shared" si="20"/>
        <v>119.80507499999999</v>
      </c>
    </row>
    <row r="663" spans="1:25" ht="14" x14ac:dyDescent="0.2">
      <c r="A663" s="4" t="s">
        <v>1661</v>
      </c>
      <c r="B663" s="5">
        <v>2884.1962500000004</v>
      </c>
      <c r="C663" s="5">
        <f t="shared" si="21"/>
        <v>288.41962500000005</v>
      </c>
      <c r="D663" s="4">
        <v>10</v>
      </c>
      <c r="E663" s="5" t="s">
        <v>257</v>
      </c>
      <c r="F663" s="4" t="s">
        <v>1661</v>
      </c>
      <c r="G663" s="4" t="s">
        <v>20</v>
      </c>
      <c r="H663" s="4" t="s">
        <v>1661</v>
      </c>
      <c r="I663" s="4" t="s">
        <v>22</v>
      </c>
      <c r="J663" s="4" t="s">
        <v>1172</v>
      </c>
      <c r="K663" s="4" t="s">
        <v>25</v>
      </c>
      <c r="M663">
        <f t="shared" si="20"/>
        <v>259.57766250000003</v>
      </c>
    </row>
    <row r="664" spans="1:25" ht="14" x14ac:dyDescent="0.2">
      <c r="A664" s="7" t="s">
        <v>5272</v>
      </c>
      <c r="B664" s="10">
        <v>14420.981250000001</v>
      </c>
      <c r="C664" s="5">
        <f t="shared" si="21"/>
        <v>721.04906249999999</v>
      </c>
      <c r="D664" s="9">
        <v>20</v>
      </c>
      <c r="E664" s="10" t="s">
        <v>5273</v>
      </c>
      <c r="F664" s="7" t="s">
        <v>1268</v>
      </c>
      <c r="G664" s="7" t="s">
        <v>20</v>
      </c>
      <c r="H664" s="7" t="s">
        <v>1268</v>
      </c>
      <c r="I664" s="4" t="s">
        <v>22</v>
      </c>
      <c r="J664" s="7" t="s">
        <v>78</v>
      </c>
      <c r="K664" s="7" t="s">
        <v>87</v>
      </c>
      <c r="L664" s="4"/>
      <c r="M664">
        <f t="shared" si="20"/>
        <v>648.94415624999999</v>
      </c>
      <c r="N664" s="3"/>
      <c r="O664" s="3"/>
      <c r="P664" s="3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" x14ac:dyDescent="0.2">
      <c r="A665" s="4" t="s">
        <v>1662</v>
      </c>
      <c r="B665" s="5">
        <v>2884.1962500000004</v>
      </c>
      <c r="C665" s="5">
        <f t="shared" si="21"/>
        <v>288.41962500000005</v>
      </c>
      <c r="D665" s="4">
        <v>10</v>
      </c>
      <c r="E665" s="5" t="s">
        <v>257</v>
      </c>
      <c r="F665" s="4" t="s">
        <v>1663</v>
      </c>
      <c r="G665" s="4" t="s">
        <v>20</v>
      </c>
      <c r="H665" s="4" t="s">
        <v>1662</v>
      </c>
      <c r="I665" s="4" t="s">
        <v>22</v>
      </c>
      <c r="J665" s="4" t="s">
        <v>1172</v>
      </c>
      <c r="K665" s="4" t="s">
        <v>25</v>
      </c>
      <c r="M665">
        <f t="shared" si="20"/>
        <v>259.57766250000003</v>
      </c>
    </row>
    <row r="666" spans="1:25" ht="14" x14ac:dyDescent="0.2">
      <c r="A666" s="4" t="s">
        <v>1664</v>
      </c>
      <c r="B666" s="5">
        <v>3272.4534375000003</v>
      </c>
      <c r="C666" s="5">
        <f t="shared" si="21"/>
        <v>3272.4534375000003</v>
      </c>
      <c r="D666" s="4">
        <v>1</v>
      </c>
      <c r="E666" s="5" t="s">
        <v>874</v>
      </c>
      <c r="F666" s="4" t="s">
        <v>1268</v>
      </c>
      <c r="G666" s="4" t="s">
        <v>20</v>
      </c>
      <c r="H666" s="4" t="s">
        <v>1664</v>
      </c>
      <c r="I666" s="4" t="s">
        <v>22</v>
      </c>
      <c r="J666" s="4" t="s">
        <v>1665</v>
      </c>
      <c r="K666" s="4" t="s">
        <v>87</v>
      </c>
      <c r="M666">
        <f t="shared" si="20"/>
        <v>2945.2080937500004</v>
      </c>
    </row>
    <row r="667" spans="1:25" ht="14" x14ac:dyDescent="0.2">
      <c r="A667" s="4" t="s">
        <v>1666</v>
      </c>
      <c r="B667" s="5">
        <v>1331.1675</v>
      </c>
      <c r="C667" s="5">
        <f t="shared" si="21"/>
        <v>66.558374999999998</v>
      </c>
      <c r="D667" s="4">
        <v>20</v>
      </c>
      <c r="E667" s="5" t="s">
        <v>10</v>
      </c>
      <c r="F667" s="4" t="s">
        <v>1268</v>
      </c>
      <c r="G667" s="4" t="s">
        <v>20</v>
      </c>
      <c r="H667" s="4" t="s">
        <v>1667</v>
      </c>
      <c r="I667" s="4" t="s">
        <v>22</v>
      </c>
      <c r="J667" s="4" t="s">
        <v>78</v>
      </c>
      <c r="K667" s="4" t="s">
        <v>87</v>
      </c>
      <c r="M667">
        <f t="shared" si="20"/>
        <v>59.902537499999994</v>
      </c>
    </row>
    <row r="668" spans="1:25" ht="14" x14ac:dyDescent="0.2">
      <c r="A668" s="4" t="s">
        <v>1668</v>
      </c>
      <c r="B668" s="5">
        <v>1750.4852625000003</v>
      </c>
      <c r="C668" s="5">
        <f t="shared" si="21"/>
        <v>1750.4852625000003</v>
      </c>
      <c r="D668" s="4">
        <v>1</v>
      </c>
      <c r="E668" s="5" t="s">
        <v>175</v>
      </c>
      <c r="F668" s="4" t="s">
        <v>1268</v>
      </c>
      <c r="G668" s="4" t="s">
        <v>20</v>
      </c>
      <c r="H668" s="4" t="s">
        <v>1669</v>
      </c>
      <c r="I668" s="4" t="s">
        <v>22</v>
      </c>
      <c r="J668" s="4">
        <v>0.15</v>
      </c>
      <c r="K668" s="4" t="s">
        <v>87</v>
      </c>
      <c r="M668">
        <f t="shared" si="20"/>
        <v>1575.4367362500002</v>
      </c>
    </row>
    <row r="669" spans="1:25" ht="14" x14ac:dyDescent="0.2">
      <c r="A669" s="4" t="s">
        <v>1670</v>
      </c>
      <c r="B669" s="5">
        <v>2773.2656250000005</v>
      </c>
      <c r="C669" s="5">
        <f t="shared" si="21"/>
        <v>2773.2656250000005</v>
      </c>
      <c r="D669" s="4">
        <v>1</v>
      </c>
      <c r="E669" s="5" t="s">
        <v>1212</v>
      </c>
      <c r="F669" s="4" t="s">
        <v>1655</v>
      </c>
      <c r="G669" s="4" t="s">
        <v>20</v>
      </c>
      <c r="H669" s="4" t="s">
        <v>1670</v>
      </c>
      <c r="I669" s="4" t="s">
        <v>22</v>
      </c>
      <c r="J669" s="8">
        <v>1E-3</v>
      </c>
      <c r="K669" s="5" t="s">
        <v>244</v>
      </c>
      <c r="M669">
        <f t="shared" ref="M669:M732" si="22">C669-(C669* 10%)</f>
        <v>2495.9390625000005</v>
      </c>
    </row>
    <row r="670" spans="1:25" ht="14" x14ac:dyDescent="0.2">
      <c r="A670" s="7" t="s">
        <v>5274</v>
      </c>
      <c r="B670" s="10">
        <v>26512.419375000001</v>
      </c>
      <c r="C670" s="5">
        <f t="shared" si="21"/>
        <v>26512.419375000001</v>
      </c>
      <c r="D670" s="9">
        <v>1</v>
      </c>
      <c r="E670" s="10" t="s">
        <v>5275</v>
      </c>
      <c r="F670" s="7" t="s">
        <v>5276</v>
      </c>
      <c r="G670" s="7" t="s">
        <v>20</v>
      </c>
      <c r="H670" s="7" t="s">
        <v>5277</v>
      </c>
      <c r="I670" s="4" t="s">
        <v>22</v>
      </c>
      <c r="J670" s="7" t="s">
        <v>895</v>
      </c>
      <c r="K670" s="7" t="s">
        <v>219</v>
      </c>
      <c r="L670" s="4"/>
      <c r="M670">
        <f t="shared" si="22"/>
        <v>23861.177437500002</v>
      </c>
      <c r="N670" s="3"/>
      <c r="O670" s="3"/>
      <c r="P670" s="3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" x14ac:dyDescent="0.2">
      <c r="A671" s="4" t="s">
        <v>1671</v>
      </c>
      <c r="B671" s="5">
        <v>8319.796875</v>
      </c>
      <c r="C671" s="5">
        <f t="shared" si="21"/>
        <v>2773.265625</v>
      </c>
      <c r="D671" s="4">
        <v>3</v>
      </c>
      <c r="E671" s="5" t="s">
        <v>10</v>
      </c>
      <c r="F671" s="4" t="s">
        <v>1672</v>
      </c>
      <c r="G671" s="4" t="s">
        <v>20</v>
      </c>
      <c r="H671" s="4" t="s">
        <v>1673</v>
      </c>
      <c r="I671" s="4" t="s">
        <v>14</v>
      </c>
      <c r="J671" s="4" t="s">
        <v>481</v>
      </c>
      <c r="K671" s="4" t="s">
        <v>103</v>
      </c>
      <c r="M671">
        <f t="shared" si="22"/>
        <v>2495.9390625000001</v>
      </c>
    </row>
    <row r="672" spans="1:25" ht="14" x14ac:dyDescent="0.2">
      <c r="A672" s="4" t="s">
        <v>1674</v>
      </c>
      <c r="B672" s="5">
        <v>5324.67</v>
      </c>
      <c r="C672" s="5">
        <f t="shared" si="21"/>
        <v>190.16678571428571</v>
      </c>
      <c r="D672" s="4">
        <v>28</v>
      </c>
      <c r="E672" s="5" t="s">
        <v>10</v>
      </c>
      <c r="F672" s="4" t="s">
        <v>1675</v>
      </c>
      <c r="G672" s="4" t="s">
        <v>12</v>
      </c>
      <c r="H672" s="4" t="s">
        <v>1675</v>
      </c>
      <c r="I672" s="4" t="s">
        <v>22</v>
      </c>
      <c r="J672" s="4" t="s">
        <v>1676</v>
      </c>
      <c r="K672" s="4" t="s">
        <v>312</v>
      </c>
      <c r="M672">
        <f t="shared" si="22"/>
        <v>171.15010714285714</v>
      </c>
    </row>
    <row r="673" spans="1:13" ht="14" x14ac:dyDescent="0.2">
      <c r="A673" s="4" t="s">
        <v>1677</v>
      </c>
      <c r="B673" s="5">
        <v>6165.5241375000005</v>
      </c>
      <c r="C673" s="5">
        <f t="shared" si="21"/>
        <v>220.19729062500002</v>
      </c>
      <c r="D673" s="4">
        <v>28</v>
      </c>
      <c r="E673" s="5" t="s">
        <v>10</v>
      </c>
      <c r="F673" s="4" t="s">
        <v>1675</v>
      </c>
      <c r="G673" s="4" t="s">
        <v>12</v>
      </c>
      <c r="H673" s="4" t="s">
        <v>1675</v>
      </c>
      <c r="I673" s="4" t="s">
        <v>22</v>
      </c>
      <c r="J673" s="4" t="s">
        <v>1678</v>
      </c>
      <c r="K673" s="4" t="s">
        <v>312</v>
      </c>
      <c r="M673">
        <f t="shared" si="22"/>
        <v>198.17756156250002</v>
      </c>
    </row>
    <row r="674" spans="1:13" ht="14" x14ac:dyDescent="0.2">
      <c r="A674" s="4" t="s">
        <v>1679</v>
      </c>
      <c r="B674" s="5">
        <v>4073.372550000001</v>
      </c>
      <c r="C674" s="5">
        <f t="shared" si="21"/>
        <v>407.33725500000008</v>
      </c>
      <c r="D674" s="4">
        <v>10</v>
      </c>
      <c r="E674" s="5" t="s">
        <v>10</v>
      </c>
      <c r="F674" s="4" t="s">
        <v>1680</v>
      </c>
      <c r="G674" s="4" t="s">
        <v>12</v>
      </c>
      <c r="H674" s="4" t="s">
        <v>1680</v>
      </c>
      <c r="I674" s="4" t="s">
        <v>22</v>
      </c>
      <c r="J674" s="4" t="s">
        <v>548</v>
      </c>
      <c r="K674" s="4" t="s">
        <v>87</v>
      </c>
      <c r="M674">
        <f t="shared" si="22"/>
        <v>366.60352950000009</v>
      </c>
    </row>
    <row r="675" spans="1:13" ht="14" x14ac:dyDescent="0.2">
      <c r="A675" s="4" t="s">
        <v>1681</v>
      </c>
      <c r="B675" s="5">
        <v>8319.796875</v>
      </c>
      <c r="C675" s="5">
        <f t="shared" si="21"/>
        <v>277.32656250000002</v>
      </c>
      <c r="D675" s="4">
        <v>30</v>
      </c>
      <c r="E675" s="5" t="s">
        <v>10</v>
      </c>
      <c r="F675" s="4" t="s">
        <v>1682</v>
      </c>
      <c r="G675" s="4" t="s">
        <v>12</v>
      </c>
      <c r="H675" s="4" t="s">
        <v>1682</v>
      </c>
      <c r="I675" s="4" t="s">
        <v>22</v>
      </c>
      <c r="J675" s="4" t="s">
        <v>481</v>
      </c>
      <c r="K675" s="4" t="s">
        <v>219</v>
      </c>
      <c r="M675">
        <f t="shared" si="22"/>
        <v>249.59390625000003</v>
      </c>
    </row>
    <row r="676" spans="1:13" ht="14" x14ac:dyDescent="0.2">
      <c r="A676" s="4" t="s">
        <v>1683</v>
      </c>
      <c r="B676" s="5">
        <v>38825.71875</v>
      </c>
      <c r="C676" s="5">
        <f t="shared" si="21"/>
        <v>1386.6328125</v>
      </c>
      <c r="D676" s="4">
        <v>28</v>
      </c>
      <c r="E676" s="5" t="s">
        <v>10</v>
      </c>
      <c r="F676" s="4" t="s">
        <v>1684</v>
      </c>
      <c r="G676" s="4" t="s">
        <v>12</v>
      </c>
      <c r="H676" s="4" t="s">
        <v>1685</v>
      </c>
      <c r="I676" s="4" t="s">
        <v>14</v>
      </c>
      <c r="J676" s="4" t="s">
        <v>1686</v>
      </c>
      <c r="K676" s="4" t="s">
        <v>90</v>
      </c>
      <c r="M676">
        <f t="shared" si="22"/>
        <v>1247.96953125</v>
      </c>
    </row>
    <row r="677" spans="1:13" ht="14" x14ac:dyDescent="0.2">
      <c r="A677" s="4" t="s">
        <v>1687</v>
      </c>
      <c r="B677" s="5">
        <v>38271.065625000003</v>
      </c>
      <c r="C677" s="5">
        <f t="shared" si="21"/>
        <v>1366.8237723214286</v>
      </c>
      <c r="D677" s="4">
        <v>28</v>
      </c>
      <c r="E677" s="5" t="s">
        <v>10</v>
      </c>
      <c r="F677" s="4" t="s">
        <v>1684</v>
      </c>
      <c r="G677" s="4" t="s">
        <v>12</v>
      </c>
      <c r="H677" s="4" t="s">
        <v>1685</v>
      </c>
      <c r="I677" s="4" t="s">
        <v>14</v>
      </c>
      <c r="J677" s="4" t="s">
        <v>1370</v>
      </c>
      <c r="K677" s="4" t="s">
        <v>90</v>
      </c>
      <c r="M677">
        <f t="shared" si="22"/>
        <v>1230.1413950892857</v>
      </c>
    </row>
    <row r="678" spans="1:13" ht="14" x14ac:dyDescent="0.2">
      <c r="A678" s="4" t="s">
        <v>1688</v>
      </c>
      <c r="B678" s="5">
        <v>39380.371875000004</v>
      </c>
      <c r="C678" s="5">
        <f t="shared" si="21"/>
        <v>1406.4418526785716</v>
      </c>
      <c r="D678" s="4">
        <v>28</v>
      </c>
      <c r="E678" s="5" t="s">
        <v>10</v>
      </c>
      <c r="F678" s="4" t="s">
        <v>1684</v>
      </c>
      <c r="G678" s="4" t="s">
        <v>12</v>
      </c>
      <c r="H678" s="4" t="s">
        <v>1685</v>
      </c>
      <c r="I678" s="4" t="s">
        <v>14</v>
      </c>
      <c r="J678" s="4" t="s">
        <v>497</v>
      </c>
      <c r="K678" s="4" t="s">
        <v>90</v>
      </c>
      <c r="M678">
        <f t="shared" si="22"/>
        <v>1265.7976674107144</v>
      </c>
    </row>
    <row r="679" spans="1:13" ht="14" x14ac:dyDescent="0.2">
      <c r="A679" s="4" t="s">
        <v>1689</v>
      </c>
      <c r="B679" s="5">
        <v>15419.356875000001</v>
      </c>
      <c r="C679" s="5">
        <f t="shared" si="21"/>
        <v>15419.356875000001</v>
      </c>
      <c r="D679" s="4">
        <v>1</v>
      </c>
      <c r="E679" s="5" t="s">
        <v>55</v>
      </c>
      <c r="F679" s="4" t="s">
        <v>1690</v>
      </c>
      <c r="G679" s="4" t="s">
        <v>12</v>
      </c>
      <c r="H679" s="4" t="s">
        <v>1691</v>
      </c>
      <c r="I679" s="4" t="s">
        <v>14</v>
      </c>
      <c r="J679" s="4" t="s">
        <v>1692</v>
      </c>
      <c r="K679" s="4" t="s">
        <v>23</v>
      </c>
      <c r="M679">
        <f t="shared" si="22"/>
        <v>13877.4211875</v>
      </c>
    </row>
    <row r="680" spans="1:13" ht="14" x14ac:dyDescent="0.2">
      <c r="A680" s="4" t="s">
        <v>1693</v>
      </c>
      <c r="B680" s="5">
        <v>3106.0575000000003</v>
      </c>
      <c r="C680" s="5">
        <f t="shared" si="21"/>
        <v>310.60575000000006</v>
      </c>
      <c r="D680" s="4">
        <v>10</v>
      </c>
      <c r="E680" s="5" t="s">
        <v>10</v>
      </c>
      <c r="F680" s="4" t="s">
        <v>1694</v>
      </c>
      <c r="G680" s="4" t="s">
        <v>12</v>
      </c>
      <c r="H680" s="4" t="s">
        <v>1695</v>
      </c>
      <c r="I680" s="4" t="s">
        <v>14</v>
      </c>
      <c r="J680" s="4" t="s">
        <v>1696</v>
      </c>
      <c r="K680" s="4" t="s">
        <v>812</v>
      </c>
      <c r="M680">
        <f t="shared" si="22"/>
        <v>279.54517500000003</v>
      </c>
    </row>
    <row r="681" spans="1:13" ht="14" x14ac:dyDescent="0.2">
      <c r="A681" s="4" t="s">
        <v>1697</v>
      </c>
      <c r="B681" s="5">
        <v>4991.8781250000002</v>
      </c>
      <c r="C681" s="5">
        <f t="shared" si="21"/>
        <v>49.918781250000002</v>
      </c>
      <c r="D681" s="4">
        <v>100</v>
      </c>
      <c r="E681" s="5" t="s">
        <v>10</v>
      </c>
      <c r="F681" s="4" t="s">
        <v>1698</v>
      </c>
      <c r="G681" s="4" t="s">
        <v>20</v>
      </c>
      <c r="H681" s="4" t="s">
        <v>1699</v>
      </c>
      <c r="I681" s="4" t="s">
        <v>22</v>
      </c>
      <c r="J681" s="4" t="s">
        <v>78</v>
      </c>
      <c r="K681" s="4" t="s">
        <v>87</v>
      </c>
      <c r="M681">
        <f t="shared" si="22"/>
        <v>44.926903125000003</v>
      </c>
    </row>
    <row r="682" spans="1:13" ht="14" x14ac:dyDescent="0.2">
      <c r="A682" s="4" t="s">
        <v>1700</v>
      </c>
      <c r="B682" s="5">
        <v>1708.331625</v>
      </c>
      <c r="C682" s="5">
        <f t="shared" si="21"/>
        <v>170.83316250000001</v>
      </c>
      <c r="D682" s="4">
        <v>10</v>
      </c>
      <c r="E682" s="5" t="s">
        <v>10</v>
      </c>
      <c r="F682" s="4" t="s">
        <v>1701</v>
      </c>
      <c r="G682" s="4" t="s">
        <v>20</v>
      </c>
      <c r="H682" s="4" t="s">
        <v>1702</v>
      </c>
      <c r="I682" s="4" t="s">
        <v>22</v>
      </c>
      <c r="K682" s="4" t="s">
        <v>87</v>
      </c>
      <c r="M682">
        <f t="shared" si="22"/>
        <v>153.74984625000002</v>
      </c>
    </row>
    <row r="683" spans="1:13" ht="14" x14ac:dyDescent="0.2">
      <c r="A683" s="4" t="s">
        <v>1703</v>
      </c>
      <c r="B683" s="5">
        <v>1386.6328125000002</v>
      </c>
      <c r="C683" s="5">
        <f t="shared" si="21"/>
        <v>138.66328125000001</v>
      </c>
      <c r="D683" s="4">
        <v>10</v>
      </c>
      <c r="E683" s="5" t="s">
        <v>10</v>
      </c>
      <c r="F683" s="4" t="s">
        <v>1704</v>
      </c>
      <c r="G683" s="4" t="s">
        <v>20</v>
      </c>
      <c r="H683" s="4" t="s">
        <v>1705</v>
      </c>
      <c r="I683" s="4" t="s">
        <v>22</v>
      </c>
      <c r="J683" s="4" t="s">
        <v>25</v>
      </c>
      <c r="K683" s="4" t="s">
        <v>87</v>
      </c>
      <c r="M683">
        <f t="shared" si="22"/>
        <v>124.79695312500002</v>
      </c>
    </row>
    <row r="684" spans="1:13" ht="14" x14ac:dyDescent="0.2">
      <c r="A684" s="4" t="s">
        <v>1706</v>
      </c>
      <c r="B684" s="5">
        <v>3071.6690062500002</v>
      </c>
      <c r="C684" s="5">
        <f t="shared" si="21"/>
        <v>102.38896687500001</v>
      </c>
      <c r="D684" s="4">
        <v>30</v>
      </c>
      <c r="E684" s="5" t="s">
        <v>10</v>
      </c>
      <c r="F684" s="4" t="s">
        <v>1707</v>
      </c>
      <c r="G684" s="4" t="s">
        <v>12</v>
      </c>
      <c r="H684" s="4" t="s">
        <v>1708</v>
      </c>
      <c r="I684" s="4" t="s">
        <v>22</v>
      </c>
      <c r="J684" s="4" t="s">
        <v>548</v>
      </c>
      <c r="K684" s="4" t="s">
        <v>87</v>
      </c>
      <c r="M684">
        <f t="shared" si="22"/>
        <v>92.150070187500006</v>
      </c>
    </row>
    <row r="685" spans="1:13" ht="14" x14ac:dyDescent="0.2">
      <c r="A685" s="4" t="s">
        <v>1709</v>
      </c>
      <c r="B685" s="5">
        <v>2329.5431250000001</v>
      </c>
      <c r="C685" s="5">
        <f t="shared" si="21"/>
        <v>232.95431250000001</v>
      </c>
      <c r="D685" s="4">
        <v>10</v>
      </c>
      <c r="E685" s="5" t="s">
        <v>10</v>
      </c>
      <c r="F685" s="4" t="s">
        <v>1709</v>
      </c>
      <c r="G685" s="4" t="s">
        <v>20</v>
      </c>
      <c r="H685" s="4" t="s">
        <v>1710</v>
      </c>
      <c r="I685" s="4" t="s">
        <v>22</v>
      </c>
      <c r="J685" s="4" t="s">
        <v>1696</v>
      </c>
      <c r="K685" s="4" t="s">
        <v>406</v>
      </c>
      <c r="M685">
        <f t="shared" si="22"/>
        <v>209.65888125000001</v>
      </c>
    </row>
    <row r="686" spans="1:13" ht="14" x14ac:dyDescent="0.2">
      <c r="A686" s="4" t="s">
        <v>1711</v>
      </c>
      <c r="B686" s="5">
        <v>1331.1675</v>
      </c>
      <c r="C686" s="5">
        <f t="shared" si="21"/>
        <v>133.11675</v>
      </c>
      <c r="D686" s="4">
        <v>10</v>
      </c>
      <c r="E686" s="5" t="s">
        <v>10</v>
      </c>
      <c r="F686" s="4" t="s">
        <v>1712</v>
      </c>
      <c r="G686" s="4" t="s">
        <v>20</v>
      </c>
      <c r="H686" s="4" t="s">
        <v>1713</v>
      </c>
      <c r="I686" s="4" t="s">
        <v>22</v>
      </c>
      <c r="J686" s="4" t="s">
        <v>1696</v>
      </c>
      <c r="K686" s="4" t="s">
        <v>406</v>
      </c>
      <c r="M686">
        <f t="shared" si="22"/>
        <v>119.80507499999999</v>
      </c>
    </row>
    <row r="687" spans="1:13" ht="14" x14ac:dyDescent="0.2">
      <c r="A687" s="4" t="s">
        <v>1714</v>
      </c>
      <c r="B687" s="5">
        <v>8430.7275000000009</v>
      </c>
      <c r="C687" s="5">
        <f t="shared" si="21"/>
        <v>281.02425000000005</v>
      </c>
      <c r="D687" s="4">
        <v>30</v>
      </c>
      <c r="E687" s="5" t="s">
        <v>10</v>
      </c>
      <c r="F687" s="4" t="s">
        <v>1715</v>
      </c>
      <c r="G687" s="4" t="s">
        <v>12</v>
      </c>
      <c r="H687" s="4" t="s">
        <v>1715</v>
      </c>
      <c r="I687" s="4" t="s">
        <v>22</v>
      </c>
      <c r="J687" s="4" t="s">
        <v>146</v>
      </c>
      <c r="K687" s="4" t="s">
        <v>227</v>
      </c>
      <c r="M687">
        <f t="shared" si="22"/>
        <v>252.92182500000004</v>
      </c>
    </row>
    <row r="688" spans="1:13" ht="14" x14ac:dyDescent="0.2">
      <c r="A688" s="4" t="s">
        <v>1716</v>
      </c>
      <c r="B688" s="5">
        <v>7654.2131250000011</v>
      </c>
      <c r="C688" s="5">
        <f t="shared" si="21"/>
        <v>255.14043750000005</v>
      </c>
      <c r="D688" s="4">
        <v>30</v>
      </c>
      <c r="E688" s="5" t="s">
        <v>10</v>
      </c>
      <c r="F688" s="4" t="s">
        <v>1715</v>
      </c>
      <c r="G688" s="4" t="s">
        <v>12</v>
      </c>
      <c r="H688" s="4" t="s">
        <v>1715</v>
      </c>
      <c r="I688" s="4" t="s">
        <v>22</v>
      </c>
      <c r="J688" s="4" t="s">
        <v>200</v>
      </c>
      <c r="K688" s="4" t="s">
        <v>227</v>
      </c>
      <c r="M688">
        <f t="shared" si="22"/>
        <v>229.62639375000003</v>
      </c>
    </row>
    <row r="689" spans="1:25" ht="14" x14ac:dyDescent="0.2">
      <c r="A689" s="4" t="s">
        <v>1717</v>
      </c>
      <c r="B689" s="5">
        <v>6544.9068750000006</v>
      </c>
      <c r="C689" s="5">
        <f t="shared" si="21"/>
        <v>218.16356250000001</v>
      </c>
      <c r="D689" s="4">
        <v>30</v>
      </c>
      <c r="E689" s="5" t="s">
        <v>25</v>
      </c>
      <c r="F689" s="4" t="s">
        <v>1718</v>
      </c>
      <c r="G689" s="4" t="s">
        <v>12</v>
      </c>
      <c r="H689" s="4" t="s">
        <v>1719</v>
      </c>
      <c r="I689" s="4" t="s">
        <v>22</v>
      </c>
      <c r="J689" s="4" t="s">
        <v>200</v>
      </c>
      <c r="K689" s="4" t="s">
        <v>227</v>
      </c>
      <c r="M689">
        <f t="shared" si="22"/>
        <v>196.34720625</v>
      </c>
    </row>
    <row r="690" spans="1:25" ht="14" x14ac:dyDescent="0.2">
      <c r="A690" s="4" t="s">
        <v>1720</v>
      </c>
      <c r="B690" s="5">
        <v>17748.900000000001</v>
      </c>
      <c r="C690" s="5">
        <f t="shared" si="21"/>
        <v>177.489</v>
      </c>
      <c r="D690" s="4">
        <v>100</v>
      </c>
      <c r="E690" s="5" t="s">
        <v>10</v>
      </c>
      <c r="F690" s="4" t="s">
        <v>214</v>
      </c>
      <c r="G690" s="4" t="s">
        <v>12</v>
      </c>
      <c r="H690" s="4" t="s">
        <v>1721</v>
      </c>
      <c r="I690" s="4" t="s">
        <v>22</v>
      </c>
      <c r="J690" s="4" t="s">
        <v>67</v>
      </c>
      <c r="K690" s="4" t="s">
        <v>90</v>
      </c>
      <c r="M690">
        <f t="shared" si="22"/>
        <v>159.74010000000001</v>
      </c>
    </row>
    <row r="691" spans="1:25" ht="14" x14ac:dyDescent="0.2">
      <c r="A691" s="4" t="s">
        <v>1722</v>
      </c>
      <c r="B691" s="5">
        <v>55885.739568750003</v>
      </c>
      <c r="C691" s="5">
        <f t="shared" si="21"/>
        <v>5588.5739568750005</v>
      </c>
      <c r="D691" s="4">
        <v>10</v>
      </c>
      <c r="E691" s="5" t="s">
        <v>10</v>
      </c>
      <c r="F691" s="4" t="s">
        <v>1723</v>
      </c>
      <c r="G691" s="4" t="s">
        <v>12</v>
      </c>
      <c r="H691" s="4" t="s">
        <v>1723</v>
      </c>
      <c r="I691" s="4" t="s">
        <v>22</v>
      </c>
      <c r="J691" s="4" t="s">
        <v>726</v>
      </c>
      <c r="K691" s="4" t="s">
        <v>312</v>
      </c>
      <c r="M691">
        <f t="shared" si="22"/>
        <v>5029.7165611875007</v>
      </c>
    </row>
    <row r="692" spans="1:25" ht="14" x14ac:dyDescent="0.2">
      <c r="A692" s="4" t="s">
        <v>1724</v>
      </c>
      <c r="B692" s="5">
        <v>4375.1038500000004</v>
      </c>
      <c r="C692" s="5">
        <f t="shared" si="21"/>
        <v>4375.1038500000004</v>
      </c>
      <c r="D692" s="4">
        <v>1</v>
      </c>
      <c r="E692" s="5" t="s">
        <v>175</v>
      </c>
      <c r="F692" s="4" t="s">
        <v>1725</v>
      </c>
      <c r="G692" s="4" t="s">
        <v>12</v>
      </c>
      <c r="H692" s="4" t="s">
        <v>1725</v>
      </c>
      <c r="I692" s="4" t="s">
        <v>22</v>
      </c>
      <c r="J692" s="6">
        <v>0.02</v>
      </c>
      <c r="K692" s="4" t="s">
        <v>244</v>
      </c>
      <c r="M692">
        <f t="shared" si="22"/>
        <v>3937.5934650000004</v>
      </c>
    </row>
    <row r="693" spans="1:25" ht="14" x14ac:dyDescent="0.2">
      <c r="A693" s="4" t="s">
        <v>1726</v>
      </c>
      <c r="B693" s="5">
        <v>5170.4764312500001</v>
      </c>
      <c r="C693" s="5">
        <f t="shared" si="21"/>
        <v>5170.4764312500001</v>
      </c>
      <c r="D693" s="4">
        <v>1</v>
      </c>
      <c r="E693" s="5" t="s">
        <v>175</v>
      </c>
      <c r="F693" s="4" t="s">
        <v>1727</v>
      </c>
      <c r="G693" s="4" t="s">
        <v>12</v>
      </c>
      <c r="H693" s="4" t="s">
        <v>1728</v>
      </c>
      <c r="I693" s="4" t="s">
        <v>22</v>
      </c>
      <c r="J693" s="4" t="s">
        <v>1437</v>
      </c>
      <c r="K693" s="4" t="s">
        <v>244</v>
      </c>
      <c r="M693">
        <f t="shared" si="22"/>
        <v>4653.4287881250002</v>
      </c>
    </row>
    <row r="694" spans="1:25" ht="14" x14ac:dyDescent="0.2">
      <c r="A694" s="4" t="s">
        <v>1729</v>
      </c>
      <c r="B694" s="5">
        <v>59641.850531250006</v>
      </c>
      <c r="C694" s="5">
        <f t="shared" si="21"/>
        <v>7455.2313164062507</v>
      </c>
      <c r="D694" s="4">
        <v>8</v>
      </c>
      <c r="E694" s="5" t="s">
        <v>10</v>
      </c>
      <c r="F694" s="4" t="s">
        <v>1730</v>
      </c>
      <c r="G694" s="4" t="s">
        <v>12</v>
      </c>
      <c r="H694" s="4" t="s">
        <v>1731</v>
      </c>
      <c r="I694" s="4" t="s">
        <v>14</v>
      </c>
      <c r="J694" s="4" t="s">
        <v>223</v>
      </c>
      <c r="K694" s="4" t="s">
        <v>227</v>
      </c>
      <c r="M694">
        <f t="shared" si="22"/>
        <v>6709.7081847656254</v>
      </c>
    </row>
    <row r="695" spans="1:25" ht="14" x14ac:dyDescent="0.2">
      <c r="A695" s="4" t="s">
        <v>1732</v>
      </c>
      <c r="B695" s="5">
        <v>44327.877750000007</v>
      </c>
      <c r="C695" s="5">
        <f t="shared" si="21"/>
        <v>44327.877750000007</v>
      </c>
      <c r="D695" s="4">
        <v>1</v>
      </c>
      <c r="E695" s="5" t="s">
        <v>55</v>
      </c>
      <c r="F695" s="4" t="s">
        <v>1733</v>
      </c>
      <c r="G695" s="4" t="s">
        <v>12</v>
      </c>
      <c r="H695" s="4" t="s">
        <v>22</v>
      </c>
      <c r="I695" s="4" t="s">
        <v>22</v>
      </c>
      <c r="K695" s="4" t="s">
        <v>68</v>
      </c>
      <c r="M695">
        <f t="shared" si="22"/>
        <v>39895.08997500001</v>
      </c>
    </row>
    <row r="696" spans="1:25" ht="14" x14ac:dyDescent="0.2">
      <c r="A696" s="4" t="s">
        <v>1734</v>
      </c>
      <c r="B696" s="5">
        <v>3833.7624000000005</v>
      </c>
      <c r="C696" s="5">
        <f t="shared" si="21"/>
        <v>136.92008571428573</v>
      </c>
      <c r="D696" s="4">
        <v>28</v>
      </c>
      <c r="E696" s="5" t="s">
        <v>10</v>
      </c>
      <c r="F696" s="4" t="s">
        <v>1040</v>
      </c>
      <c r="G696" s="4" t="s">
        <v>12</v>
      </c>
      <c r="H696" s="4" t="s">
        <v>1040</v>
      </c>
      <c r="I696" s="4" t="s">
        <v>22</v>
      </c>
      <c r="J696" s="4" t="s">
        <v>273</v>
      </c>
      <c r="K696" s="4" t="s">
        <v>90</v>
      </c>
      <c r="M696">
        <f t="shared" si="22"/>
        <v>123.22807714285716</v>
      </c>
    </row>
    <row r="697" spans="1:25" ht="14" x14ac:dyDescent="0.2">
      <c r="A697" s="4" t="s">
        <v>1735</v>
      </c>
      <c r="B697" s="5">
        <v>6052.3748999999998</v>
      </c>
      <c r="C697" s="5">
        <f t="shared" si="21"/>
        <v>216.15624642857142</v>
      </c>
      <c r="D697" s="4">
        <v>28</v>
      </c>
      <c r="E697" s="5" t="s">
        <v>10</v>
      </c>
      <c r="F697" s="4" t="s">
        <v>1040</v>
      </c>
      <c r="G697" s="4" t="s">
        <v>12</v>
      </c>
      <c r="H697" s="4" t="s">
        <v>1040</v>
      </c>
      <c r="I697" s="4" t="s">
        <v>22</v>
      </c>
      <c r="J697" s="4" t="s">
        <v>198</v>
      </c>
      <c r="K697" s="4" t="s">
        <v>90</v>
      </c>
      <c r="M697">
        <f t="shared" si="22"/>
        <v>194.54062178571428</v>
      </c>
    </row>
    <row r="698" spans="1:25" ht="14" x14ac:dyDescent="0.2">
      <c r="A698" s="4" t="s">
        <v>1736</v>
      </c>
      <c r="B698" s="5">
        <v>721.0490625000001</v>
      </c>
      <c r="C698" s="5">
        <f t="shared" si="21"/>
        <v>72.104906250000013</v>
      </c>
      <c r="D698" s="4">
        <v>10</v>
      </c>
      <c r="E698" s="5" t="s">
        <v>30</v>
      </c>
      <c r="F698" s="4" t="s">
        <v>1737</v>
      </c>
      <c r="G698" s="4" t="s">
        <v>20</v>
      </c>
      <c r="H698" s="4" t="s">
        <v>1738</v>
      </c>
      <c r="I698" s="4" t="s">
        <v>22</v>
      </c>
      <c r="J698" s="4" t="s">
        <v>140</v>
      </c>
      <c r="K698" s="4" t="s">
        <v>53</v>
      </c>
      <c r="M698">
        <f t="shared" si="22"/>
        <v>64.894415625000008</v>
      </c>
    </row>
    <row r="699" spans="1:25" ht="14" x14ac:dyDescent="0.2">
      <c r="A699" s="4" t="s">
        <v>1739</v>
      </c>
      <c r="B699" s="5">
        <v>7210.4906250000004</v>
      </c>
      <c r="C699" s="5">
        <f t="shared" si="21"/>
        <v>7210.4906250000004</v>
      </c>
      <c r="D699" s="4">
        <v>1</v>
      </c>
      <c r="E699" s="4" t="s">
        <v>202</v>
      </c>
      <c r="F699" s="4" t="s">
        <v>1739</v>
      </c>
      <c r="G699" s="4" t="s">
        <v>12</v>
      </c>
      <c r="H699" s="4" t="s">
        <v>1740</v>
      </c>
      <c r="I699" s="4" t="s">
        <v>22</v>
      </c>
      <c r="J699" s="4" t="s">
        <v>1741</v>
      </c>
      <c r="K699" s="4" t="s">
        <v>23</v>
      </c>
      <c r="M699">
        <f t="shared" si="22"/>
        <v>6489.4415625000001</v>
      </c>
    </row>
    <row r="700" spans="1:25" ht="14" x14ac:dyDescent="0.2">
      <c r="A700" s="4" t="s">
        <v>1742</v>
      </c>
      <c r="B700" s="5">
        <v>21631.471875000003</v>
      </c>
      <c r="C700" s="5">
        <f t="shared" si="21"/>
        <v>21631.471875000003</v>
      </c>
      <c r="D700" s="4">
        <v>1</v>
      </c>
      <c r="E700" s="4" t="s">
        <v>874</v>
      </c>
      <c r="F700" s="4" t="s">
        <v>1742</v>
      </c>
      <c r="G700" s="4" t="s">
        <v>20</v>
      </c>
      <c r="H700" s="4" t="s">
        <v>1743</v>
      </c>
      <c r="I700" s="4" t="s">
        <v>22</v>
      </c>
      <c r="J700" s="4" t="s">
        <v>1665</v>
      </c>
      <c r="K700" s="4" t="s">
        <v>23</v>
      </c>
      <c r="M700">
        <f t="shared" si="22"/>
        <v>19468.324687500004</v>
      </c>
    </row>
    <row r="701" spans="1:25" ht="14" x14ac:dyDescent="0.2">
      <c r="A701" s="7" t="s">
        <v>5278</v>
      </c>
      <c r="B701" s="10">
        <v>1331.1675</v>
      </c>
      <c r="C701" s="5">
        <f t="shared" si="21"/>
        <v>332.791875</v>
      </c>
      <c r="D701" s="9">
        <v>4</v>
      </c>
      <c r="E701" s="10" t="s">
        <v>25</v>
      </c>
      <c r="F701" s="7" t="s">
        <v>5279</v>
      </c>
      <c r="G701" s="7" t="s">
        <v>12</v>
      </c>
      <c r="H701" s="7" t="s">
        <v>5279</v>
      </c>
      <c r="I701" s="4" t="s">
        <v>22</v>
      </c>
      <c r="J701" s="7" t="s">
        <v>5280</v>
      </c>
      <c r="K701" s="7" t="s">
        <v>28</v>
      </c>
      <c r="L701" s="4"/>
      <c r="M701">
        <f t="shared" si="22"/>
        <v>299.51268750000003</v>
      </c>
      <c r="N701" s="3"/>
      <c r="O701" s="3"/>
      <c r="P701" s="3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" x14ac:dyDescent="0.2">
      <c r="A702" s="4" t="s">
        <v>5281</v>
      </c>
      <c r="B702" s="5">
        <v>13866.328125000002</v>
      </c>
      <c r="C702" s="5">
        <f t="shared" si="21"/>
        <v>1386.6328125000002</v>
      </c>
      <c r="D702" s="4">
        <v>10</v>
      </c>
      <c r="E702" s="5" t="s">
        <v>10</v>
      </c>
      <c r="F702" s="4" t="s">
        <v>5282</v>
      </c>
      <c r="G702" s="4" t="s">
        <v>20</v>
      </c>
      <c r="H702" s="4" t="s">
        <v>5282</v>
      </c>
      <c r="I702" s="4" t="s">
        <v>22</v>
      </c>
      <c r="J702" s="4" t="s">
        <v>2325</v>
      </c>
      <c r="K702" s="4" t="s">
        <v>87</v>
      </c>
      <c r="M702">
        <f t="shared" si="22"/>
        <v>1247.9695312500003</v>
      </c>
    </row>
    <row r="703" spans="1:25" ht="14" x14ac:dyDescent="0.2">
      <c r="A703" s="4" t="s">
        <v>1744</v>
      </c>
      <c r="B703" s="5">
        <v>2773.2656250000005</v>
      </c>
      <c r="C703" s="5">
        <f t="shared" si="21"/>
        <v>277.32656250000002</v>
      </c>
      <c r="D703" s="4">
        <v>10</v>
      </c>
      <c r="E703" s="5" t="s">
        <v>10</v>
      </c>
      <c r="F703" s="4" t="s">
        <v>1745</v>
      </c>
      <c r="G703" s="4" t="s">
        <v>20</v>
      </c>
      <c r="H703" s="4" t="s">
        <v>1746</v>
      </c>
      <c r="I703" s="4" t="s">
        <v>22</v>
      </c>
      <c r="J703" s="4" t="s">
        <v>95</v>
      </c>
      <c r="K703" s="4" t="s">
        <v>53</v>
      </c>
      <c r="M703">
        <f t="shared" si="22"/>
        <v>249.59390625000003</v>
      </c>
    </row>
    <row r="704" spans="1:25" ht="14" x14ac:dyDescent="0.2">
      <c r="A704" s="4" t="s">
        <v>1747</v>
      </c>
      <c r="B704" s="5">
        <v>3327.9187500000003</v>
      </c>
      <c r="C704" s="5">
        <f t="shared" si="21"/>
        <v>332.791875</v>
      </c>
      <c r="D704" s="4">
        <v>10</v>
      </c>
      <c r="E704" s="5" t="s">
        <v>10</v>
      </c>
      <c r="F704" s="4" t="s">
        <v>1745</v>
      </c>
      <c r="G704" s="4" t="s">
        <v>20</v>
      </c>
      <c r="H704" s="4" t="s">
        <v>1746</v>
      </c>
      <c r="I704" s="4" t="s">
        <v>22</v>
      </c>
      <c r="J704" s="4" t="s">
        <v>52</v>
      </c>
      <c r="K704" s="4" t="s">
        <v>53</v>
      </c>
      <c r="M704">
        <f t="shared" si="22"/>
        <v>299.51268750000003</v>
      </c>
    </row>
    <row r="705" spans="1:25" ht="14" x14ac:dyDescent="0.2">
      <c r="A705" s="4" t="s">
        <v>1748</v>
      </c>
      <c r="B705" s="5">
        <v>4326.2943750000004</v>
      </c>
      <c r="C705" s="5">
        <f t="shared" si="21"/>
        <v>4326.2943750000004</v>
      </c>
      <c r="D705" s="4">
        <v>1</v>
      </c>
      <c r="E705" s="5" t="s">
        <v>874</v>
      </c>
      <c r="F705" s="4" t="s">
        <v>1748</v>
      </c>
      <c r="G705" s="4" t="s">
        <v>20</v>
      </c>
      <c r="H705" s="4" t="s">
        <v>1749</v>
      </c>
      <c r="I705" s="4" t="s">
        <v>22</v>
      </c>
      <c r="J705" s="4" t="s">
        <v>1750</v>
      </c>
      <c r="K705" s="4" t="s">
        <v>87</v>
      </c>
      <c r="M705">
        <f t="shared" si="22"/>
        <v>3893.6649375000002</v>
      </c>
    </row>
    <row r="706" spans="1:25" ht="14" x14ac:dyDescent="0.2">
      <c r="A706" s="4" t="s">
        <v>1751</v>
      </c>
      <c r="B706" s="5">
        <v>3771.6412500000001</v>
      </c>
      <c r="C706" s="5">
        <f t="shared" si="21"/>
        <v>377.16412500000001</v>
      </c>
      <c r="D706" s="4">
        <v>10</v>
      </c>
      <c r="E706" s="5" t="s">
        <v>10</v>
      </c>
      <c r="F706" s="4" t="s">
        <v>845</v>
      </c>
      <c r="G706" s="4" t="s">
        <v>20</v>
      </c>
      <c r="H706" s="4" t="s">
        <v>1752</v>
      </c>
      <c r="I706" s="4" t="s">
        <v>14</v>
      </c>
      <c r="J706" s="4" t="s">
        <v>200</v>
      </c>
      <c r="K706" s="4" t="s">
        <v>406</v>
      </c>
      <c r="M706">
        <f t="shared" si="22"/>
        <v>339.44771250000002</v>
      </c>
    </row>
    <row r="707" spans="1:25" ht="14" x14ac:dyDescent="0.2">
      <c r="A707" s="4" t="s">
        <v>1753</v>
      </c>
      <c r="B707" s="5">
        <v>16362.267187500001</v>
      </c>
      <c r="C707" s="5">
        <f t="shared" ref="C707:C770" si="23">(B707/D707)</f>
        <v>1363.522265625</v>
      </c>
      <c r="D707" s="4">
        <v>12</v>
      </c>
      <c r="E707" s="5" t="s">
        <v>10</v>
      </c>
      <c r="F707" s="4" t="s">
        <v>845</v>
      </c>
      <c r="G707" s="4" t="s">
        <v>20</v>
      </c>
      <c r="H707" s="4" t="s">
        <v>1752</v>
      </c>
      <c r="I707" s="4" t="s">
        <v>14</v>
      </c>
      <c r="J707" s="4" t="s">
        <v>146</v>
      </c>
      <c r="K707" s="4" t="s">
        <v>406</v>
      </c>
      <c r="M707">
        <f t="shared" si="22"/>
        <v>1227.1700390625001</v>
      </c>
    </row>
    <row r="708" spans="1:25" ht="14" x14ac:dyDescent="0.2">
      <c r="A708" s="7" t="s">
        <v>5283</v>
      </c>
      <c r="B708" s="10">
        <v>15474.822187500002</v>
      </c>
      <c r="C708" s="5">
        <f t="shared" si="23"/>
        <v>15474.822187500002</v>
      </c>
      <c r="D708" s="9">
        <v>1</v>
      </c>
      <c r="E708" s="10" t="s">
        <v>3219</v>
      </c>
      <c r="F708" s="7" t="s">
        <v>845</v>
      </c>
      <c r="G708" s="7" t="s">
        <v>20</v>
      </c>
      <c r="H708" s="7" t="s">
        <v>1752</v>
      </c>
      <c r="I708" s="4" t="s">
        <v>14</v>
      </c>
      <c r="J708" s="7" t="s">
        <v>62</v>
      </c>
      <c r="K708" s="7" t="s">
        <v>406</v>
      </c>
      <c r="L708" s="4"/>
      <c r="M708">
        <f t="shared" si="22"/>
        <v>13927.339968750002</v>
      </c>
      <c r="N708" s="3"/>
      <c r="O708" s="3"/>
      <c r="P708" s="3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" x14ac:dyDescent="0.2">
      <c r="A709" s="4" t="s">
        <v>1754</v>
      </c>
      <c r="B709" s="5">
        <v>33057.326250000006</v>
      </c>
      <c r="C709" s="5">
        <f t="shared" si="23"/>
        <v>33057.326250000006</v>
      </c>
      <c r="D709" s="4">
        <v>1</v>
      </c>
      <c r="E709" s="4" t="s">
        <v>888</v>
      </c>
      <c r="F709" s="4" t="s">
        <v>1754</v>
      </c>
      <c r="G709" s="4" t="s">
        <v>12</v>
      </c>
      <c r="H709" s="4" t="s">
        <v>1755</v>
      </c>
      <c r="I709" s="4" t="s">
        <v>14</v>
      </c>
      <c r="J709" s="4" t="s">
        <v>1756</v>
      </c>
      <c r="K709" s="4" t="s">
        <v>244</v>
      </c>
      <c r="M709">
        <f t="shared" si="22"/>
        <v>29751.593625000005</v>
      </c>
    </row>
    <row r="710" spans="1:25" ht="14" x14ac:dyDescent="0.2">
      <c r="A710" s="4" t="s">
        <v>1757</v>
      </c>
      <c r="B710" s="5">
        <v>2773.2656250000005</v>
      </c>
      <c r="C710" s="5">
        <f t="shared" si="23"/>
        <v>924.42187500000011</v>
      </c>
      <c r="D710" s="4">
        <v>3</v>
      </c>
      <c r="E710" s="5" t="s">
        <v>10</v>
      </c>
      <c r="F710" s="4" t="s">
        <v>1758</v>
      </c>
      <c r="G710" s="4" t="s">
        <v>20</v>
      </c>
      <c r="H710" s="4" t="s">
        <v>1759</v>
      </c>
      <c r="I710" s="4" t="s">
        <v>22</v>
      </c>
      <c r="J710" s="4" t="s">
        <v>1512</v>
      </c>
      <c r="K710" s="4" t="s">
        <v>108</v>
      </c>
      <c r="M710">
        <f t="shared" si="22"/>
        <v>831.97968750000007</v>
      </c>
    </row>
    <row r="711" spans="1:25" ht="14" x14ac:dyDescent="0.2">
      <c r="A711" s="4" t="s">
        <v>1760</v>
      </c>
      <c r="B711" s="5">
        <v>15877.500356250002</v>
      </c>
      <c r="C711" s="5">
        <f t="shared" si="23"/>
        <v>15877.500356250002</v>
      </c>
      <c r="D711" s="4">
        <v>1</v>
      </c>
      <c r="E711" s="5" t="s">
        <v>202</v>
      </c>
      <c r="F711" s="4" t="s">
        <v>60</v>
      </c>
      <c r="G711" s="4" t="s">
        <v>20</v>
      </c>
      <c r="H711" s="4" t="s">
        <v>1761</v>
      </c>
      <c r="I711" s="4" t="s">
        <v>22</v>
      </c>
      <c r="J711" s="4" t="s">
        <v>52</v>
      </c>
      <c r="K711" s="4" t="s">
        <v>34</v>
      </c>
      <c r="M711">
        <f t="shared" si="22"/>
        <v>14289.750320625002</v>
      </c>
    </row>
    <row r="712" spans="1:25" ht="14" x14ac:dyDescent="0.2">
      <c r="A712" s="4" t="s">
        <v>1762</v>
      </c>
      <c r="B712" s="5">
        <v>43262.943750000006</v>
      </c>
      <c r="C712" s="5">
        <f t="shared" si="23"/>
        <v>1442.0981250000002</v>
      </c>
      <c r="D712" s="4">
        <v>30</v>
      </c>
      <c r="E712" s="5" t="s">
        <v>30</v>
      </c>
      <c r="F712" s="4" t="s">
        <v>1763</v>
      </c>
      <c r="G712" s="4" t="s">
        <v>12</v>
      </c>
      <c r="H712" s="4" t="s">
        <v>1763</v>
      </c>
      <c r="I712" s="4" t="s">
        <v>14</v>
      </c>
      <c r="J712" s="4" t="s">
        <v>1256</v>
      </c>
      <c r="K712" s="4" t="s">
        <v>227</v>
      </c>
      <c r="M712">
        <f t="shared" si="22"/>
        <v>1297.8883125000002</v>
      </c>
    </row>
    <row r="713" spans="1:25" ht="14" x14ac:dyDescent="0.2">
      <c r="A713" s="4" t="s">
        <v>1764</v>
      </c>
      <c r="B713" s="5">
        <v>8763.5193750000017</v>
      </c>
      <c r="C713" s="5">
        <f t="shared" si="23"/>
        <v>8763.5193750000017</v>
      </c>
      <c r="D713" s="4">
        <v>1</v>
      </c>
      <c r="E713" s="5" t="s">
        <v>1212</v>
      </c>
      <c r="F713" s="4" t="s">
        <v>1765</v>
      </c>
      <c r="G713" s="4" t="s">
        <v>12</v>
      </c>
      <c r="H713" s="4" t="s">
        <v>1764</v>
      </c>
      <c r="I713" s="4" t="s">
        <v>22</v>
      </c>
      <c r="J713" s="4" t="s">
        <v>1766</v>
      </c>
      <c r="K713" s="4" t="s">
        <v>244</v>
      </c>
      <c r="M713">
        <f t="shared" si="22"/>
        <v>7887.1674375000011</v>
      </c>
    </row>
    <row r="714" spans="1:25" ht="14" x14ac:dyDescent="0.2">
      <c r="A714" s="4" t="s">
        <v>1767</v>
      </c>
      <c r="B714" s="5">
        <v>12646.091250000001</v>
      </c>
      <c r="C714" s="5">
        <f t="shared" si="23"/>
        <v>421.53637500000002</v>
      </c>
      <c r="D714" s="4">
        <v>30</v>
      </c>
      <c r="E714" s="5" t="s">
        <v>10</v>
      </c>
      <c r="F714" s="4" t="s">
        <v>1768</v>
      </c>
      <c r="G714" s="4" t="s">
        <v>12</v>
      </c>
      <c r="H714" s="4" t="s">
        <v>1769</v>
      </c>
      <c r="I714" s="4" t="s">
        <v>14</v>
      </c>
      <c r="J714" s="4" t="s">
        <v>1770</v>
      </c>
      <c r="K714" s="4" t="s">
        <v>812</v>
      </c>
      <c r="M714">
        <f t="shared" si="22"/>
        <v>379.38273750000002</v>
      </c>
    </row>
    <row r="715" spans="1:25" ht="14" x14ac:dyDescent="0.2">
      <c r="A715" s="4" t="s">
        <v>1771</v>
      </c>
      <c r="B715" s="5">
        <v>27621.725625000003</v>
      </c>
      <c r="C715" s="5">
        <f t="shared" si="23"/>
        <v>27621.725625000003</v>
      </c>
      <c r="D715" s="4">
        <v>1</v>
      </c>
      <c r="E715" s="5" t="s">
        <v>175</v>
      </c>
      <c r="F715" s="4" t="s">
        <v>1772</v>
      </c>
      <c r="G715" s="4" t="s">
        <v>12</v>
      </c>
      <c r="H715" s="4" t="s">
        <v>1773</v>
      </c>
      <c r="I715" s="4" t="s">
        <v>14</v>
      </c>
      <c r="J715" s="8">
        <v>5.0000000000000001E-3</v>
      </c>
      <c r="K715" s="4" t="s">
        <v>244</v>
      </c>
      <c r="M715">
        <f t="shared" si="22"/>
        <v>24859.553062500003</v>
      </c>
    </row>
    <row r="716" spans="1:25" ht="14" x14ac:dyDescent="0.2">
      <c r="A716" s="4" t="s">
        <v>1774</v>
      </c>
      <c r="B716" s="5">
        <v>19856.581875000003</v>
      </c>
      <c r="C716" s="5">
        <f t="shared" si="23"/>
        <v>992.8290937500002</v>
      </c>
      <c r="D716" s="4">
        <v>20</v>
      </c>
      <c r="E716" s="5" t="s">
        <v>10</v>
      </c>
      <c r="F716" s="4" t="s">
        <v>1775</v>
      </c>
      <c r="G716" s="4" t="s">
        <v>12</v>
      </c>
      <c r="H716" s="4" t="s">
        <v>1776</v>
      </c>
      <c r="I716" s="4" t="s">
        <v>14</v>
      </c>
      <c r="J716" s="4" t="s">
        <v>146</v>
      </c>
      <c r="K716" s="4" t="s">
        <v>68</v>
      </c>
      <c r="M716">
        <f t="shared" si="22"/>
        <v>893.54618437500017</v>
      </c>
    </row>
    <row r="717" spans="1:25" ht="14" x14ac:dyDescent="0.2">
      <c r="A717" s="4" t="s">
        <v>1777</v>
      </c>
      <c r="B717" s="5">
        <v>6600.372187500001</v>
      </c>
      <c r="C717" s="5">
        <f t="shared" si="23"/>
        <v>132.00744375000002</v>
      </c>
      <c r="D717" s="4">
        <v>50</v>
      </c>
      <c r="E717" s="5" t="s">
        <v>10</v>
      </c>
      <c r="F717" s="4" t="s">
        <v>1778</v>
      </c>
      <c r="G717" s="4" t="s">
        <v>1779</v>
      </c>
      <c r="H717" s="4" t="s">
        <v>1780</v>
      </c>
      <c r="I717" s="4" t="s">
        <v>14</v>
      </c>
      <c r="J717" s="4" t="s">
        <v>1781</v>
      </c>
      <c r="K717" s="4" t="s">
        <v>406</v>
      </c>
      <c r="M717">
        <f t="shared" si="22"/>
        <v>118.80669937500002</v>
      </c>
    </row>
    <row r="718" spans="1:25" ht="14" x14ac:dyDescent="0.2">
      <c r="A718" s="4" t="s">
        <v>1782</v>
      </c>
      <c r="B718" s="5">
        <v>3735.0341437500006</v>
      </c>
      <c r="C718" s="5">
        <f t="shared" si="23"/>
        <v>3735.0341437500006</v>
      </c>
      <c r="D718" s="4">
        <v>1</v>
      </c>
      <c r="E718" s="5" t="s">
        <v>701</v>
      </c>
      <c r="F718" s="4" t="s">
        <v>1783</v>
      </c>
      <c r="G718" s="4" t="s">
        <v>12</v>
      </c>
      <c r="H718" s="4" t="s">
        <v>1782</v>
      </c>
      <c r="I718" s="4" t="s">
        <v>14</v>
      </c>
      <c r="J718" s="4" t="s">
        <v>1784</v>
      </c>
      <c r="K718" s="4" t="s">
        <v>34</v>
      </c>
      <c r="M718">
        <f t="shared" si="22"/>
        <v>3361.5307293750006</v>
      </c>
    </row>
    <row r="719" spans="1:25" ht="14" x14ac:dyDescent="0.2">
      <c r="A719" s="4" t="s">
        <v>1785</v>
      </c>
      <c r="B719" s="5">
        <v>16528.663125000003</v>
      </c>
      <c r="C719" s="5">
        <f t="shared" si="23"/>
        <v>550.95543750000013</v>
      </c>
      <c r="D719" s="4">
        <v>30</v>
      </c>
      <c r="E719" s="5" t="s">
        <v>30</v>
      </c>
      <c r="F719" s="4" t="s">
        <v>1786</v>
      </c>
      <c r="G719" s="4" t="s">
        <v>12</v>
      </c>
      <c r="H719" s="4" t="s">
        <v>1787</v>
      </c>
      <c r="I719" s="4" t="s">
        <v>14</v>
      </c>
      <c r="J719" s="4" t="s">
        <v>546</v>
      </c>
      <c r="K719" s="4" t="s">
        <v>68</v>
      </c>
      <c r="M719">
        <f t="shared" si="22"/>
        <v>495.85989375000008</v>
      </c>
    </row>
    <row r="720" spans="1:25" ht="14" x14ac:dyDescent="0.2">
      <c r="A720" s="4" t="s">
        <v>1788</v>
      </c>
      <c r="B720" s="5">
        <v>32058.950624999998</v>
      </c>
      <c r="C720" s="5">
        <f t="shared" si="23"/>
        <v>356.21056249999998</v>
      </c>
      <c r="D720" s="4">
        <v>90</v>
      </c>
      <c r="E720" s="5" t="s">
        <v>10</v>
      </c>
      <c r="F720" s="4" t="s">
        <v>1789</v>
      </c>
      <c r="G720" s="4" t="s">
        <v>20</v>
      </c>
      <c r="H720" s="4" t="s">
        <v>1790</v>
      </c>
      <c r="I720" s="4" t="s">
        <v>14</v>
      </c>
      <c r="J720" s="4" t="s">
        <v>207</v>
      </c>
      <c r="K720" s="4" t="s">
        <v>34</v>
      </c>
      <c r="M720">
        <f t="shared" si="22"/>
        <v>320.58950625</v>
      </c>
    </row>
    <row r="721" spans="1:25" ht="14" x14ac:dyDescent="0.2">
      <c r="A721" s="4" t="s">
        <v>1791</v>
      </c>
      <c r="B721" s="5">
        <v>9281.5653937499992</v>
      </c>
      <c r="C721" s="5">
        <f t="shared" si="23"/>
        <v>309.38551312499999</v>
      </c>
      <c r="D721" s="4">
        <v>30</v>
      </c>
      <c r="E721" s="5" t="s">
        <v>10</v>
      </c>
      <c r="F721" s="4" t="s">
        <v>1792</v>
      </c>
      <c r="G721" s="4" t="s">
        <v>12</v>
      </c>
      <c r="H721" s="4" t="s">
        <v>1792</v>
      </c>
      <c r="I721" s="4" t="s">
        <v>22</v>
      </c>
      <c r="J721" s="4" t="s">
        <v>679</v>
      </c>
      <c r="K721" s="4" t="s">
        <v>48</v>
      </c>
      <c r="M721">
        <f t="shared" si="22"/>
        <v>278.44696181249998</v>
      </c>
    </row>
    <row r="722" spans="1:25" ht="14" x14ac:dyDescent="0.2">
      <c r="A722" s="4" t="s">
        <v>1793</v>
      </c>
      <c r="B722" s="5">
        <v>2995.1268750000004</v>
      </c>
      <c r="C722" s="5">
        <f t="shared" si="23"/>
        <v>2995.1268750000004</v>
      </c>
      <c r="D722" s="4">
        <v>1</v>
      </c>
      <c r="E722" s="5" t="s">
        <v>175</v>
      </c>
      <c r="F722" s="4" t="s">
        <v>1794</v>
      </c>
      <c r="G722" s="4" t="s">
        <v>12</v>
      </c>
      <c r="H722" s="4" t="s">
        <v>1795</v>
      </c>
      <c r="I722" s="4" t="s">
        <v>22</v>
      </c>
      <c r="J722" s="4" t="s">
        <v>1796</v>
      </c>
      <c r="K722" s="4" t="s">
        <v>179</v>
      </c>
      <c r="M722">
        <f t="shared" si="22"/>
        <v>2695.6141875000003</v>
      </c>
    </row>
    <row r="723" spans="1:25" ht="14" x14ac:dyDescent="0.2">
      <c r="A723" s="7" t="s">
        <v>5284</v>
      </c>
      <c r="B723" s="10">
        <v>22518.916875000003</v>
      </c>
      <c r="C723" s="5">
        <f t="shared" si="23"/>
        <v>22518.916875000003</v>
      </c>
      <c r="D723" s="9">
        <v>1</v>
      </c>
      <c r="E723" s="10" t="s">
        <v>5176</v>
      </c>
      <c r="F723" s="7" t="s">
        <v>5285</v>
      </c>
      <c r="G723" s="7" t="s">
        <v>12</v>
      </c>
      <c r="H723" s="7" t="s">
        <v>5286</v>
      </c>
      <c r="I723" s="4" t="s">
        <v>22</v>
      </c>
      <c r="J723" s="7" t="s">
        <v>5287</v>
      </c>
      <c r="K723" s="7" t="s">
        <v>1575</v>
      </c>
      <c r="L723" s="4"/>
      <c r="M723">
        <f t="shared" si="22"/>
        <v>20267.025187500003</v>
      </c>
      <c r="N723" s="3"/>
      <c r="O723" s="3"/>
      <c r="P723" s="3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" x14ac:dyDescent="0.2">
      <c r="A724" s="4" t="s">
        <v>1797</v>
      </c>
      <c r="B724" s="5">
        <v>38825.71875</v>
      </c>
      <c r="C724" s="5">
        <f t="shared" si="23"/>
        <v>924.421875</v>
      </c>
      <c r="D724" s="4">
        <v>42</v>
      </c>
      <c r="E724" s="5" t="s">
        <v>10</v>
      </c>
      <c r="F724" s="4" t="s">
        <v>1798</v>
      </c>
      <c r="G724" s="4" t="s">
        <v>12</v>
      </c>
      <c r="H724" s="4" t="s">
        <v>1799</v>
      </c>
      <c r="I724" s="4" t="s">
        <v>14</v>
      </c>
      <c r="J724" s="4" t="s">
        <v>1800</v>
      </c>
      <c r="K724" s="4" t="s">
        <v>748</v>
      </c>
      <c r="M724">
        <f t="shared" si="22"/>
        <v>831.97968749999995</v>
      </c>
    </row>
    <row r="725" spans="1:25" ht="14" x14ac:dyDescent="0.2">
      <c r="A725" s="4" t="s">
        <v>1801</v>
      </c>
      <c r="B725" s="5">
        <v>3216.9881250000003</v>
      </c>
      <c r="C725" s="5">
        <f t="shared" si="23"/>
        <v>3216.9881250000003</v>
      </c>
      <c r="D725" s="4">
        <v>1</v>
      </c>
      <c r="E725" s="5" t="s">
        <v>1119</v>
      </c>
      <c r="F725" s="4" t="s">
        <v>1143</v>
      </c>
      <c r="G725" s="4" t="s">
        <v>20</v>
      </c>
      <c r="H725" s="4" t="s">
        <v>1802</v>
      </c>
      <c r="I725" s="4" t="s">
        <v>22</v>
      </c>
      <c r="J725" s="6">
        <v>0.05</v>
      </c>
      <c r="K725" s="4" t="s">
        <v>53</v>
      </c>
      <c r="M725">
        <f t="shared" si="22"/>
        <v>2895.2893125000001</v>
      </c>
    </row>
    <row r="726" spans="1:25" ht="14" x14ac:dyDescent="0.2">
      <c r="A726" s="4" t="s">
        <v>1803</v>
      </c>
      <c r="B726" s="5">
        <v>3216.9881250000003</v>
      </c>
      <c r="C726" s="5">
        <f t="shared" si="23"/>
        <v>3216.9881250000003</v>
      </c>
      <c r="D726" s="4">
        <v>1</v>
      </c>
      <c r="E726" s="5" t="s">
        <v>175</v>
      </c>
      <c r="F726" s="4" t="s">
        <v>1143</v>
      </c>
      <c r="G726" s="4" t="s">
        <v>20</v>
      </c>
      <c r="H726" s="4" t="s">
        <v>1802</v>
      </c>
      <c r="I726" s="4" t="s">
        <v>22</v>
      </c>
      <c r="J726" s="8">
        <v>5.0000000000000001E-3</v>
      </c>
      <c r="K726" s="4" t="s">
        <v>53</v>
      </c>
      <c r="M726">
        <f t="shared" si="22"/>
        <v>2895.2893125000001</v>
      </c>
    </row>
    <row r="727" spans="1:25" ht="14" x14ac:dyDescent="0.2">
      <c r="A727" s="4" t="s">
        <v>1804</v>
      </c>
      <c r="B727" s="5">
        <v>1553.0287500000002</v>
      </c>
      <c r="C727" s="5">
        <f t="shared" si="23"/>
        <v>1553.0287500000002</v>
      </c>
      <c r="D727" s="4">
        <v>1</v>
      </c>
      <c r="E727" s="5" t="s">
        <v>59</v>
      </c>
      <c r="F727" s="4" t="s">
        <v>1805</v>
      </c>
      <c r="G727" s="4" t="s">
        <v>20</v>
      </c>
      <c r="H727" s="4" t="s">
        <v>1806</v>
      </c>
      <c r="I727" s="4" t="s">
        <v>22</v>
      </c>
      <c r="K727" s="4" t="s">
        <v>34</v>
      </c>
      <c r="M727">
        <f t="shared" si="22"/>
        <v>1397.7258750000001</v>
      </c>
    </row>
    <row r="728" spans="1:25" ht="14" x14ac:dyDescent="0.2">
      <c r="A728" s="4" t="s">
        <v>1807</v>
      </c>
      <c r="B728" s="5">
        <v>8319.796875</v>
      </c>
      <c r="C728" s="5">
        <f t="shared" si="23"/>
        <v>2773.265625</v>
      </c>
      <c r="D728" s="4">
        <v>3</v>
      </c>
      <c r="E728" s="5" t="s">
        <v>124</v>
      </c>
      <c r="F728" s="4" t="s">
        <v>1808</v>
      </c>
      <c r="G728" s="4" t="s">
        <v>12</v>
      </c>
      <c r="H728" s="4" t="s">
        <v>1809</v>
      </c>
      <c r="I728" s="4" t="s">
        <v>14</v>
      </c>
      <c r="J728" s="4" t="s">
        <v>481</v>
      </c>
      <c r="K728" s="4" t="s">
        <v>108</v>
      </c>
      <c r="M728">
        <f t="shared" si="22"/>
        <v>2495.9390625000001</v>
      </c>
    </row>
    <row r="729" spans="1:25" ht="14" x14ac:dyDescent="0.2">
      <c r="A729" s="4" t="s">
        <v>1810</v>
      </c>
      <c r="B729" s="5">
        <v>6655.8375000000005</v>
      </c>
      <c r="C729" s="5">
        <f t="shared" si="23"/>
        <v>2218.6125000000002</v>
      </c>
      <c r="D729" s="4">
        <v>3</v>
      </c>
      <c r="E729" s="5" t="s">
        <v>124</v>
      </c>
      <c r="F729" s="4" t="s">
        <v>1811</v>
      </c>
      <c r="G729" s="4" t="s">
        <v>12</v>
      </c>
      <c r="H729" s="4" t="s">
        <v>1809</v>
      </c>
      <c r="I729" s="4" t="s">
        <v>14</v>
      </c>
      <c r="J729" s="4" t="s">
        <v>397</v>
      </c>
      <c r="K729" s="4" t="s">
        <v>108</v>
      </c>
      <c r="M729">
        <f t="shared" si="22"/>
        <v>1996.7512500000003</v>
      </c>
    </row>
    <row r="730" spans="1:25" ht="14" x14ac:dyDescent="0.2">
      <c r="A730" s="4" t="s">
        <v>1812</v>
      </c>
      <c r="B730" s="5">
        <v>332.791875</v>
      </c>
      <c r="C730" s="5">
        <f t="shared" si="23"/>
        <v>33.279187499999999</v>
      </c>
      <c r="D730" s="4">
        <v>10</v>
      </c>
      <c r="E730" s="5" t="s">
        <v>10</v>
      </c>
      <c r="F730" s="4" t="s">
        <v>1813</v>
      </c>
      <c r="G730" s="4" t="s">
        <v>20</v>
      </c>
      <c r="H730" s="4" t="s">
        <v>1814</v>
      </c>
      <c r="I730" s="4" t="s">
        <v>22</v>
      </c>
      <c r="J730" s="4" t="s">
        <v>95</v>
      </c>
      <c r="K730" s="4" t="s">
        <v>53</v>
      </c>
      <c r="M730">
        <f t="shared" si="22"/>
        <v>29.951268749999997</v>
      </c>
    </row>
    <row r="731" spans="1:25" ht="14" x14ac:dyDescent="0.2">
      <c r="A731" s="4" t="s">
        <v>1815</v>
      </c>
      <c r="B731" s="5">
        <v>887.44500000000005</v>
      </c>
      <c r="C731" s="5">
        <f t="shared" si="23"/>
        <v>887.44500000000005</v>
      </c>
      <c r="D731" s="4">
        <v>1</v>
      </c>
      <c r="E731" s="5" t="s">
        <v>181</v>
      </c>
      <c r="F731" s="4" t="s">
        <v>1813</v>
      </c>
      <c r="G731" s="4" t="s">
        <v>20</v>
      </c>
      <c r="H731" s="4" t="s">
        <v>1814</v>
      </c>
      <c r="I731" s="4" t="s">
        <v>22</v>
      </c>
      <c r="J731" s="4" t="s">
        <v>132</v>
      </c>
      <c r="K731" s="4" t="s">
        <v>53</v>
      </c>
      <c r="M731">
        <f t="shared" si="22"/>
        <v>798.70050000000003</v>
      </c>
    </row>
    <row r="732" spans="1:25" ht="14" x14ac:dyDescent="0.2">
      <c r="A732" s="4" t="s">
        <v>1816</v>
      </c>
      <c r="B732" s="5">
        <v>443.72250000000003</v>
      </c>
      <c r="C732" s="5">
        <f t="shared" si="23"/>
        <v>44.372250000000001</v>
      </c>
      <c r="D732" s="4">
        <v>10</v>
      </c>
      <c r="E732" s="5" t="s">
        <v>10</v>
      </c>
      <c r="F732" s="4" t="s">
        <v>1813</v>
      </c>
      <c r="G732" s="4" t="s">
        <v>20</v>
      </c>
      <c r="H732" s="4" t="s">
        <v>1814</v>
      </c>
      <c r="I732" s="4" t="s">
        <v>22</v>
      </c>
      <c r="J732" s="4" t="s">
        <v>52</v>
      </c>
      <c r="K732" s="4" t="s">
        <v>53</v>
      </c>
      <c r="M732">
        <f t="shared" si="22"/>
        <v>39.935025000000003</v>
      </c>
    </row>
    <row r="733" spans="1:25" ht="14" x14ac:dyDescent="0.2">
      <c r="A733" s="4" t="s">
        <v>1817</v>
      </c>
      <c r="B733" s="5">
        <v>1164.7715625000001</v>
      </c>
      <c r="C733" s="5">
        <f t="shared" si="23"/>
        <v>116.47715625000001</v>
      </c>
      <c r="D733" s="4">
        <v>10</v>
      </c>
      <c r="E733" s="5" t="s">
        <v>30</v>
      </c>
      <c r="F733" s="4" t="s">
        <v>364</v>
      </c>
      <c r="G733" s="4" t="s">
        <v>20</v>
      </c>
      <c r="H733" s="4" t="s">
        <v>1818</v>
      </c>
      <c r="I733" s="4" t="s">
        <v>22</v>
      </c>
      <c r="J733" s="4" t="s">
        <v>207</v>
      </c>
      <c r="K733" s="4" t="s">
        <v>53</v>
      </c>
      <c r="M733">
        <f t="shared" ref="M733:M796" si="24">C733-(C733* 10%)</f>
        <v>104.829440625</v>
      </c>
    </row>
    <row r="734" spans="1:25" ht="14" x14ac:dyDescent="0.2">
      <c r="A734" s="4" t="s">
        <v>1819</v>
      </c>
      <c r="B734" s="5">
        <v>2551.4043750000001</v>
      </c>
      <c r="C734" s="5">
        <f t="shared" si="23"/>
        <v>2551.4043750000001</v>
      </c>
      <c r="D734" s="4">
        <v>1</v>
      </c>
      <c r="E734" s="5" t="s">
        <v>181</v>
      </c>
      <c r="F734" s="4" t="s">
        <v>1820</v>
      </c>
      <c r="G734" s="4" t="s">
        <v>20</v>
      </c>
      <c r="H734" s="4" t="s">
        <v>1821</v>
      </c>
      <c r="I734" s="4" t="s">
        <v>22</v>
      </c>
      <c r="J734" s="4" t="s">
        <v>1094</v>
      </c>
      <c r="K734" s="4" t="s">
        <v>53</v>
      </c>
      <c r="M734">
        <f t="shared" si="24"/>
        <v>2296.2639374999999</v>
      </c>
    </row>
    <row r="735" spans="1:25" ht="14" x14ac:dyDescent="0.2">
      <c r="A735" s="4" t="s">
        <v>1822</v>
      </c>
      <c r="B735" s="5">
        <v>133.11675</v>
      </c>
      <c r="C735" s="5">
        <f t="shared" si="23"/>
        <v>13.311674999999999</v>
      </c>
      <c r="D735" s="4">
        <v>10</v>
      </c>
      <c r="E735" s="5" t="s">
        <v>10</v>
      </c>
      <c r="F735" s="4" t="s">
        <v>606</v>
      </c>
      <c r="G735" s="4" t="s">
        <v>12</v>
      </c>
      <c r="H735" s="4" t="s">
        <v>1823</v>
      </c>
      <c r="I735" s="4" t="s">
        <v>22</v>
      </c>
      <c r="J735" s="4" t="s">
        <v>397</v>
      </c>
      <c r="K735" s="4" t="s">
        <v>312</v>
      </c>
      <c r="M735">
        <f t="shared" si="24"/>
        <v>11.9805075</v>
      </c>
    </row>
    <row r="736" spans="1:25" ht="14" x14ac:dyDescent="0.2">
      <c r="A736" s="4" t="s">
        <v>1824</v>
      </c>
      <c r="B736" s="5">
        <v>2107.6818750000002</v>
      </c>
      <c r="C736" s="5">
        <f t="shared" si="23"/>
        <v>210.76818750000001</v>
      </c>
      <c r="D736" s="4">
        <v>10</v>
      </c>
      <c r="E736" s="5" t="s">
        <v>10</v>
      </c>
      <c r="F736" s="4" t="s">
        <v>182</v>
      </c>
      <c r="G736" s="4" t="s">
        <v>20</v>
      </c>
      <c r="H736" s="4" t="s">
        <v>1825</v>
      </c>
      <c r="I736" s="4" t="s">
        <v>22</v>
      </c>
      <c r="J736" s="4" t="s">
        <v>95</v>
      </c>
      <c r="K736" s="4" t="s">
        <v>87</v>
      </c>
      <c r="M736">
        <f t="shared" si="24"/>
        <v>189.69136875000001</v>
      </c>
    </row>
    <row r="737" spans="1:13" ht="14" x14ac:dyDescent="0.2">
      <c r="A737" s="4" t="s">
        <v>1826</v>
      </c>
      <c r="B737" s="5">
        <v>3216.9881250000003</v>
      </c>
      <c r="C737" s="5">
        <f t="shared" si="23"/>
        <v>321.69881250000003</v>
      </c>
      <c r="D737" s="4">
        <v>10</v>
      </c>
      <c r="E737" s="5" t="s">
        <v>30</v>
      </c>
      <c r="F737" s="4" t="s">
        <v>907</v>
      </c>
      <c r="G737" s="4" t="s">
        <v>20</v>
      </c>
      <c r="H737" s="4" t="s">
        <v>1827</v>
      </c>
      <c r="I737" s="4" t="s">
        <v>22</v>
      </c>
      <c r="J737" s="4" t="s">
        <v>52</v>
      </c>
      <c r="K737" s="4" t="s">
        <v>87</v>
      </c>
      <c r="M737">
        <f t="shared" si="24"/>
        <v>289.52893125000003</v>
      </c>
    </row>
    <row r="738" spans="1:13" ht="14" x14ac:dyDescent="0.2">
      <c r="A738" s="4" t="s">
        <v>1828</v>
      </c>
      <c r="B738" s="5">
        <v>1663.9593750000001</v>
      </c>
      <c r="C738" s="5">
        <f t="shared" si="23"/>
        <v>1663.9593750000001</v>
      </c>
      <c r="D738" s="4">
        <v>1</v>
      </c>
      <c r="E738" s="5" t="s">
        <v>175</v>
      </c>
      <c r="F738" s="4" t="s">
        <v>1110</v>
      </c>
      <c r="G738" s="4" t="s">
        <v>20</v>
      </c>
      <c r="H738" s="4" t="s">
        <v>1829</v>
      </c>
      <c r="I738" s="4" t="s">
        <v>22</v>
      </c>
      <c r="J738" s="8">
        <v>3.0000000000000001E-3</v>
      </c>
      <c r="K738" s="4" t="s">
        <v>53</v>
      </c>
      <c r="M738">
        <f t="shared" si="24"/>
        <v>1497.5634375000002</v>
      </c>
    </row>
    <row r="739" spans="1:13" ht="14" x14ac:dyDescent="0.2">
      <c r="A739" s="4" t="s">
        <v>1830</v>
      </c>
      <c r="B739" s="5">
        <v>721.0490625000001</v>
      </c>
      <c r="C739" s="5">
        <f t="shared" si="23"/>
        <v>72.104906250000013</v>
      </c>
      <c r="D739" s="4">
        <v>10</v>
      </c>
      <c r="E739" s="5" t="s">
        <v>10</v>
      </c>
      <c r="F739" s="4" t="s">
        <v>1831</v>
      </c>
      <c r="G739" s="4" t="s">
        <v>20</v>
      </c>
      <c r="H739" s="4" t="s">
        <v>1832</v>
      </c>
      <c r="I739" s="4" t="s">
        <v>22</v>
      </c>
      <c r="J739" s="4" t="s">
        <v>1833</v>
      </c>
      <c r="K739" s="4" t="s">
        <v>53</v>
      </c>
      <c r="M739">
        <f t="shared" si="24"/>
        <v>64.894415625000008</v>
      </c>
    </row>
    <row r="740" spans="1:13" ht="14" x14ac:dyDescent="0.2">
      <c r="A740" s="4" t="s">
        <v>1834</v>
      </c>
      <c r="B740" s="5">
        <v>831.97968750000007</v>
      </c>
      <c r="C740" s="5">
        <f t="shared" si="23"/>
        <v>831.97968750000007</v>
      </c>
      <c r="D740" s="4">
        <v>1</v>
      </c>
      <c r="E740" s="5" t="s">
        <v>10</v>
      </c>
      <c r="F740" s="4" t="s">
        <v>1835</v>
      </c>
      <c r="G740" s="4" t="s">
        <v>20</v>
      </c>
      <c r="H740" s="4" t="s">
        <v>1446</v>
      </c>
      <c r="I740" s="4" t="s">
        <v>22</v>
      </c>
      <c r="J740" s="4" t="s">
        <v>1836</v>
      </c>
      <c r="K740" s="4" t="s">
        <v>53</v>
      </c>
      <c r="M740">
        <f t="shared" si="24"/>
        <v>748.7817187500001</v>
      </c>
    </row>
    <row r="741" spans="1:13" ht="14" x14ac:dyDescent="0.2">
      <c r="A741" s="4" t="s">
        <v>1837</v>
      </c>
      <c r="B741" s="5">
        <v>6655.8375000000005</v>
      </c>
      <c r="C741" s="5">
        <f t="shared" si="23"/>
        <v>66.558375000000012</v>
      </c>
      <c r="D741" s="4">
        <v>100</v>
      </c>
      <c r="E741" s="5" t="s">
        <v>10</v>
      </c>
      <c r="F741" s="4" t="s">
        <v>1838</v>
      </c>
      <c r="G741" s="4" t="s">
        <v>20</v>
      </c>
      <c r="H741" s="4" t="s">
        <v>1446</v>
      </c>
      <c r="I741" s="4" t="s">
        <v>22</v>
      </c>
      <c r="K741" s="4" t="s">
        <v>53</v>
      </c>
      <c r="M741">
        <f t="shared" si="24"/>
        <v>59.902537500000008</v>
      </c>
    </row>
    <row r="742" spans="1:13" ht="14" x14ac:dyDescent="0.2">
      <c r="A742" s="4" t="s">
        <v>1839</v>
      </c>
      <c r="B742" s="5">
        <v>776.51437500000009</v>
      </c>
      <c r="C742" s="5">
        <f t="shared" si="23"/>
        <v>77.651437500000014</v>
      </c>
      <c r="D742" s="4">
        <v>10</v>
      </c>
      <c r="E742" s="5" t="s">
        <v>10</v>
      </c>
      <c r="F742" s="4" t="s">
        <v>1838</v>
      </c>
      <c r="G742" s="4" t="s">
        <v>20</v>
      </c>
      <c r="H742" s="4" t="s">
        <v>1446</v>
      </c>
      <c r="I742" s="4" t="s">
        <v>22</v>
      </c>
      <c r="J742" s="4" t="s">
        <v>1840</v>
      </c>
      <c r="K742" s="4" t="s">
        <v>53</v>
      </c>
      <c r="M742">
        <f t="shared" si="24"/>
        <v>69.886293750000007</v>
      </c>
    </row>
    <row r="743" spans="1:13" ht="14" x14ac:dyDescent="0.2">
      <c r="A743" s="4" t="s">
        <v>1841</v>
      </c>
      <c r="B743" s="5">
        <v>1663.9593750000001</v>
      </c>
      <c r="C743" s="5">
        <f t="shared" si="23"/>
        <v>1663.9593750000001</v>
      </c>
      <c r="D743" s="4">
        <v>1</v>
      </c>
      <c r="E743" s="5" t="s">
        <v>181</v>
      </c>
      <c r="F743" s="4" t="s">
        <v>1842</v>
      </c>
      <c r="G743" s="4" t="s">
        <v>20</v>
      </c>
      <c r="H743" s="4" t="s">
        <v>1843</v>
      </c>
      <c r="I743" s="4" t="s">
        <v>22</v>
      </c>
      <c r="J743" s="4" t="s">
        <v>1844</v>
      </c>
      <c r="K743" s="4" t="s">
        <v>403</v>
      </c>
      <c r="M743">
        <f t="shared" si="24"/>
        <v>1497.5634375000002</v>
      </c>
    </row>
    <row r="744" spans="1:13" ht="14" x14ac:dyDescent="0.2">
      <c r="A744" s="4" t="s">
        <v>1845</v>
      </c>
      <c r="B744" s="5">
        <v>1109.3062500000001</v>
      </c>
      <c r="C744" s="5">
        <f t="shared" si="23"/>
        <v>1109.3062500000001</v>
      </c>
      <c r="D744" s="4">
        <v>1</v>
      </c>
      <c r="E744" s="5" t="s">
        <v>186</v>
      </c>
      <c r="F744" s="4" t="s">
        <v>1846</v>
      </c>
      <c r="G744" s="4" t="s">
        <v>20</v>
      </c>
      <c r="H744" s="4" t="s">
        <v>1847</v>
      </c>
      <c r="I744" s="4" t="s">
        <v>22</v>
      </c>
      <c r="J744" s="4" t="s">
        <v>1848</v>
      </c>
      <c r="K744" s="4" t="s">
        <v>34</v>
      </c>
      <c r="M744">
        <f t="shared" si="24"/>
        <v>998.37562500000013</v>
      </c>
    </row>
    <row r="745" spans="1:13" ht="14" x14ac:dyDescent="0.2">
      <c r="A745" s="4" t="s">
        <v>1849</v>
      </c>
      <c r="B745" s="5">
        <v>1442.0981250000002</v>
      </c>
      <c r="C745" s="5">
        <f t="shared" si="23"/>
        <v>1442.0981250000002</v>
      </c>
      <c r="D745" s="4">
        <v>1</v>
      </c>
      <c r="E745" s="5" t="s">
        <v>59</v>
      </c>
      <c r="F745" s="4" t="s">
        <v>1846</v>
      </c>
      <c r="G745" s="4" t="s">
        <v>20</v>
      </c>
      <c r="H745" s="4" t="s">
        <v>1850</v>
      </c>
      <c r="I745" s="4" t="s">
        <v>22</v>
      </c>
      <c r="J745" s="4" t="s">
        <v>1848</v>
      </c>
      <c r="K745" s="4" t="s">
        <v>34</v>
      </c>
      <c r="M745">
        <f t="shared" si="24"/>
        <v>1297.8883125000002</v>
      </c>
    </row>
    <row r="746" spans="1:13" ht="14" x14ac:dyDescent="0.2">
      <c r="A746" s="4" t="s">
        <v>1851</v>
      </c>
      <c r="B746" s="5">
        <v>1331.1675</v>
      </c>
      <c r="C746" s="5">
        <f t="shared" si="23"/>
        <v>13.311675000000001</v>
      </c>
      <c r="D746" s="4">
        <v>100</v>
      </c>
      <c r="E746" s="5" t="s">
        <v>10</v>
      </c>
      <c r="F746" s="4" t="s">
        <v>1846</v>
      </c>
      <c r="G746" s="4" t="s">
        <v>20</v>
      </c>
      <c r="H746" s="4" t="s">
        <v>1852</v>
      </c>
      <c r="I746" s="4" t="s">
        <v>22</v>
      </c>
      <c r="J746" s="4" t="s">
        <v>140</v>
      </c>
      <c r="K746" s="4" t="s">
        <v>34</v>
      </c>
      <c r="M746">
        <f t="shared" si="24"/>
        <v>11.980507500000002</v>
      </c>
    </row>
    <row r="747" spans="1:13" ht="14" x14ac:dyDescent="0.2">
      <c r="A747" s="4" t="s">
        <v>1853</v>
      </c>
      <c r="B747" s="5">
        <v>1331.1675</v>
      </c>
      <c r="C747" s="5">
        <f t="shared" si="23"/>
        <v>13.311675000000001</v>
      </c>
      <c r="D747" s="4">
        <v>100</v>
      </c>
      <c r="E747" s="5" t="s">
        <v>10</v>
      </c>
      <c r="F747" s="4" t="s">
        <v>1846</v>
      </c>
      <c r="G747" s="4" t="s">
        <v>20</v>
      </c>
      <c r="H747" s="4" t="s">
        <v>1852</v>
      </c>
      <c r="I747" s="4" t="s">
        <v>22</v>
      </c>
      <c r="J747" s="4" t="s">
        <v>140</v>
      </c>
      <c r="K747" s="4" t="s">
        <v>34</v>
      </c>
      <c r="M747">
        <f t="shared" si="24"/>
        <v>11.980507500000002</v>
      </c>
    </row>
    <row r="748" spans="1:13" ht="14" x14ac:dyDescent="0.2">
      <c r="A748" s="4" t="s">
        <v>1854</v>
      </c>
      <c r="B748" s="5">
        <v>887.44500000000005</v>
      </c>
      <c r="C748" s="5">
        <f t="shared" si="23"/>
        <v>887.44500000000005</v>
      </c>
      <c r="D748" s="4">
        <v>1</v>
      </c>
      <c r="E748" s="5" t="s">
        <v>59</v>
      </c>
      <c r="F748" s="4" t="s">
        <v>60</v>
      </c>
      <c r="G748" s="4" t="s">
        <v>20</v>
      </c>
      <c r="H748" s="4" t="s">
        <v>1855</v>
      </c>
      <c r="I748" s="4" t="s">
        <v>22</v>
      </c>
      <c r="K748" s="4" t="s">
        <v>34</v>
      </c>
      <c r="M748">
        <f t="shared" si="24"/>
        <v>798.70050000000003</v>
      </c>
    </row>
    <row r="749" spans="1:13" ht="14" x14ac:dyDescent="0.2">
      <c r="A749" s="4" t="s">
        <v>1856</v>
      </c>
      <c r="B749" s="5">
        <v>1774.89</v>
      </c>
      <c r="C749" s="5">
        <f t="shared" si="23"/>
        <v>1774.89</v>
      </c>
      <c r="D749" s="4">
        <v>1</v>
      </c>
      <c r="E749" s="5" t="s">
        <v>181</v>
      </c>
      <c r="F749" s="4" t="s">
        <v>1857</v>
      </c>
      <c r="G749" s="4" t="s">
        <v>20</v>
      </c>
      <c r="H749" s="4" t="s">
        <v>1858</v>
      </c>
      <c r="I749" s="4" t="s">
        <v>22</v>
      </c>
      <c r="J749" s="4" t="s">
        <v>1859</v>
      </c>
      <c r="K749" s="4" t="s">
        <v>53</v>
      </c>
      <c r="M749">
        <f t="shared" si="24"/>
        <v>1597.4010000000001</v>
      </c>
    </row>
    <row r="750" spans="1:13" ht="14" x14ac:dyDescent="0.2">
      <c r="A750" s="4" t="s">
        <v>1860</v>
      </c>
      <c r="B750" s="5">
        <v>1442.0981250000002</v>
      </c>
      <c r="C750" s="5">
        <f t="shared" si="23"/>
        <v>1442.0981250000002</v>
      </c>
      <c r="D750" s="4">
        <v>1</v>
      </c>
      <c r="E750" s="5" t="s">
        <v>181</v>
      </c>
      <c r="F750" s="4" t="s">
        <v>1861</v>
      </c>
      <c r="G750" s="4" t="s">
        <v>20</v>
      </c>
      <c r="H750" s="4" t="s">
        <v>1862</v>
      </c>
      <c r="I750" s="4" t="s">
        <v>22</v>
      </c>
      <c r="J750" s="4" t="s">
        <v>1863</v>
      </c>
      <c r="K750" s="4" t="s">
        <v>118</v>
      </c>
      <c r="M750">
        <f t="shared" si="24"/>
        <v>1297.8883125000002</v>
      </c>
    </row>
    <row r="751" spans="1:13" ht="14" x14ac:dyDescent="0.2">
      <c r="A751" s="4" t="s">
        <v>1864</v>
      </c>
      <c r="B751" s="5">
        <v>1331.1675</v>
      </c>
      <c r="C751" s="5">
        <f t="shared" si="23"/>
        <v>1331.1675</v>
      </c>
      <c r="D751" s="4">
        <v>1</v>
      </c>
      <c r="E751" s="5" t="s">
        <v>59</v>
      </c>
      <c r="F751" s="4" t="s">
        <v>1865</v>
      </c>
      <c r="G751" s="4" t="s">
        <v>20</v>
      </c>
      <c r="H751" s="4" t="s">
        <v>1866</v>
      </c>
      <c r="I751" s="4" t="s">
        <v>22</v>
      </c>
      <c r="J751" s="4" t="s">
        <v>1867</v>
      </c>
      <c r="K751" s="4" t="s">
        <v>118</v>
      </c>
      <c r="M751">
        <f t="shared" si="24"/>
        <v>1198.0507500000001</v>
      </c>
    </row>
    <row r="752" spans="1:13" ht="14" x14ac:dyDescent="0.2">
      <c r="A752" s="4" t="s">
        <v>1868</v>
      </c>
      <c r="B752" s="5">
        <v>2329.5431250000001</v>
      </c>
      <c r="C752" s="5">
        <f t="shared" si="23"/>
        <v>2329.5431250000001</v>
      </c>
      <c r="D752" s="4">
        <v>1</v>
      </c>
      <c r="E752" s="5" t="s">
        <v>181</v>
      </c>
      <c r="F752" s="4" t="s">
        <v>1869</v>
      </c>
      <c r="G752" s="4" t="s">
        <v>20</v>
      </c>
      <c r="H752" s="4" t="s">
        <v>1870</v>
      </c>
      <c r="I752" s="4" t="s">
        <v>22</v>
      </c>
      <c r="J752" s="4" t="s">
        <v>379</v>
      </c>
      <c r="K752" s="4" t="s">
        <v>53</v>
      </c>
      <c r="M752">
        <f t="shared" si="24"/>
        <v>2096.5888125000001</v>
      </c>
    </row>
    <row r="753" spans="1:13" ht="14" x14ac:dyDescent="0.2">
      <c r="A753" s="4" t="s">
        <v>1871</v>
      </c>
      <c r="B753" s="5">
        <v>8319.796875</v>
      </c>
      <c r="C753" s="5">
        <f t="shared" si="23"/>
        <v>277.32656250000002</v>
      </c>
      <c r="D753" s="4">
        <v>30</v>
      </c>
      <c r="E753" s="5" t="s">
        <v>10</v>
      </c>
      <c r="F753" s="4" t="s">
        <v>1789</v>
      </c>
      <c r="G753" s="4" t="s">
        <v>20</v>
      </c>
      <c r="H753" s="4" t="s">
        <v>1872</v>
      </c>
      <c r="I753" s="4" t="s">
        <v>22</v>
      </c>
      <c r="J753" s="4" t="s">
        <v>351</v>
      </c>
      <c r="K753" s="4" t="s">
        <v>34</v>
      </c>
      <c r="M753">
        <f t="shared" si="24"/>
        <v>249.59390625000003</v>
      </c>
    </row>
    <row r="754" spans="1:13" ht="14" x14ac:dyDescent="0.2">
      <c r="A754" s="4" t="s">
        <v>1873</v>
      </c>
      <c r="B754" s="5">
        <v>4326.2943750000004</v>
      </c>
      <c r="C754" s="5">
        <f t="shared" si="23"/>
        <v>144.20981250000003</v>
      </c>
      <c r="D754" s="4">
        <v>30</v>
      </c>
      <c r="E754" s="5" t="s">
        <v>30</v>
      </c>
      <c r="F754" s="4" t="s">
        <v>1789</v>
      </c>
      <c r="G754" s="4" t="s">
        <v>20</v>
      </c>
      <c r="H754" s="4" t="s">
        <v>1872</v>
      </c>
      <c r="I754" s="4" t="s">
        <v>22</v>
      </c>
      <c r="J754" s="4" t="s">
        <v>207</v>
      </c>
      <c r="K754" s="4" t="s">
        <v>34</v>
      </c>
      <c r="M754">
        <f t="shared" si="24"/>
        <v>129.78883125000002</v>
      </c>
    </row>
    <row r="755" spans="1:13" ht="14" x14ac:dyDescent="0.2">
      <c r="A755" s="4" t="s">
        <v>1874</v>
      </c>
      <c r="B755" s="5">
        <v>1109.3062500000001</v>
      </c>
      <c r="C755" s="5">
        <f t="shared" si="23"/>
        <v>11.0930625</v>
      </c>
      <c r="D755" s="4">
        <v>100</v>
      </c>
      <c r="E755" s="5" t="s">
        <v>10</v>
      </c>
      <c r="F755" s="4" t="s">
        <v>1875</v>
      </c>
      <c r="G755" s="4" t="s">
        <v>20</v>
      </c>
      <c r="H755" s="4" t="s">
        <v>1876</v>
      </c>
      <c r="I755" s="4" t="s">
        <v>22</v>
      </c>
      <c r="J755" s="4" t="s">
        <v>200</v>
      </c>
      <c r="K755" s="4" t="s">
        <v>34</v>
      </c>
      <c r="M755">
        <f t="shared" si="24"/>
        <v>9.9837562500000008</v>
      </c>
    </row>
    <row r="756" spans="1:13" ht="14" x14ac:dyDescent="0.2">
      <c r="A756" s="4" t="s">
        <v>1877</v>
      </c>
      <c r="B756" s="5">
        <v>6655.8375000000005</v>
      </c>
      <c r="C756" s="5">
        <f t="shared" si="23"/>
        <v>6.6558375000000005</v>
      </c>
      <c r="D756" s="4">
        <v>1000</v>
      </c>
      <c r="E756" s="5" t="s">
        <v>10</v>
      </c>
      <c r="F756" s="4" t="s">
        <v>1875</v>
      </c>
      <c r="G756" s="4" t="s">
        <v>20</v>
      </c>
      <c r="H756" s="4" t="s">
        <v>1876</v>
      </c>
      <c r="I756" s="4" t="s">
        <v>22</v>
      </c>
      <c r="K756" s="4" t="s">
        <v>34</v>
      </c>
      <c r="M756">
        <f t="shared" si="24"/>
        <v>5.9902537500000008</v>
      </c>
    </row>
    <row r="757" spans="1:13" ht="14" x14ac:dyDescent="0.2">
      <c r="A757" s="4" t="s">
        <v>1878</v>
      </c>
      <c r="B757" s="5">
        <v>2662.335</v>
      </c>
      <c r="C757" s="5">
        <f t="shared" si="23"/>
        <v>266.23349999999999</v>
      </c>
      <c r="D757" s="4">
        <v>10</v>
      </c>
      <c r="E757" s="5" t="s">
        <v>30</v>
      </c>
      <c r="F757" s="4" t="s">
        <v>1879</v>
      </c>
      <c r="G757" s="4" t="s">
        <v>20</v>
      </c>
      <c r="H757" s="4" t="s">
        <v>1880</v>
      </c>
      <c r="I757" s="4" t="s">
        <v>22</v>
      </c>
      <c r="J757" s="4" t="s">
        <v>351</v>
      </c>
      <c r="K757" s="4" t="s">
        <v>34</v>
      </c>
      <c r="M757">
        <f t="shared" si="24"/>
        <v>239.61014999999998</v>
      </c>
    </row>
    <row r="758" spans="1:13" ht="14" x14ac:dyDescent="0.2">
      <c r="A758" s="4" t="s">
        <v>1881</v>
      </c>
      <c r="B758" s="5">
        <v>3106.0575000000003</v>
      </c>
      <c r="C758" s="5">
        <f t="shared" si="23"/>
        <v>310.60575000000006</v>
      </c>
      <c r="D758" s="4">
        <v>10</v>
      </c>
      <c r="E758" s="5" t="s">
        <v>30</v>
      </c>
      <c r="F758" s="4" t="s">
        <v>1879</v>
      </c>
      <c r="G758" s="4" t="s">
        <v>20</v>
      </c>
      <c r="H758" s="4" t="s">
        <v>1880</v>
      </c>
      <c r="I758" s="4" t="s">
        <v>22</v>
      </c>
      <c r="J758" s="4" t="s">
        <v>1882</v>
      </c>
      <c r="K758" s="4" t="s">
        <v>34</v>
      </c>
      <c r="M758">
        <f t="shared" si="24"/>
        <v>279.54517500000003</v>
      </c>
    </row>
    <row r="759" spans="1:13" ht="14" x14ac:dyDescent="0.2">
      <c r="A759" s="4" t="s">
        <v>1883</v>
      </c>
      <c r="B759" s="5">
        <v>1719.4246875000001</v>
      </c>
      <c r="C759" s="5">
        <f t="shared" si="23"/>
        <v>1719.4246875000001</v>
      </c>
      <c r="D759" s="4">
        <v>1</v>
      </c>
      <c r="E759" s="5" t="s">
        <v>181</v>
      </c>
      <c r="F759" s="4" t="s">
        <v>1884</v>
      </c>
      <c r="G759" s="4" t="s">
        <v>20</v>
      </c>
      <c r="H759" s="4" t="s">
        <v>1885</v>
      </c>
      <c r="I759" s="4" t="s">
        <v>22</v>
      </c>
      <c r="J759" s="4" t="s">
        <v>1886</v>
      </c>
      <c r="K759" s="4" t="s">
        <v>108</v>
      </c>
      <c r="M759">
        <f t="shared" si="24"/>
        <v>1547.4822187500001</v>
      </c>
    </row>
    <row r="760" spans="1:13" ht="14" x14ac:dyDescent="0.2">
      <c r="A760" s="4" t="s">
        <v>1887</v>
      </c>
      <c r="B760" s="5">
        <v>1331.1675</v>
      </c>
      <c r="C760" s="5">
        <f t="shared" si="23"/>
        <v>1331.1675</v>
      </c>
      <c r="D760" s="4">
        <v>1</v>
      </c>
      <c r="E760" s="5" t="s">
        <v>10</v>
      </c>
      <c r="F760" s="4" t="s">
        <v>1888</v>
      </c>
      <c r="G760" s="4" t="s">
        <v>20</v>
      </c>
      <c r="H760" s="4" t="s">
        <v>1889</v>
      </c>
      <c r="I760" s="4" t="s">
        <v>22</v>
      </c>
      <c r="J760" s="4" t="s">
        <v>1890</v>
      </c>
      <c r="K760" s="4" t="s">
        <v>108</v>
      </c>
      <c r="M760">
        <f t="shared" si="24"/>
        <v>1198.0507500000001</v>
      </c>
    </row>
    <row r="761" spans="1:13" ht="14" x14ac:dyDescent="0.2">
      <c r="A761" s="4" t="s">
        <v>1891</v>
      </c>
      <c r="B761" s="5">
        <v>6877.6987500000005</v>
      </c>
      <c r="C761" s="5">
        <f t="shared" si="23"/>
        <v>68.776987500000004</v>
      </c>
      <c r="D761" s="4">
        <v>100</v>
      </c>
      <c r="E761" s="5" t="s">
        <v>10</v>
      </c>
      <c r="F761" s="4" t="s">
        <v>1624</v>
      </c>
      <c r="G761" s="4" t="s">
        <v>12</v>
      </c>
      <c r="H761" s="4" t="s">
        <v>1892</v>
      </c>
      <c r="I761" s="4" t="s">
        <v>22</v>
      </c>
      <c r="J761" s="4" t="s">
        <v>207</v>
      </c>
      <c r="K761" s="4" t="s">
        <v>16</v>
      </c>
      <c r="M761">
        <f t="shared" si="24"/>
        <v>61.899288750000004</v>
      </c>
    </row>
    <row r="762" spans="1:13" ht="14" x14ac:dyDescent="0.2">
      <c r="A762" s="4" t="s">
        <v>1893</v>
      </c>
      <c r="B762" s="5">
        <v>942.91031250000003</v>
      </c>
      <c r="C762" s="5">
        <f t="shared" si="23"/>
        <v>94.291031250000003</v>
      </c>
      <c r="D762" s="4">
        <v>10</v>
      </c>
      <c r="E762" s="5" t="s">
        <v>30</v>
      </c>
      <c r="F762" s="4" t="s">
        <v>258</v>
      </c>
      <c r="G762" s="4" t="s">
        <v>20</v>
      </c>
      <c r="H762" s="4" t="s">
        <v>1894</v>
      </c>
      <c r="I762" s="4" t="s">
        <v>22</v>
      </c>
      <c r="J762" s="4" t="s">
        <v>351</v>
      </c>
      <c r="K762" s="4" t="s">
        <v>87</v>
      </c>
      <c r="M762">
        <f t="shared" si="24"/>
        <v>84.861928125000006</v>
      </c>
    </row>
    <row r="763" spans="1:13" ht="14" x14ac:dyDescent="0.2">
      <c r="A763" s="4" t="s">
        <v>1895</v>
      </c>
      <c r="B763" s="5">
        <v>998.37562500000013</v>
      </c>
      <c r="C763" s="5">
        <f t="shared" si="23"/>
        <v>998.37562500000013</v>
      </c>
      <c r="D763" s="4">
        <v>1</v>
      </c>
      <c r="E763" s="5" t="s">
        <v>186</v>
      </c>
      <c r="F763" s="4" t="s">
        <v>1896</v>
      </c>
      <c r="G763" s="4" t="s">
        <v>20</v>
      </c>
      <c r="H763" s="4" t="s">
        <v>1897</v>
      </c>
      <c r="I763" s="4" t="s">
        <v>22</v>
      </c>
      <c r="J763" s="4" t="s">
        <v>1898</v>
      </c>
      <c r="K763" s="4" t="s">
        <v>1899</v>
      </c>
      <c r="M763">
        <f t="shared" si="24"/>
        <v>898.53806250000014</v>
      </c>
    </row>
    <row r="764" spans="1:13" ht="14" x14ac:dyDescent="0.2">
      <c r="A764" s="4" t="s">
        <v>1900</v>
      </c>
      <c r="B764" s="5">
        <v>1109.3062500000001</v>
      </c>
      <c r="C764" s="5">
        <f t="shared" si="23"/>
        <v>1109.3062500000001</v>
      </c>
      <c r="D764" s="4">
        <v>1</v>
      </c>
      <c r="E764" s="5" t="s">
        <v>59</v>
      </c>
      <c r="F764" s="4" t="s">
        <v>258</v>
      </c>
      <c r="G764" s="4" t="s">
        <v>20</v>
      </c>
      <c r="H764" s="4" t="s">
        <v>1901</v>
      </c>
      <c r="I764" s="4" t="s">
        <v>22</v>
      </c>
      <c r="J764" s="4" t="s">
        <v>1094</v>
      </c>
      <c r="K764" s="4" t="s">
        <v>87</v>
      </c>
      <c r="M764">
        <f t="shared" si="24"/>
        <v>998.37562500000013</v>
      </c>
    </row>
    <row r="765" spans="1:13" ht="14" x14ac:dyDescent="0.2">
      <c r="A765" s="4" t="s">
        <v>1902</v>
      </c>
      <c r="B765" s="5">
        <v>2981.8152</v>
      </c>
      <c r="C765" s="5">
        <f t="shared" si="23"/>
        <v>31.060575</v>
      </c>
      <c r="D765" s="4">
        <v>96</v>
      </c>
      <c r="E765" s="5" t="s">
        <v>10</v>
      </c>
      <c r="F765" s="4" t="s">
        <v>258</v>
      </c>
      <c r="G765" s="4" t="s">
        <v>20</v>
      </c>
      <c r="H765" s="4" t="s">
        <v>1901</v>
      </c>
      <c r="I765" s="4" t="s">
        <v>22</v>
      </c>
      <c r="J765" s="4" t="s">
        <v>207</v>
      </c>
      <c r="K765" s="4" t="s">
        <v>87</v>
      </c>
      <c r="M765">
        <f t="shared" si="24"/>
        <v>27.954517500000001</v>
      </c>
    </row>
    <row r="766" spans="1:13" ht="14" x14ac:dyDescent="0.2">
      <c r="A766" s="4" t="s">
        <v>1903</v>
      </c>
      <c r="B766" s="5">
        <v>26623.350000000002</v>
      </c>
      <c r="C766" s="5">
        <f t="shared" si="23"/>
        <v>633.88928571428573</v>
      </c>
      <c r="D766" s="4">
        <v>42</v>
      </c>
      <c r="E766" s="5" t="s">
        <v>30</v>
      </c>
      <c r="F766" s="4" t="s">
        <v>1904</v>
      </c>
      <c r="G766" s="4" t="s">
        <v>20</v>
      </c>
      <c r="H766" s="4" t="s">
        <v>1905</v>
      </c>
      <c r="I766" s="4" t="s">
        <v>22</v>
      </c>
      <c r="J766" s="4" t="s">
        <v>1906</v>
      </c>
      <c r="K766" s="4" t="s">
        <v>748</v>
      </c>
      <c r="M766">
        <f t="shared" si="24"/>
        <v>570.50035714285718</v>
      </c>
    </row>
    <row r="767" spans="1:13" ht="14" x14ac:dyDescent="0.2">
      <c r="A767" s="4" t="s">
        <v>1907</v>
      </c>
      <c r="B767" s="5">
        <v>1331.1675</v>
      </c>
      <c r="C767" s="5">
        <f t="shared" si="23"/>
        <v>13.311675000000001</v>
      </c>
      <c r="D767" s="4">
        <v>100</v>
      </c>
      <c r="E767" s="5" t="s">
        <v>10</v>
      </c>
      <c r="F767" s="4" t="s">
        <v>755</v>
      </c>
      <c r="G767" s="4" t="s">
        <v>20</v>
      </c>
      <c r="H767" s="4" t="s">
        <v>1908</v>
      </c>
      <c r="I767" s="4" t="s">
        <v>22</v>
      </c>
      <c r="K767" s="4" t="s">
        <v>34</v>
      </c>
      <c r="M767">
        <f t="shared" si="24"/>
        <v>11.980507500000002</v>
      </c>
    </row>
    <row r="768" spans="1:13" ht="14" x14ac:dyDescent="0.2">
      <c r="A768" s="4" t="s">
        <v>1909</v>
      </c>
      <c r="B768" s="5">
        <v>4437.2250000000004</v>
      </c>
      <c r="C768" s="5">
        <f t="shared" si="23"/>
        <v>4.4372250000000006</v>
      </c>
      <c r="D768" s="4">
        <v>1000</v>
      </c>
      <c r="E768" s="5" t="s">
        <v>10</v>
      </c>
      <c r="F768" s="4" t="s">
        <v>755</v>
      </c>
      <c r="G768" s="4" t="s">
        <v>20</v>
      </c>
      <c r="H768" s="4" t="s">
        <v>1908</v>
      </c>
      <c r="I768" s="4" t="s">
        <v>22</v>
      </c>
      <c r="K768" s="4" t="s">
        <v>34</v>
      </c>
      <c r="M768">
        <f t="shared" si="24"/>
        <v>3.9935025000000004</v>
      </c>
    </row>
    <row r="769" spans="1:13" ht="14" x14ac:dyDescent="0.2">
      <c r="A769" s="4" t="s">
        <v>1910</v>
      </c>
      <c r="B769" s="5">
        <v>16972.385625000003</v>
      </c>
      <c r="C769" s="5">
        <f t="shared" si="23"/>
        <v>565.74618750000013</v>
      </c>
      <c r="D769" s="4">
        <v>30</v>
      </c>
      <c r="E769" s="5" t="s">
        <v>10</v>
      </c>
      <c r="F769" s="4" t="s">
        <v>1911</v>
      </c>
      <c r="G769" s="4" t="s">
        <v>20</v>
      </c>
      <c r="H769" s="4" t="s">
        <v>1912</v>
      </c>
      <c r="I769" s="4" t="s">
        <v>22</v>
      </c>
      <c r="J769" s="4" t="s">
        <v>1913</v>
      </c>
      <c r="K769" s="4" t="s">
        <v>34</v>
      </c>
      <c r="M769">
        <f t="shared" si="24"/>
        <v>509.17156875000012</v>
      </c>
    </row>
    <row r="770" spans="1:13" ht="14" x14ac:dyDescent="0.2">
      <c r="A770" s="4" t="s">
        <v>1914</v>
      </c>
      <c r="B770" s="5">
        <v>8652.5887500000008</v>
      </c>
      <c r="C770" s="5">
        <f t="shared" si="23"/>
        <v>288.41962500000005</v>
      </c>
      <c r="D770" s="4">
        <v>30</v>
      </c>
      <c r="E770" s="5" t="s">
        <v>10</v>
      </c>
      <c r="F770" s="4" t="s">
        <v>1911</v>
      </c>
      <c r="G770" s="4" t="s">
        <v>20</v>
      </c>
      <c r="H770" s="4" t="s">
        <v>1915</v>
      </c>
      <c r="I770" s="4" t="s">
        <v>22</v>
      </c>
      <c r="J770" s="4" t="s">
        <v>1916</v>
      </c>
      <c r="K770" s="4" t="s">
        <v>34</v>
      </c>
      <c r="M770">
        <f t="shared" si="24"/>
        <v>259.57766250000003</v>
      </c>
    </row>
    <row r="771" spans="1:13" ht="14" x14ac:dyDescent="0.2">
      <c r="A771" s="4" t="s">
        <v>1917</v>
      </c>
      <c r="B771" s="5">
        <v>776.51437500000009</v>
      </c>
      <c r="C771" s="5">
        <f t="shared" ref="C771:C834" si="25">(B771/D771)</f>
        <v>388.25718750000004</v>
      </c>
      <c r="D771" s="4">
        <v>2</v>
      </c>
      <c r="E771" s="5" t="s">
        <v>30</v>
      </c>
      <c r="F771" s="4" t="s">
        <v>205</v>
      </c>
      <c r="G771" s="4" t="s">
        <v>20</v>
      </c>
      <c r="H771" s="4" t="s">
        <v>1918</v>
      </c>
      <c r="I771" s="4" t="s">
        <v>22</v>
      </c>
      <c r="J771" s="4" t="s">
        <v>52</v>
      </c>
      <c r="K771" s="4" t="s">
        <v>1919</v>
      </c>
      <c r="M771">
        <f t="shared" si="24"/>
        <v>349.43146875000002</v>
      </c>
    </row>
    <row r="772" spans="1:13" ht="14" x14ac:dyDescent="0.2">
      <c r="A772" s="4" t="s">
        <v>1920</v>
      </c>
      <c r="B772" s="5">
        <v>1109.3062500000001</v>
      </c>
      <c r="C772" s="5">
        <f t="shared" si="25"/>
        <v>1109.3062500000001</v>
      </c>
      <c r="D772" s="4">
        <v>1</v>
      </c>
      <c r="E772" s="5" t="s">
        <v>181</v>
      </c>
      <c r="F772" s="4" t="s">
        <v>205</v>
      </c>
      <c r="G772" s="4" t="s">
        <v>20</v>
      </c>
      <c r="H772" s="4" t="s">
        <v>1918</v>
      </c>
      <c r="I772" s="4" t="s">
        <v>22</v>
      </c>
      <c r="J772" s="4" t="s">
        <v>184</v>
      </c>
      <c r="K772" s="4" t="s">
        <v>1919</v>
      </c>
      <c r="M772">
        <f t="shared" si="24"/>
        <v>998.37562500000013</v>
      </c>
    </row>
    <row r="773" spans="1:13" ht="14" x14ac:dyDescent="0.2">
      <c r="A773" s="4" t="s">
        <v>1921</v>
      </c>
      <c r="B773" s="5">
        <v>6544.9068750000006</v>
      </c>
      <c r="C773" s="5">
        <f t="shared" si="25"/>
        <v>233.74667410714287</v>
      </c>
      <c r="D773" s="4">
        <v>28</v>
      </c>
      <c r="E773" s="5" t="s">
        <v>10</v>
      </c>
      <c r="F773" s="4" t="s">
        <v>1922</v>
      </c>
      <c r="G773" s="4" t="s">
        <v>12</v>
      </c>
      <c r="H773" s="4" t="s">
        <v>1923</v>
      </c>
      <c r="I773" s="4" t="s">
        <v>22</v>
      </c>
      <c r="J773" s="4" t="s">
        <v>1924</v>
      </c>
      <c r="K773" s="4" t="s">
        <v>90</v>
      </c>
      <c r="M773">
        <f t="shared" si="24"/>
        <v>210.37200669642857</v>
      </c>
    </row>
    <row r="774" spans="1:13" ht="14" x14ac:dyDescent="0.2">
      <c r="A774" s="4" t="s">
        <v>1925</v>
      </c>
      <c r="B774" s="5">
        <v>6212.1150000000007</v>
      </c>
      <c r="C774" s="5">
        <f t="shared" si="25"/>
        <v>221.86125000000001</v>
      </c>
      <c r="D774" s="4">
        <v>28</v>
      </c>
      <c r="E774" s="5" t="s">
        <v>10</v>
      </c>
      <c r="F774" s="4" t="s">
        <v>1926</v>
      </c>
      <c r="G774" s="4" t="s">
        <v>12</v>
      </c>
      <c r="H774" s="4" t="s">
        <v>1926</v>
      </c>
      <c r="I774" s="4" t="s">
        <v>22</v>
      </c>
      <c r="J774" s="4" t="s">
        <v>146</v>
      </c>
      <c r="K774" s="4" t="s">
        <v>90</v>
      </c>
      <c r="M774">
        <f t="shared" si="24"/>
        <v>199.67512500000001</v>
      </c>
    </row>
    <row r="775" spans="1:13" ht="14" x14ac:dyDescent="0.2">
      <c r="A775" s="4" t="s">
        <v>1927</v>
      </c>
      <c r="B775" s="5">
        <v>6877.6987500000005</v>
      </c>
      <c r="C775" s="5">
        <f t="shared" si="25"/>
        <v>245.63209821428572</v>
      </c>
      <c r="D775" s="4">
        <v>28</v>
      </c>
      <c r="E775" s="5" t="s">
        <v>10</v>
      </c>
      <c r="F775" s="4" t="s">
        <v>1922</v>
      </c>
      <c r="G775" s="4" t="s">
        <v>12</v>
      </c>
      <c r="H775" s="4" t="s">
        <v>1923</v>
      </c>
      <c r="I775" s="4" t="s">
        <v>22</v>
      </c>
      <c r="J775" s="4" t="s">
        <v>1928</v>
      </c>
      <c r="K775" s="4" t="s">
        <v>90</v>
      </c>
      <c r="M775">
        <f t="shared" si="24"/>
        <v>221.06888839285716</v>
      </c>
    </row>
    <row r="776" spans="1:13" ht="14" x14ac:dyDescent="0.2">
      <c r="A776" s="4" t="s">
        <v>1929</v>
      </c>
      <c r="B776" s="5">
        <v>6212.1150000000007</v>
      </c>
      <c r="C776" s="5">
        <f t="shared" si="25"/>
        <v>221.86125000000001</v>
      </c>
      <c r="D776" s="4">
        <v>28</v>
      </c>
      <c r="E776" s="5" t="s">
        <v>10</v>
      </c>
      <c r="F776" s="4" t="s">
        <v>1926</v>
      </c>
      <c r="G776" s="4" t="s">
        <v>12</v>
      </c>
      <c r="H776" s="4" t="s">
        <v>1926</v>
      </c>
      <c r="I776" s="4" t="s">
        <v>22</v>
      </c>
      <c r="J776" s="4" t="s">
        <v>148</v>
      </c>
      <c r="K776" s="4" t="s">
        <v>90</v>
      </c>
      <c r="M776">
        <f t="shared" si="24"/>
        <v>199.67512500000001</v>
      </c>
    </row>
    <row r="777" spans="1:13" ht="14" x14ac:dyDescent="0.2">
      <c r="A777" s="4" t="s">
        <v>1930</v>
      </c>
      <c r="B777" s="5">
        <v>4991.8781250000002</v>
      </c>
      <c r="C777" s="5">
        <f t="shared" si="25"/>
        <v>166.3959375</v>
      </c>
      <c r="D777" s="4">
        <v>30</v>
      </c>
      <c r="E777" s="5" t="s">
        <v>10</v>
      </c>
      <c r="F777" s="4" t="s">
        <v>1926</v>
      </c>
      <c r="G777" s="4" t="s">
        <v>12</v>
      </c>
      <c r="H777" s="4" t="s">
        <v>1926</v>
      </c>
      <c r="I777" s="4" t="s">
        <v>22</v>
      </c>
      <c r="J777" s="4" t="s">
        <v>200</v>
      </c>
      <c r="K777" s="4" t="s">
        <v>90</v>
      </c>
      <c r="M777">
        <f t="shared" si="24"/>
        <v>149.75634375000001</v>
      </c>
    </row>
    <row r="778" spans="1:13" ht="14" x14ac:dyDescent="0.2">
      <c r="A778" s="4" t="s">
        <v>1931</v>
      </c>
      <c r="B778" s="5">
        <v>18303.553125000002</v>
      </c>
      <c r="C778" s="5">
        <f t="shared" si="25"/>
        <v>915.17765625000015</v>
      </c>
      <c r="D778" s="4">
        <v>20</v>
      </c>
      <c r="E778" s="5" t="s">
        <v>10</v>
      </c>
      <c r="F778" s="4" t="s">
        <v>1932</v>
      </c>
      <c r="G778" s="4" t="s">
        <v>12</v>
      </c>
      <c r="H778" s="4" t="s">
        <v>1933</v>
      </c>
      <c r="I778" s="4" t="s">
        <v>14</v>
      </c>
      <c r="J778" s="4" t="s">
        <v>140</v>
      </c>
      <c r="K778" s="4" t="s">
        <v>34</v>
      </c>
      <c r="M778">
        <f t="shared" si="24"/>
        <v>823.65989062500012</v>
      </c>
    </row>
    <row r="779" spans="1:13" ht="14" x14ac:dyDescent="0.2">
      <c r="A779" s="4" t="s">
        <v>1934</v>
      </c>
      <c r="B779" s="5">
        <v>20522.165625000001</v>
      </c>
      <c r="C779" s="5">
        <f t="shared" si="25"/>
        <v>20522.165625000001</v>
      </c>
      <c r="D779" s="4">
        <v>1</v>
      </c>
      <c r="E779" s="5" t="s">
        <v>59</v>
      </c>
      <c r="F779" s="4" t="s">
        <v>1935</v>
      </c>
      <c r="G779" s="4" t="s">
        <v>12</v>
      </c>
      <c r="H779" s="4" t="s">
        <v>1934</v>
      </c>
      <c r="I779" s="4" t="s">
        <v>14</v>
      </c>
      <c r="J779" s="4" t="s">
        <v>1936</v>
      </c>
      <c r="K779" s="4" t="s">
        <v>227</v>
      </c>
      <c r="M779">
        <f t="shared" si="24"/>
        <v>18469.9490625</v>
      </c>
    </row>
    <row r="780" spans="1:13" ht="14" x14ac:dyDescent="0.2">
      <c r="A780" s="4" t="s">
        <v>1937</v>
      </c>
      <c r="B780" s="5">
        <v>19080.067500000001</v>
      </c>
      <c r="C780" s="5">
        <f t="shared" si="25"/>
        <v>19080.067500000001</v>
      </c>
      <c r="D780" s="4">
        <v>1</v>
      </c>
      <c r="E780" s="5" t="s">
        <v>59</v>
      </c>
      <c r="F780" s="4" t="s">
        <v>1938</v>
      </c>
      <c r="G780" s="4" t="s">
        <v>12</v>
      </c>
      <c r="H780" s="4" t="s">
        <v>1933</v>
      </c>
      <c r="I780" s="4" t="s">
        <v>14</v>
      </c>
      <c r="J780" s="4" t="s">
        <v>1939</v>
      </c>
      <c r="K780" s="4" t="s">
        <v>227</v>
      </c>
      <c r="M780">
        <f t="shared" si="24"/>
        <v>17172.060750000001</v>
      </c>
    </row>
    <row r="781" spans="1:13" ht="14" x14ac:dyDescent="0.2">
      <c r="A781" s="4" t="s">
        <v>1940</v>
      </c>
      <c r="B781" s="5">
        <v>22740.778125000001</v>
      </c>
      <c r="C781" s="5">
        <f t="shared" si="25"/>
        <v>4548.1556250000003</v>
      </c>
      <c r="D781" s="4">
        <v>5</v>
      </c>
      <c r="E781" s="5" t="s">
        <v>10</v>
      </c>
      <c r="F781" s="4" t="s">
        <v>1941</v>
      </c>
      <c r="G781" s="4" t="s">
        <v>20</v>
      </c>
      <c r="H781" s="4" t="s">
        <v>1942</v>
      </c>
      <c r="I781" s="4" t="s">
        <v>22</v>
      </c>
      <c r="J781" s="4" t="s">
        <v>1943</v>
      </c>
      <c r="K781" s="4" t="s">
        <v>34</v>
      </c>
      <c r="M781">
        <f t="shared" si="24"/>
        <v>4093.3400625000004</v>
      </c>
    </row>
    <row r="782" spans="1:13" ht="14" x14ac:dyDescent="0.2">
      <c r="A782" s="4" t="s">
        <v>1944</v>
      </c>
      <c r="B782" s="5">
        <v>41709.915000000001</v>
      </c>
      <c r="C782" s="5">
        <f t="shared" si="25"/>
        <v>4170.9915000000001</v>
      </c>
      <c r="D782" s="4">
        <v>10</v>
      </c>
      <c r="E782" s="5" t="s">
        <v>10</v>
      </c>
      <c r="F782" s="4" t="s">
        <v>1945</v>
      </c>
      <c r="G782" s="4" t="s">
        <v>12</v>
      </c>
      <c r="H782" s="4" t="s">
        <v>1946</v>
      </c>
      <c r="I782" s="4" t="s">
        <v>14</v>
      </c>
      <c r="J782" s="4" t="s">
        <v>207</v>
      </c>
      <c r="K782" s="4" t="s">
        <v>227</v>
      </c>
      <c r="M782">
        <f t="shared" si="24"/>
        <v>3753.8923500000001</v>
      </c>
    </row>
    <row r="783" spans="1:13" ht="14" x14ac:dyDescent="0.2">
      <c r="A783" s="4" t="s">
        <v>1947</v>
      </c>
      <c r="B783" s="5">
        <v>2440.4737500000001</v>
      </c>
      <c r="C783" s="5">
        <f t="shared" si="25"/>
        <v>2440.4737500000001</v>
      </c>
      <c r="D783" s="4">
        <v>1</v>
      </c>
      <c r="E783" s="5" t="s">
        <v>55</v>
      </c>
      <c r="F783" s="4" t="s">
        <v>1948</v>
      </c>
      <c r="G783" s="4" t="s">
        <v>20</v>
      </c>
      <c r="H783" s="4" t="s">
        <v>1949</v>
      </c>
      <c r="I783" s="4" t="s">
        <v>22</v>
      </c>
      <c r="J783" s="4" t="s">
        <v>1950</v>
      </c>
      <c r="K783" s="4" t="s">
        <v>53</v>
      </c>
      <c r="M783">
        <f t="shared" si="24"/>
        <v>2196.426375</v>
      </c>
    </row>
    <row r="784" spans="1:13" ht="14" x14ac:dyDescent="0.2">
      <c r="A784" s="4" t="s">
        <v>1951</v>
      </c>
      <c r="B784" s="5">
        <v>54910.659375000003</v>
      </c>
      <c r="C784" s="5">
        <f t="shared" si="25"/>
        <v>1830.3553125000001</v>
      </c>
      <c r="D784" s="4">
        <v>30</v>
      </c>
      <c r="E784" s="5" t="s">
        <v>10</v>
      </c>
      <c r="F784" s="4" t="s">
        <v>1952</v>
      </c>
      <c r="G784" s="4" t="s">
        <v>12</v>
      </c>
      <c r="H784" s="4" t="s">
        <v>1952</v>
      </c>
      <c r="I784" s="4" t="s">
        <v>14</v>
      </c>
      <c r="J784" s="4" t="s">
        <v>707</v>
      </c>
      <c r="K784" s="4" t="s">
        <v>48</v>
      </c>
      <c r="M784">
        <f t="shared" si="24"/>
        <v>1647.31978125</v>
      </c>
    </row>
    <row r="785" spans="1:25" ht="14" x14ac:dyDescent="0.2">
      <c r="A785" s="4" t="s">
        <v>1953</v>
      </c>
      <c r="B785" s="5">
        <v>10538.409375000001</v>
      </c>
      <c r="C785" s="5">
        <f t="shared" si="25"/>
        <v>1053.8409375000001</v>
      </c>
      <c r="D785" s="4">
        <v>10</v>
      </c>
      <c r="E785" s="5" t="s">
        <v>10</v>
      </c>
      <c r="F785" s="4" t="s">
        <v>1954</v>
      </c>
      <c r="G785" s="4" t="s">
        <v>12</v>
      </c>
      <c r="H785" s="4" t="s">
        <v>1955</v>
      </c>
      <c r="I785" s="4" t="s">
        <v>14</v>
      </c>
      <c r="J785" s="4" t="s">
        <v>1956</v>
      </c>
      <c r="K785" s="4" t="s">
        <v>406</v>
      </c>
      <c r="M785">
        <f t="shared" si="24"/>
        <v>948.45684375000008</v>
      </c>
    </row>
    <row r="786" spans="1:25" ht="14" x14ac:dyDescent="0.2">
      <c r="A786" s="4" t="s">
        <v>1957</v>
      </c>
      <c r="B786" s="5">
        <v>206486.26537500002</v>
      </c>
      <c r="C786" s="5">
        <f t="shared" si="25"/>
        <v>6882.8755125000007</v>
      </c>
      <c r="D786" s="4">
        <v>30</v>
      </c>
      <c r="E786" s="5" t="s">
        <v>10</v>
      </c>
      <c r="F786" s="4" t="s">
        <v>1958</v>
      </c>
      <c r="G786" s="4" t="s">
        <v>12</v>
      </c>
      <c r="H786" s="4" t="s">
        <v>1958</v>
      </c>
      <c r="I786" s="4" t="s">
        <v>22</v>
      </c>
      <c r="J786" s="4" t="s">
        <v>495</v>
      </c>
      <c r="K786" s="4" t="s">
        <v>511</v>
      </c>
      <c r="M786">
        <f t="shared" si="24"/>
        <v>6194.5879612500003</v>
      </c>
    </row>
    <row r="787" spans="1:25" ht="14" x14ac:dyDescent="0.2">
      <c r="A787" s="4" t="s">
        <v>1959</v>
      </c>
      <c r="B787" s="5">
        <v>1885.8206250000001</v>
      </c>
      <c r="C787" s="5">
        <f t="shared" si="25"/>
        <v>1885.8206250000001</v>
      </c>
      <c r="D787" s="4">
        <v>1</v>
      </c>
      <c r="E787" s="5" t="s">
        <v>124</v>
      </c>
      <c r="F787" s="4" t="s">
        <v>1960</v>
      </c>
      <c r="G787" s="4" t="s">
        <v>12</v>
      </c>
      <c r="H787" s="4" t="s">
        <v>1960</v>
      </c>
      <c r="I787" s="4" t="s">
        <v>22</v>
      </c>
      <c r="J787" s="4" t="s">
        <v>1961</v>
      </c>
      <c r="K787" s="4" t="s">
        <v>312</v>
      </c>
      <c r="M787">
        <f t="shared" si="24"/>
        <v>1697.2385625000002</v>
      </c>
    </row>
    <row r="788" spans="1:25" ht="14" x14ac:dyDescent="0.2">
      <c r="A788" s="4" t="s">
        <v>1962</v>
      </c>
      <c r="B788" s="5">
        <v>1774.89</v>
      </c>
      <c r="C788" s="5">
        <f t="shared" si="25"/>
        <v>1774.89</v>
      </c>
      <c r="D788" s="4">
        <v>1</v>
      </c>
      <c r="E788" s="5" t="s">
        <v>55</v>
      </c>
      <c r="F788" s="4" t="s">
        <v>1963</v>
      </c>
      <c r="G788" s="4" t="s">
        <v>20</v>
      </c>
      <c r="H788" s="4" t="s">
        <v>1964</v>
      </c>
      <c r="I788" s="4" t="s">
        <v>22</v>
      </c>
      <c r="K788" s="4" t="s">
        <v>53</v>
      </c>
      <c r="M788">
        <f t="shared" si="24"/>
        <v>1597.4010000000001</v>
      </c>
    </row>
    <row r="789" spans="1:25" ht="14" x14ac:dyDescent="0.2">
      <c r="A789" s="4" t="s">
        <v>1965</v>
      </c>
      <c r="B789" s="5">
        <v>1774.89</v>
      </c>
      <c r="C789" s="5">
        <f t="shared" si="25"/>
        <v>1774.89</v>
      </c>
      <c r="D789" s="4">
        <v>1</v>
      </c>
      <c r="E789" s="5" t="s">
        <v>950</v>
      </c>
      <c r="F789" s="4" t="s">
        <v>1966</v>
      </c>
      <c r="G789" s="4" t="s">
        <v>20</v>
      </c>
      <c r="H789" s="4" t="s">
        <v>1965</v>
      </c>
      <c r="I789" s="4" t="s">
        <v>22</v>
      </c>
      <c r="J789" s="4" t="s">
        <v>1967</v>
      </c>
      <c r="K789" s="4" t="s">
        <v>53</v>
      </c>
      <c r="M789">
        <f t="shared" si="24"/>
        <v>1597.4010000000001</v>
      </c>
    </row>
    <row r="790" spans="1:25" ht="14" x14ac:dyDescent="0.2">
      <c r="A790" s="4" t="s">
        <v>1968</v>
      </c>
      <c r="B790" s="5">
        <v>21964.263750000002</v>
      </c>
      <c r="C790" s="5">
        <f t="shared" si="25"/>
        <v>732.14212500000008</v>
      </c>
      <c r="D790" s="4">
        <v>30</v>
      </c>
      <c r="E790" s="5" t="s">
        <v>10</v>
      </c>
      <c r="F790" s="4" t="s">
        <v>1945</v>
      </c>
      <c r="G790" s="4" t="s">
        <v>12</v>
      </c>
      <c r="H790" s="4" t="s">
        <v>1969</v>
      </c>
      <c r="I790" s="4" t="s">
        <v>14</v>
      </c>
      <c r="J790" s="4" t="s">
        <v>95</v>
      </c>
      <c r="K790" s="4" t="s">
        <v>227</v>
      </c>
      <c r="M790">
        <f t="shared" si="24"/>
        <v>658.92791250000005</v>
      </c>
    </row>
    <row r="791" spans="1:25" ht="14" x14ac:dyDescent="0.2">
      <c r="A791" s="4" t="s">
        <v>1970</v>
      </c>
      <c r="B791" s="5">
        <v>14420.981250000001</v>
      </c>
      <c r="C791" s="5">
        <f t="shared" si="25"/>
        <v>1442.098125</v>
      </c>
      <c r="D791" s="4">
        <v>10</v>
      </c>
      <c r="E791" s="5" t="s">
        <v>10</v>
      </c>
      <c r="F791" s="4" t="s">
        <v>1971</v>
      </c>
      <c r="G791" s="4" t="s">
        <v>12</v>
      </c>
      <c r="H791" s="4" t="s">
        <v>1971</v>
      </c>
      <c r="I791" s="4" t="s">
        <v>14</v>
      </c>
      <c r="J791" s="4" t="s">
        <v>207</v>
      </c>
      <c r="K791" s="4" t="s">
        <v>227</v>
      </c>
      <c r="M791">
        <f t="shared" si="24"/>
        <v>1297.8883125</v>
      </c>
    </row>
    <row r="792" spans="1:25" ht="14" x14ac:dyDescent="0.2">
      <c r="A792" s="4" t="s">
        <v>1972</v>
      </c>
      <c r="B792" s="5">
        <v>43207.478437500002</v>
      </c>
      <c r="C792" s="5">
        <f t="shared" si="25"/>
        <v>43207.478437500002</v>
      </c>
      <c r="D792" s="4">
        <v>1</v>
      </c>
      <c r="E792" s="5" t="s">
        <v>59</v>
      </c>
      <c r="F792" s="4" t="s">
        <v>1945</v>
      </c>
      <c r="G792" s="4" t="s">
        <v>12</v>
      </c>
      <c r="H792" s="4" t="s">
        <v>1969</v>
      </c>
      <c r="I792" s="4" t="s">
        <v>14</v>
      </c>
      <c r="J792" s="4" t="s">
        <v>132</v>
      </c>
      <c r="K792" s="4" t="s">
        <v>227</v>
      </c>
      <c r="M792">
        <f t="shared" si="24"/>
        <v>38886.730593749999</v>
      </c>
    </row>
    <row r="793" spans="1:25" ht="14" x14ac:dyDescent="0.2">
      <c r="A793" s="4" t="s">
        <v>1973</v>
      </c>
      <c r="B793" s="5">
        <v>40711.539375</v>
      </c>
      <c r="C793" s="5">
        <f t="shared" si="25"/>
        <v>1357.0513125</v>
      </c>
      <c r="D793" s="4">
        <v>30</v>
      </c>
      <c r="E793" s="5" t="s">
        <v>957</v>
      </c>
      <c r="F793" s="4" t="s">
        <v>1973</v>
      </c>
      <c r="G793" s="4" t="s">
        <v>12</v>
      </c>
      <c r="H793" s="4" t="s">
        <v>1974</v>
      </c>
      <c r="I793" s="4" t="s">
        <v>22</v>
      </c>
      <c r="J793" s="4" t="s">
        <v>1172</v>
      </c>
      <c r="K793" s="4" t="s">
        <v>312</v>
      </c>
      <c r="M793">
        <f t="shared" si="24"/>
        <v>1221.34618125</v>
      </c>
    </row>
    <row r="794" spans="1:25" ht="14" x14ac:dyDescent="0.2">
      <c r="A794" s="4" t="s">
        <v>1975</v>
      </c>
      <c r="B794" s="5">
        <v>13200.744375000002</v>
      </c>
      <c r="C794" s="5">
        <f t="shared" si="25"/>
        <v>412.52326171875006</v>
      </c>
      <c r="D794" s="4">
        <v>32</v>
      </c>
      <c r="E794" s="5" t="s">
        <v>10</v>
      </c>
      <c r="F794" s="4" t="s">
        <v>1976</v>
      </c>
      <c r="G794" s="4" t="s">
        <v>20</v>
      </c>
      <c r="H794" s="4" t="s">
        <v>1977</v>
      </c>
      <c r="I794" s="4" t="s">
        <v>14</v>
      </c>
      <c r="J794" s="4" t="s">
        <v>207</v>
      </c>
      <c r="K794" s="4" t="s">
        <v>87</v>
      </c>
      <c r="M794">
        <f t="shared" si="24"/>
        <v>371.27093554687508</v>
      </c>
    </row>
    <row r="795" spans="1:25" ht="14" x14ac:dyDescent="0.2">
      <c r="A795" s="7" t="s">
        <v>5288</v>
      </c>
      <c r="B795" s="10">
        <v>12313.299375000001</v>
      </c>
      <c r="C795" s="5">
        <f t="shared" si="25"/>
        <v>513.05414062500006</v>
      </c>
      <c r="D795" s="9">
        <v>24</v>
      </c>
      <c r="E795" s="10" t="s">
        <v>5193</v>
      </c>
      <c r="F795" s="7" t="s">
        <v>5289</v>
      </c>
      <c r="G795" s="7" t="s">
        <v>20</v>
      </c>
      <c r="H795" s="7" t="s">
        <v>1977</v>
      </c>
      <c r="I795" s="4" t="s">
        <v>22</v>
      </c>
      <c r="J795" s="7" t="s">
        <v>1208</v>
      </c>
      <c r="K795" s="7" t="s">
        <v>87</v>
      </c>
      <c r="L795" s="4"/>
      <c r="M795">
        <f t="shared" si="24"/>
        <v>461.74872656250005</v>
      </c>
      <c r="N795" s="3"/>
      <c r="O795" s="3"/>
      <c r="P795" s="3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" x14ac:dyDescent="0.2">
      <c r="A796" s="4" t="s">
        <v>1978</v>
      </c>
      <c r="B796" s="5">
        <v>1220.2368750000001</v>
      </c>
      <c r="C796" s="5">
        <f t="shared" si="25"/>
        <v>1220.2368750000001</v>
      </c>
      <c r="D796" s="4">
        <v>1</v>
      </c>
      <c r="E796" s="5" t="s">
        <v>1979</v>
      </c>
      <c r="F796" s="4" t="s">
        <v>1980</v>
      </c>
      <c r="G796" s="4" t="s">
        <v>20</v>
      </c>
      <c r="H796" s="4" t="s">
        <v>1978</v>
      </c>
      <c r="I796" s="4" t="s">
        <v>22</v>
      </c>
      <c r="J796" s="4" t="s">
        <v>1981</v>
      </c>
      <c r="K796" s="4" t="s">
        <v>34</v>
      </c>
      <c r="M796">
        <f t="shared" si="24"/>
        <v>1098.2131875</v>
      </c>
    </row>
    <row r="797" spans="1:25" ht="14" x14ac:dyDescent="0.2">
      <c r="A797" s="4" t="s">
        <v>1982</v>
      </c>
      <c r="B797" s="5">
        <v>1830.3553125000001</v>
      </c>
      <c r="C797" s="5">
        <f t="shared" si="25"/>
        <v>1830.3553125000001</v>
      </c>
      <c r="D797" s="4">
        <v>1</v>
      </c>
      <c r="E797" s="5" t="s">
        <v>181</v>
      </c>
      <c r="F797" s="4" t="s">
        <v>1869</v>
      </c>
      <c r="G797" s="4" t="s">
        <v>20</v>
      </c>
      <c r="H797" s="4" t="s">
        <v>1983</v>
      </c>
      <c r="I797" s="4" t="s">
        <v>22</v>
      </c>
      <c r="J797" s="4" t="s">
        <v>824</v>
      </c>
      <c r="K797" s="4" t="s">
        <v>53</v>
      </c>
      <c r="M797">
        <f t="shared" ref="M797:M860" si="26">C797-(C797* 10%)</f>
        <v>1647.31978125</v>
      </c>
    </row>
    <row r="798" spans="1:25" ht="14" x14ac:dyDescent="0.2">
      <c r="A798" s="4" t="s">
        <v>1984</v>
      </c>
      <c r="B798" s="5">
        <v>2074.4026875</v>
      </c>
      <c r="C798" s="5">
        <f t="shared" si="25"/>
        <v>2074.4026875</v>
      </c>
      <c r="D798" s="4">
        <v>1</v>
      </c>
      <c r="E798" s="5" t="s">
        <v>181</v>
      </c>
      <c r="F798" s="4" t="s">
        <v>1869</v>
      </c>
      <c r="G798" s="4" t="s">
        <v>20</v>
      </c>
      <c r="H798" s="4" t="s">
        <v>1985</v>
      </c>
      <c r="I798" s="4" t="s">
        <v>22</v>
      </c>
      <c r="J798" s="4" t="s">
        <v>824</v>
      </c>
      <c r="K798" s="4" t="s">
        <v>53</v>
      </c>
      <c r="M798">
        <f t="shared" si="26"/>
        <v>1866.9624187499999</v>
      </c>
    </row>
    <row r="799" spans="1:25" ht="14" x14ac:dyDescent="0.2">
      <c r="A799" s="4" t="s">
        <v>1986</v>
      </c>
      <c r="B799" s="5">
        <v>2773.2656250000005</v>
      </c>
      <c r="C799" s="5">
        <f t="shared" si="25"/>
        <v>2773.2656250000005</v>
      </c>
      <c r="D799" s="4">
        <v>1</v>
      </c>
      <c r="E799" s="5" t="s">
        <v>181</v>
      </c>
      <c r="F799" s="4" t="s">
        <v>1869</v>
      </c>
      <c r="G799" s="4" t="s">
        <v>20</v>
      </c>
      <c r="H799" s="4" t="s">
        <v>1987</v>
      </c>
      <c r="I799" s="4" t="s">
        <v>22</v>
      </c>
      <c r="J799" s="4" t="s">
        <v>1228</v>
      </c>
      <c r="K799" s="4" t="s">
        <v>53</v>
      </c>
      <c r="M799">
        <f t="shared" si="26"/>
        <v>2495.9390625000005</v>
      </c>
    </row>
    <row r="800" spans="1:25" ht="14" x14ac:dyDescent="0.2">
      <c r="A800" s="4" t="s">
        <v>1988</v>
      </c>
      <c r="B800" s="5">
        <v>3216.9881250000003</v>
      </c>
      <c r="C800" s="5">
        <f t="shared" si="25"/>
        <v>321.69881250000003</v>
      </c>
      <c r="D800" s="4">
        <v>10</v>
      </c>
      <c r="E800" s="5" t="s">
        <v>30</v>
      </c>
      <c r="F800" s="4" t="s">
        <v>1988</v>
      </c>
      <c r="G800" s="4" t="s">
        <v>20</v>
      </c>
      <c r="H800" s="4" t="s">
        <v>1989</v>
      </c>
      <c r="I800" s="4" t="s">
        <v>22</v>
      </c>
      <c r="J800" s="4" t="s">
        <v>89</v>
      </c>
      <c r="K800" s="4" t="s">
        <v>53</v>
      </c>
      <c r="M800">
        <f t="shared" si="26"/>
        <v>289.52893125000003</v>
      </c>
    </row>
    <row r="801" spans="1:25" ht="14" x14ac:dyDescent="0.2">
      <c r="A801" s="4" t="s">
        <v>1990</v>
      </c>
      <c r="B801" s="5">
        <v>4880.9475000000002</v>
      </c>
      <c r="C801" s="5">
        <f t="shared" si="25"/>
        <v>488.09475000000003</v>
      </c>
      <c r="D801" s="4">
        <v>10</v>
      </c>
      <c r="E801" s="5" t="s">
        <v>10</v>
      </c>
      <c r="F801" s="4" t="s">
        <v>1869</v>
      </c>
      <c r="G801" s="4" t="s">
        <v>20</v>
      </c>
      <c r="H801" s="4" t="s">
        <v>1987</v>
      </c>
      <c r="I801" s="4" t="s">
        <v>22</v>
      </c>
      <c r="J801" s="4" t="s">
        <v>207</v>
      </c>
      <c r="K801" s="4" t="s">
        <v>53</v>
      </c>
      <c r="M801">
        <f t="shared" si="26"/>
        <v>439.28527500000001</v>
      </c>
    </row>
    <row r="802" spans="1:25" ht="14" x14ac:dyDescent="0.2">
      <c r="A802" s="4" t="s">
        <v>1991</v>
      </c>
      <c r="B802" s="5">
        <v>2440.4737500000001</v>
      </c>
      <c r="C802" s="5">
        <f t="shared" si="25"/>
        <v>2440.4737500000001</v>
      </c>
      <c r="D802" s="4">
        <v>1</v>
      </c>
      <c r="E802" s="5" t="s">
        <v>142</v>
      </c>
      <c r="F802" s="4" t="s">
        <v>1869</v>
      </c>
      <c r="G802" s="4" t="s">
        <v>20</v>
      </c>
      <c r="H802" s="4" t="s">
        <v>1869</v>
      </c>
      <c r="I802" s="4" t="s">
        <v>22</v>
      </c>
      <c r="K802" s="4" t="s">
        <v>53</v>
      </c>
      <c r="M802">
        <f t="shared" si="26"/>
        <v>2196.426375</v>
      </c>
    </row>
    <row r="803" spans="1:25" ht="14" x14ac:dyDescent="0.2">
      <c r="A803" s="4" t="s">
        <v>1992</v>
      </c>
      <c r="B803" s="5">
        <v>2995.1268750000004</v>
      </c>
      <c r="C803" s="5">
        <f t="shared" si="25"/>
        <v>2995.1268750000004</v>
      </c>
      <c r="D803" s="4">
        <v>1</v>
      </c>
      <c r="E803" s="5" t="s">
        <v>181</v>
      </c>
      <c r="F803" s="4" t="s">
        <v>1869</v>
      </c>
      <c r="G803" s="4" t="s">
        <v>20</v>
      </c>
      <c r="H803" s="4" t="s">
        <v>1869</v>
      </c>
      <c r="I803" s="4" t="s">
        <v>22</v>
      </c>
      <c r="J803" s="4" t="s">
        <v>1094</v>
      </c>
      <c r="K803" s="4" t="s">
        <v>53</v>
      </c>
      <c r="M803">
        <f t="shared" si="26"/>
        <v>2695.6141875000003</v>
      </c>
    </row>
    <row r="804" spans="1:25" ht="14" x14ac:dyDescent="0.2">
      <c r="A804" s="4" t="s">
        <v>1993</v>
      </c>
      <c r="B804" s="5">
        <v>43262.943750000006</v>
      </c>
      <c r="C804" s="5">
        <f t="shared" si="25"/>
        <v>43262.943750000006</v>
      </c>
      <c r="D804" s="4">
        <v>1</v>
      </c>
      <c r="E804" s="5" t="s">
        <v>124</v>
      </c>
      <c r="F804" s="4" t="s">
        <v>1994</v>
      </c>
      <c r="G804" s="4" t="s">
        <v>12</v>
      </c>
      <c r="H804" s="4" t="s">
        <v>1994</v>
      </c>
      <c r="I804" s="4" t="s">
        <v>22</v>
      </c>
      <c r="J804" s="4" t="s">
        <v>1995</v>
      </c>
      <c r="K804" s="4" t="s">
        <v>68</v>
      </c>
      <c r="M804">
        <f t="shared" si="26"/>
        <v>38936.649375000008</v>
      </c>
    </row>
    <row r="805" spans="1:25" ht="14" x14ac:dyDescent="0.2">
      <c r="A805" s="4" t="s">
        <v>1996</v>
      </c>
      <c r="B805" s="5">
        <v>6101.1843750000007</v>
      </c>
      <c r="C805" s="5">
        <f t="shared" si="25"/>
        <v>217.89944196428573</v>
      </c>
      <c r="D805" s="4">
        <v>28</v>
      </c>
      <c r="E805" s="5" t="s">
        <v>10</v>
      </c>
      <c r="F805" s="4" t="s">
        <v>1997</v>
      </c>
      <c r="G805" s="4" t="s">
        <v>12</v>
      </c>
      <c r="H805" s="4" t="s">
        <v>1997</v>
      </c>
      <c r="I805" s="4" t="s">
        <v>22</v>
      </c>
      <c r="J805" s="4" t="s">
        <v>148</v>
      </c>
      <c r="K805" s="4" t="s">
        <v>227</v>
      </c>
      <c r="M805">
        <f t="shared" si="26"/>
        <v>196.10949776785716</v>
      </c>
    </row>
    <row r="806" spans="1:25" ht="14" x14ac:dyDescent="0.2">
      <c r="A806" s="4" t="s">
        <v>1998</v>
      </c>
      <c r="B806" s="5">
        <v>22740.778125000001</v>
      </c>
      <c r="C806" s="5">
        <f t="shared" si="25"/>
        <v>812.17064732142865</v>
      </c>
      <c r="D806" s="4">
        <v>28</v>
      </c>
      <c r="E806" s="5" t="s">
        <v>10</v>
      </c>
      <c r="F806" s="4" t="s">
        <v>1998</v>
      </c>
      <c r="G806" s="4" t="s">
        <v>12</v>
      </c>
      <c r="H806" s="4" t="s">
        <v>1998</v>
      </c>
      <c r="I806" s="4" t="s">
        <v>22</v>
      </c>
      <c r="J806" s="4" t="s">
        <v>405</v>
      </c>
      <c r="K806" s="4" t="s">
        <v>227</v>
      </c>
      <c r="M806">
        <f t="shared" si="26"/>
        <v>730.95358258928582</v>
      </c>
    </row>
    <row r="807" spans="1:25" ht="14" x14ac:dyDescent="0.2">
      <c r="A807" s="4" t="s">
        <v>1999</v>
      </c>
      <c r="B807" s="5">
        <v>8763.5193750000017</v>
      </c>
      <c r="C807" s="5">
        <f t="shared" si="25"/>
        <v>438.1759687500001</v>
      </c>
      <c r="D807" s="4">
        <v>20</v>
      </c>
      <c r="E807" s="5" t="s">
        <v>10</v>
      </c>
      <c r="F807" s="4" t="s">
        <v>2000</v>
      </c>
      <c r="G807" s="4" t="s">
        <v>12</v>
      </c>
      <c r="H807" s="4" t="s">
        <v>2001</v>
      </c>
      <c r="I807" s="4" t="s">
        <v>14</v>
      </c>
      <c r="J807" s="4" t="s">
        <v>15</v>
      </c>
      <c r="K807" s="4" t="s">
        <v>312</v>
      </c>
      <c r="M807">
        <f t="shared" si="26"/>
        <v>394.3583718750001</v>
      </c>
    </row>
    <row r="808" spans="1:25" ht="14" x14ac:dyDescent="0.2">
      <c r="A808" s="4" t="s">
        <v>2002</v>
      </c>
      <c r="B808" s="5">
        <v>213910.85210625004</v>
      </c>
      <c r="C808" s="5">
        <f t="shared" si="25"/>
        <v>7639.6732895089299</v>
      </c>
      <c r="D808" s="4">
        <v>28</v>
      </c>
      <c r="E808" s="5" t="s">
        <v>10</v>
      </c>
      <c r="F808" s="4" t="s">
        <v>2003</v>
      </c>
      <c r="G808" s="4" t="s">
        <v>12</v>
      </c>
      <c r="H808" s="4" t="s">
        <v>2004</v>
      </c>
      <c r="I808" s="4" t="s">
        <v>22</v>
      </c>
      <c r="J808" s="4" t="s">
        <v>200</v>
      </c>
      <c r="K808" s="4" t="s">
        <v>68</v>
      </c>
      <c r="M808">
        <f t="shared" si="26"/>
        <v>6875.7059605580371</v>
      </c>
    </row>
    <row r="809" spans="1:25" ht="14" x14ac:dyDescent="0.2">
      <c r="A809" s="4" t="s">
        <v>2005</v>
      </c>
      <c r="B809" s="5">
        <v>8319.796875</v>
      </c>
      <c r="C809" s="5">
        <f t="shared" si="25"/>
        <v>277.32656250000002</v>
      </c>
      <c r="D809" s="4">
        <v>30</v>
      </c>
      <c r="E809" s="5" t="s">
        <v>10</v>
      </c>
      <c r="F809" s="4" t="s">
        <v>2006</v>
      </c>
      <c r="G809" s="4" t="s">
        <v>20</v>
      </c>
      <c r="H809" s="4" t="s">
        <v>2007</v>
      </c>
      <c r="I809" s="4" t="s">
        <v>22</v>
      </c>
      <c r="J809" s="4" t="s">
        <v>495</v>
      </c>
      <c r="K809" s="4" t="s">
        <v>748</v>
      </c>
      <c r="M809">
        <f t="shared" si="26"/>
        <v>249.59390625000003</v>
      </c>
    </row>
    <row r="810" spans="1:25" ht="14" x14ac:dyDescent="0.2">
      <c r="A810" s="4" t="s">
        <v>2008</v>
      </c>
      <c r="B810" s="5">
        <v>13866.328125000002</v>
      </c>
      <c r="C810" s="5">
        <f t="shared" si="25"/>
        <v>13866.328125000002</v>
      </c>
      <c r="D810" s="4">
        <v>1</v>
      </c>
      <c r="E810" s="5" t="s">
        <v>10</v>
      </c>
      <c r="F810" s="4" t="s">
        <v>2009</v>
      </c>
      <c r="G810" s="4" t="s">
        <v>20</v>
      </c>
      <c r="H810" s="4" t="s">
        <v>2008</v>
      </c>
      <c r="I810" s="4" t="s">
        <v>22</v>
      </c>
      <c r="J810" s="4" t="s">
        <v>2010</v>
      </c>
      <c r="K810" s="4" t="s">
        <v>748</v>
      </c>
      <c r="M810">
        <f t="shared" si="26"/>
        <v>12479.695312500002</v>
      </c>
    </row>
    <row r="811" spans="1:25" ht="14" x14ac:dyDescent="0.2">
      <c r="A811" s="4" t="s">
        <v>2011</v>
      </c>
      <c r="B811" s="5">
        <v>3216.9881250000003</v>
      </c>
      <c r="C811" s="5">
        <f t="shared" si="25"/>
        <v>321.69881250000003</v>
      </c>
      <c r="D811" s="4">
        <v>10</v>
      </c>
      <c r="E811" s="5" t="s">
        <v>10</v>
      </c>
      <c r="F811" s="4" t="s">
        <v>2011</v>
      </c>
      <c r="G811" s="4" t="s">
        <v>12</v>
      </c>
      <c r="H811" s="4" t="s">
        <v>2007</v>
      </c>
      <c r="I811" s="4" t="s">
        <v>22</v>
      </c>
      <c r="J811" s="4" t="s">
        <v>2012</v>
      </c>
      <c r="K811" s="4" t="s">
        <v>748</v>
      </c>
      <c r="M811">
        <f t="shared" si="26"/>
        <v>289.52893125000003</v>
      </c>
    </row>
    <row r="812" spans="1:25" ht="14" x14ac:dyDescent="0.2">
      <c r="A812" s="7" t="s">
        <v>5290</v>
      </c>
      <c r="B812" s="10">
        <v>1663.9593750000001</v>
      </c>
      <c r="C812" s="5">
        <f t="shared" si="25"/>
        <v>69.331640625000006</v>
      </c>
      <c r="D812" s="9">
        <v>24</v>
      </c>
      <c r="E812" s="10" t="s">
        <v>5193</v>
      </c>
      <c r="F812" s="7" t="s">
        <v>5291</v>
      </c>
      <c r="G812" s="7" t="s">
        <v>12</v>
      </c>
      <c r="H812" s="7" t="s">
        <v>5292</v>
      </c>
      <c r="I812" s="4" t="s">
        <v>22</v>
      </c>
      <c r="J812" s="7" t="s">
        <v>2578</v>
      </c>
      <c r="K812" s="7" t="s">
        <v>53</v>
      </c>
      <c r="L812" s="4"/>
      <c r="M812">
        <f t="shared" si="26"/>
        <v>62.398476562500008</v>
      </c>
      <c r="N812" s="3"/>
      <c r="O812" s="3"/>
      <c r="P812" s="3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" x14ac:dyDescent="0.2">
      <c r="A813" s="7" t="s">
        <v>5293</v>
      </c>
      <c r="B813" s="10">
        <v>20744.026875000003</v>
      </c>
      <c r="C813" s="5">
        <f t="shared" si="25"/>
        <v>691.4675625000001</v>
      </c>
      <c r="D813" s="9">
        <v>30</v>
      </c>
      <c r="E813" s="10" t="s">
        <v>5193</v>
      </c>
      <c r="F813" s="7" t="s">
        <v>5294</v>
      </c>
      <c r="G813" s="7" t="s">
        <v>12</v>
      </c>
      <c r="H813" s="7" t="s">
        <v>5295</v>
      </c>
      <c r="I813" s="4" t="s">
        <v>22</v>
      </c>
      <c r="J813" s="7" t="s">
        <v>5296</v>
      </c>
      <c r="K813" s="7" t="s">
        <v>406</v>
      </c>
      <c r="L813" s="4"/>
      <c r="M813">
        <f t="shared" si="26"/>
        <v>622.32080625000003</v>
      </c>
      <c r="N813" s="3"/>
      <c r="O813" s="3"/>
      <c r="P813" s="3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" x14ac:dyDescent="0.2">
      <c r="A814" s="4" t="s">
        <v>2013</v>
      </c>
      <c r="B814" s="5">
        <v>16084.940625000001</v>
      </c>
      <c r="C814" s="5">
        <f t="shared" si="25"/>
        <v>16084.940625000001</v>
      </c>
      <c r="D814" s="4">
        <v>1</v>
      </c>
      <c r="E814" s="5" t="s">
        <v>55</v>
      </c>
      <c r="F814" s="4" t="s">
        <v>2014</v>
      </c>
      <c r="G814" s="4" t="s">
        <v>20</v>
      </c>
      <c r="H814" s="4" t="s">
        <v>2015</v>
      </c>
      <c r="I814" s="4" t="s">
        <v>14</v>
      </c>
      <c r="J814" s="6">
        <v>0.1</v>
      </c>
      <c r="K814" s="4" t="s">
        <v>2016</v>
      </c>
      <c r="M814">
        <f t="shared" si="26"/>
        <v>14476.446562500001</v>
      </c>
    </row>
    <row r="815" spans="1:25" ht="14" x14ac:dyDescent="0.2">
      <c r="A815" s="4" t="s">
        <v>2017</v>
      </c>
      <c r="B815" s="5">
        <v>38049.204375000001</v>
      </c>
      <c r="C815" s="5">
        <f t="shared" si="25"/>
        <v>38049.204375000001</v>
      </c>
      <c r="D815" s="4">
        <v>1</v>
      </c>
      <c r="E815" s="5" t="s">
        <v>175</v>
      </c>
      <c r="F815" s="4" t="s">
        <v>2018</v>
      </c>
      <c r="G815" s="4" t="s">
        <v>20</v>
      </c>
      <c r="H815" s="4" t="s">
        <v>2019</v>
      </c>
      <c r="I815" s="4" t="s">
        <v>14</v>
      </c>
      <c r="K815" s="4" t="s">
        <v>244</v>
      </c>
      <c r="M815">
        <f t="shared" si="26"/>
        <v>34244.283937500004</v>
      </c>
    </row>
    <row r="816" spans="1:25" ht="14" x14ac:dyDescent="0.2">
      <c r="A816" s="4" t="s">
        <v>2020</v>
      </c>
      <c r="B816" s="5">
        <v>51249.948750000003</v>
      </c>
      <c r="C816" s="5">
        <f t="shared" si="25"/>
        <v>1830.3553125000001</v>
      </c>
      <c r="D816" s="4">
        <v>28</v>
      </c>
      <c r="E816" s="5" t="s">
        <v>10</v>
      </c>
      <c r="F816" s="4" t="s">
        <v>2021</v>
      </c>
      <c r="G816" s="4" t="s">
        <v>12</v>
      </c>
      <c r="H816" s="4" t="s">
        <v>2022</v>
      </c>
      <c r="I816" s="4" t="s">
        <v>14</v>
      </c>
      <c r="J816" s="4" t="s">
        <v>2023</v>
      </c>
      <c r="K816" s="4" t="s">
        <v>90</v>
      </c>
      <c r="M816">
        <f t="shared" si="26"/>
        <v>1647.31978125</v>
      </c>
    </row>
    <row r="817" spans="1:13" ht="14" x14ac:dyDescent="0.2">
      <c r="A817" s="4" t="s">
        <v>2024</v>
      </c>
      <c r="B817" s="5">
        <v>53246.700000000004</v>
      </c>
      <c r="C817" s="5">
        <f t="shared" si="25"/>
        <v>1901.6678571428572</v>
      </c>
      <c r="D817" s="4">
        <v>28</v>
      </c>
      <c r="E817" s="5" t="s">
        <v>10</v>
      </c>
      <c r="F817" s="4" t="s">
        <v>2021</v>
      </c>
      <c r="G817" s="4" t="s">
        <v>12</v>
      </c>
      <c r="H817" s="4" t="s">
        <v>2022</v>
      </c>
      <c r="I817" s="4" t="s">
        <v>14</v>
      </c>
      <c r="J817" s="4" t="s">
        <v>2025</v>
      </c>
      <c r="K817" s="4" t="s">
        <v>90</v>
      </c>
      <c r="M817">
        <f t="shared" si="26"/>
        <v>1711.5010714285715</v>
      </c>
    </row>
    <row r="818" spans="1:13" ht="14" x14ac:dyDescent="0.2">
      <c r="A818" s="4" t="s">
        <v>2026</v>
      </c>
      <c r="B818" s="5">
        <v>51249.948750000003</v>
      </c>
      <c r="C818" s="5">
        <f t="shared" si="25"/>
        <v>1830.3553125000001</v>
      </c>
      <c r="D818" s="4">
        <v>28</v>
      </c>
      <c r="E818" s="5" t="s">
        <v>10</v>
      </c>
      <c r="F818" s="4" t="s">
        <v>2021</v>
      </c>
      <c r="G818" s="4" t="s">
        <v>12</v>
      </c>
      <c r="H818" s="4" t="s">
        <v>2022</v>
      </c>
      <c r="I818" s="4" t="s">
        <v>14</v>
      </c>
      <c r="J818" s="4" t="s">
        <v>2027</v>
      </c>
      <c r="K818" s="4" t="s">
        <v>90</v>
      </c>
      <c r="M818">
        <f t="shared" si="26"/>
        <v>1647.31978125</v>
      </c>
    </row>
    <row r="819" spans="1:13" ht="14" x14ac:dyDescent="0.2">
      <c r="A819" s="4" t="s">
        <v>2028</v>
      </c>
      <c r="B819" s="5">
        <v>53246.700000000004</v>
      </c>
      <c r="C819" s="5">
        <f t="shared" si="25"/>
        <v>1901.6678571428572</v>
      </c>
      <c r="D819" s="4">
        <v>28</v>
      </c>
      <c r="E819" s="5" t="s">
        <v>10</v>
      </c>
      <c r="F819" s="4" t="s">
        <v>2029</v>
      </c>
      <c r="G819" s="4" t="s">
        <v>12</v>
      </c>
      <c r="H819" s="4" t="s">
        <v>2030</v>
      </c>
      <c r="I819" s="4" t="s">
        <v>14</v>
      </c>
      <c r="J819" s="4" t="s">
        <v>2031</v>
      </c>
      <c r="K819" s="4" t="s">
        <v>90</v>
      </c>
      <c r="M819">
        <f t="shared" si="26"/>
        <v>1711.5010714285715</v>
      </c>
    </row>
    <row r="820" spans="1:13" ht="14" x14ac:dyDescent="0.2">
      <c r="A820" s="4" t="s">
        <v>2032</v>
      </c>
      <c r="B820" s="5">
        <v>52692.046875000007</v>
      </c>
      <c r="C820" s="5">
        <f t="shared" si="25"/>
        <v>1881.858816964286</v>
      </c>
      <c r="D820" s="4">
        <v>28</v>
      </c>
      <c r="E820" s="5" t="s">
        <v>10</v>
      </c>
      <c r="F820" s="4" t="s">
        <v>2033</v>
      </c>
      <c r="G820" s="4" t="s">
        <v>12</v>
      </c>
      <c r="H820" s="4" t="s">
        <v>2034</v>
      </c>
      <c r="I820" s="4" t="s">
        <v>14</v>
      </c>
      <c r="J820" s="4" t="s">
        <v>2035</v>
      </c>
      <c r="K820" s="4" t="s">
        <v>90</v>
      </c>
      <c r="M820">
        <f t="shared" si="26"/>
        <v>1693.6729352678574</v>
      </c>
    </row>
    <row r="821" spans="1:13" ht="14" x14ac:dyDescent="0.2">
      <c r="A821" s="4" t="s">
        <v>2036</v>
      </c>
      <c r="B821" s="5">
        <v>52802.977500000008</v>
      </c>
      <c r="C821" s="5">
        <f t="shared" si="25"/>
        <v>1885.8206250000003</v>
      </c>
      <c r="D821" s="4">
        <v>28</v>
      </c>
      <c r="E821" s="5" t="s">
        <v>10</v>
      </c>
      <c r="F821" s="4" t="s">
        <v>2033</v>
      </c>
      <c r="G821" s="4" t="s">
        <v>12</v>
      </c>
      <c r="H821" s="4" t="s">
        <v>2034</v>
      </c>
      <c r="I821" s="4" t="s">
        <v>14</v>
      </c>
      <c r="J821" s="4" t="s">
        <v>2037</v>
      </c>
      <c r="K821" s="4" t="s">
        <v>90</v>
      </c>
      <c r="M821">
        <f t="shared" si="26"/>
        <v>1697.2385625000002</v>
      </c>
    </row>
    <row r="822" spans="1:13" ht="14" x14ac:dyDescent="0.2">
      <c r="A822" s="4" t="s">
        <v>2038</v>
      </c>
      <c r="B822" s="5">
        <v>51028.087500000001</v>
      </c>
      <c r="C822" s="5">
        <f t="shared" si="25"/>
        <v>1822.4316964285715</v>
      </c>
      <c r="D822" s="4">
        <v>28</v>
      </c>
      <c r="E822" s="5" t="s">
        <v>10</v>
      </c>
      <c r="F822" s="4" t="s">
        <v>2029</v>
      </c>
      <c r="G822" s="4" t="s">
        <v>12</v>
      </c>
      <c r="H822" s="4" t="s">
        <v>2030</v>
      </c>
      <c r="I822" s="4" t="s">
        <v>14</v>
      </c>
      <c r="J822" s="4" t="s">
        <v>2039</v>
      </c>
      <c r="K822" s="4" t="s">
        <v>90</v>
      </c>
      <c r="M822">
        <f t="shared" si="26"/>
        <v>1640.1885267857144</v>
      </c>
    </row>
    <row r="823" spans="1:13" ht="14" x14ac:dyDescent="0.2">
      <c r="A823" s="4" t="s">
        <v>2040</v>
      </c>
      <c r="B823" s="5">
        <v>51582.740625000006</v>
      </c>
      <c r="C823" s="5">
        <f t="shared" si="25"/>
        <v>1842.2407366071432</v>
      </c>
      <c r="D823" s="4">
        <v>28</v>
      </c>
      <c r="E823" s="5" t="s">
        <v>10</v>
      </c>
      <c r="F823" s="4" t="s">
        <v>2041</v>
      </c>
      <c r="G823" s="4" t="s">
        <v>12</v>
      </c>
      <c r="H823" s="4" t="s">
        <v>2030</v>
      </c>
      <c r="I823" s="4" t="s">
        <v>14</v>
      </c>
      <c r="J823" s="4" t="s">
        <v>2042</v>
      </c>
      <c r="K823" s="4" t="s">
        <v>90</v>
      </c>
      <c r="M823">
        <f t="shared" si="26"/>
        <v>1658.0166629464288</v>
      </c>
    </row>
    <row r="824" spans="1:13" ht="14" x14ac:dyDescent="0.2">
      <c r="A824" s="4" t="s">
        <v>2043</v>
      </c>
      <c r="B824" s="5">
        <v>15308.426250000002</v>
      </c>
      <c r="C824" s="5">
        <f t="shared" si="25"/>
        <v>255.14043750000005</v>
      </c>
      <c r="D824" s="4">
        <v>60</v>
      </c>
      <c r="E824" s="5" t="s">
        <v>30</v>
      </c>
      <c r="F824" s="4" t="s">
        <v>2044</v>
      </c>
      <c r="G824" s="4" t="s">
        <v>20</v>
      </c>
      <c r="H824" s="4" t="s">
        <v>2045</v>
      </c>
      <c r="I824" s="4" t="s">
        <v>22</v>
      </c>
      <c r="J824" s="4" t="s">
        <v>2046</v>
      </c>
      <c r="K824" s="4" t="s">
        <v>34</v>
      </c>
      <c r="M824">
        <f t="shared" si="26"/>
        <v>229.62639375000003</v>
      </c>
    </row>
    <row r="825" spans="1:13" ht="14" x14ac:dyDescent="0.2">
      <c r="A825" s="4" t="s">
        <v>2047</v>
      </c>
      <c r="B825" s="5">
        <v>8763.5193750000017</v>
      </c>
      <c r="C825" s="5">
        <f t="shared" si="25"/>
        <v>8763.5193750000017</v>
      </c>
      <c r="D825" s="4">
        <v>1</v>
      </c>
      <c r="E825" s="5" t="s">
        <v>59</v>
      </c>
      <c r="F825" s="4" t="s">
        <v>2044</v>
      </c>
      <c r="G825" s="4" t="s">
        <v>20</v>
      </c>
      <c r="H825" s="4" t="s">
        <v>2045</v>
      </c>
      <c r="I825" s="4" t="s">
        <v>22</v>
      </c>
      <c r="J825" s="4" t="s">
        <v>2048</v>
      </c>
      <c r="K825" s="4" t="s">
        <v>34</v>
      </c>
      <c r="M825">
        <f t="shared" si="26"/>
        <v>7887.1674375000011</v>
      </c>
    </row>
    <row r="826" spans="1:13" ht="14" x14ac:dyDescent="0.2">
      <c r="A826" s="7" t="s">
        <v>5297</v>
      </c>
      <c r="B826" s="10">
        <v>7044.0946875000009</v>
      </c>
      <c r="C826" s="5">
        <f t="shared" si="25"/>
        <v>7044.0946875000009</v>
      </c>
      <c r="D826" s="9">
        <v>1</v>
      </c>
      <c r="E826" s="10" t="s">
        <v>5217</v>
      </c>
      <c r="F826" s="7" t="s">
        <v>5298</v>
      </c>
      <c r="H826" s="7" t="s">
        <v>5299</v>
      </c>
      <c r="I826" s="4" t="s">
        <v>22</v>
      </c>
      <c r="J826" s="7" t="s">
        <v>44</v>
      </c>
      <c r="K826" s="7" t="s">
        <v>5243</v>
      </c>
      <c r="M826">
        <f t="shared" si="26"/>
        <v>6339.6852187500008</v>
      </c>
    </row>
    <row r="827" spans="1:13" ht="14" x14ac:dyDescent="0.2">
      <c r="A827" s="4" t="s">
        <v>2049</v>
      </c>
      <c r="B827" s="5">
        <v>3549.78</v>
      </c>
      <c r="C827" s="5">
        <f t="shared" si="25"/>
        <v>3549.78</v>
      </c>
      <c r="D827" s="4">
        <v>1</v>
      </c>
      <c r="E827" s="5" t="s">
        <v>175</v>
      </c>
      <c r="F827" s="4" t="s">
        <v>2050</v>
      </c>
      <c r="G827" s="4" t="s">
        <v>20</v>
      </c>
      <c r="H827" s="4" t="s">
        <v>2051</v>
      </c>
      <c r="I827" s="4" t="s">
        <v>22</v>
      </c>
      <c r="J827" s="4" t="s">
        <v>2052</v>
      </c>
      <c r="K827" s="4" t="s">
        <v>244</v>
      </c>
      <c r="M827">
        <f t="shared" si="26"/>
        <v>3194.8020000000001</v>
      </c>
    </row>
    <row r="828" spans="1:13" ht="14" x14ac:dyDescent="0.2">
      <c r="A828" s="4" t="s">
        <v>2053</v>
      </c>
      <c r="B828" s="5">
        <v>55576.243125000008</v>
      </c>
      <c r="C828" s="5">
        <f t="shared" si="25"/>
        <v>55576.243125000008</v>
      </c>
      <c r="D828" s="4">
        <v>1</v>
      </c>
      <c r="E828" s="5" t="s">
        <v>10</v>
      </c>
      <c r="F828" s="4" t="s">
        <v>2054</v>
      </c>
      <c r="G828" s="4" t="s">
        <v>12</v>
      </c>
      <c r="H828" s="4" t="s">
        <v>2054</v>
      </c>
      <c r="I828" s="4" t="s">
        <v>22</v>
      </c>
      <c r="J828" s="4" t="s">
        <v>146</v>
      </c>
      <c r="K828" s="4" t="s">
        <v>312</v>
      </c>
      <c r="M828">
        <f t="shared" si="26"/>
        <v>50018.618812500004</v>
      </c>
    </row>
    <row r="829" spans="1:13" ht="14" x14ac:dyDescent="0.2">
      <c r="A829" s="4" t="s">
        <v>2055</v>
      </c>
      <c r="B829" s="5">
        <v>24919.455600000001</v>
      </c>
      <c r="C829" s="5">
        <f t="shared" si="25"/>
        <v>24919.455600000001</v>
      </c>
      <c r="D829" s="4">
        <v>1</v>
      </c>
      <c r="E829" s="5" t="s">
        <v>10</v>
      </c>
      <c r="F829" s="4" t="s">
        <v>2054</v>
      </c>
      <c r="G829" s="4" t="s">
        <v>12</v>
      </c>
      <c r="H829" s="4" t="s">
        <v>2054</v>
      </c>
      <c r="I829" s="4" t="s">
        <v>22</v>
      </c>
      <c r="J829" s="4" t="s">
        <v>146</v>
      </c>
      <c r="K829" s="4" t="s">
        <v>312</v>
      </c>
      <c r="M829">
        <f t="shared" si="26"/>
        <v>22427.510040000001</v>
      </c>
    </row>
    <row r="830" spans="1:13" ht="14" x14ac:dyDescent="0.2">
      <c r="A830" s="4" t="s">
        <v>2056</v>
      </c>
      <c r="B830" s="5">
        <v>6101.1843750000007</v>
      </c>
      <c r="C830" s="5">
        <f t="shared" si="25"/>
        <v>6101.1843750000007</v>
      </c>
      <c r="D830" s="4">
        <v>1</v>
      </c>
      <c r="E830" s="5" t="s">
        <v>25</v>
      </c>
      <c r="F830" s="4" t="s">
        <v>2057</v>
      </c>
      <c r="G830" s="4" t="s">
        <v>20</v>
      </c>
      <c r="H830" s="4" t="s">
        <v>2057</v>
      </c>
      <c r="I830" s="4" t="s">
        <v>22</v>
      </c>
      <c r="K830" s="4" t="s">
        <v>28</v>
      </c>
      <c r="M830">
        <f t="shared" si="26"/>
        <v>5491.0659375000005</v>
      </c>
    </row>
    <row r="831" spans="1:13" ht="14" x14ac:dyDescent="0.2">
      <c r="A831" s="4" t="s">
        <v>2058</v>
      </c>
      <c r="B831" s="5">
        <v>976.18950000000018</v>
      </c>
      <c r="C831" s="5">
        <f t="shared" si="25"/>
        <v>976.18950000000018</v>
      </c>
      <c r="D831" s="4">
        <v>1</v>
      </c>
      <c r="E831" s="5" t="s">
        <v>10</v>
      </c>
      <c r="F831" s="4" t="s">
        <v>1888</v>
      </c>
      <c r="G831" s="4" t="s">
        <v>20</v>
      </c>
      <c r="H831" s="4" t="s">
        <v>2059</v>
      </c>
      <c r="I831" s="4" t="s">
        <v>22</v>
      </c>
      <c r="J831" s="4" t="s">
        <v>1890</v>
      </c>
      <c r="K831" s="4" t="s">
        <v>108</v>
      </c>
      <c r="M831">
        <f t="shared" si="26"/>
        <v>878.57055000000014</v>
      </c>
    </row>
    <row r="832" spans="1:13" ht="14" x14ac:dyDescent="0.2">
      <c r="A832" s="4" t="s">
        <v>2060</v>
      </c>
      <c r="B832" s="5">
        <v>10982.131875000001</v>
      </c>
      <c r="C832" s="5">
        <f t="shared" si="25"/>
        <v>10982.131875000001</v>
      </c>
      <c r="D832" s="4">
        <v>1</v>
      </c>
      <c r="E832" s="5" t="s">
        <v>874</v>
      </c>
      <c r="F832" s="4" t="s">
        <v>2061</v>
      </c>
      <c r="G832" s="4" t="s">
        <v>20</v>
      </c>
      <c r="H832" s="4" t="s">
        <v>2060</v>
      </c>
      <c r="I832" s="4" t="s">
        <v>14</v>
      </c>
      <c r="J832" s="8">
        <v>2.5000000000000001E-2</v>
      </c>
      <c r="K832" s="4" t="s">
        <v>87</v>
      </c>
      <c r="M832">
        <f t="shared" si="26"/>
        <v>9883.9186875000014</v>
      </c>
    </row>
    <row r="833" spans="1:13" ht="14" x14ac:dyDescent="0.2">
      <c r="A833" s="4" t="s">
        <v>2062</v>
      </c>
      <c r="B833" s="5">
        <v>15530.287500000002</v>
      </c>
      <c r="C833" s="5">
        <f t="shared" si="25"/>
        <v>15530.287500000002</v>
      </c>
      <c r="D833" s="4">
        <v>1</v>
      </c>
      <c r="E833" s="5" t="s">
        <v>874</v>
      </c>
      <c r="F833" s="4" t="s">
        <v>2061</v>
      </c>
      <c r="G833" s="4" t="s">
        <v>20</v>
      </c>
      <c r="H833" s="4" t="s">
        <v>2062</v>
      </c>
      <c r="I833" s="4" t="s">
        <v>14</v>
      </c>
      <c r="J833" s="8">
        <v>2.5000000000000001E-2</v>
      </c>
      <c r="K833" s="4" t="s">
        <v>87</v>
      </c>
      <c r="M833">
        <f t="shared" si="26"/>
        <v>13977.258750000001</v>
      </c>
    </row>
    <row r="834" spans="1:13" ht="14" x14ac:dyDescent="0.2">
      <c r="A834" s="4" t="s">
        <v>2063</v>
      </c>
      <c r="B834" s="5">
        <v>4270.8290625</v>
      </c>
      <c r="C834" s="5">
        <f t="shared" si="25"/>
        <v>213.541453125</v>
      </c>
      <c r="D834" s="4">
        <v>20</v>
      </c>
      <c r="E834" s="5" t="s">
        <v>10</v>
      </c>
      <c r="F834" s="4" t="s">
        <v>2064</v>
      </c>
      <c r="G834" s="4" t="s">
        <v>20</v>
      </c>
      <c r="H834" s="4" t="s">
        <v>2065</v>
      </c>
      <c r="I834" s="4" t="s">
        <v>22</v>
      </c>
      <c r="J834" s="4" t="s">
        <v>495</v>
      </c>
      <c r="K834" s="4" t="s">
        <v>812</v>
      </c>
      <c r="M834">
        <f t="shared" si="26"/>
        <v>192.18730781249999</v>
      </c>
    </row>
    <row r="835" spans="1:13" ht="14" x14ac:dyDescent="0.2">
      <c r="A835" s="4" t="s">
        <v>2066</v>
      </c>
      <c r="B835" s="5">
        <v>4348.4805000000006</v>
      </c>
      <c r="C835" s="5">
        <f t="shared" ref="C835:C898" si="27">(B835/D835)</f>
        <v>217.42402500000003</v>
      </c>
      <c r="D835" s="4">
        <v>20</v>
      </c>
      <c r="E835" s="5" t="s">
        <v>10</v>
      </c>
      <c r="F835" s="4" t="s">
        <v>2064</v>
      </c>
      <c r="G835" s="4" t="s">
        <v>20</v>
      </c>
      <c r="H835" s="4" t="s">
        <v>2065</v>
      </c>
      <c r="I835" s="4" t="s">
        <v>22</v>
      </c>
      <c r="J835" s="4" t="s">
        <v>497</v>
      </c>
      <c r="K835" s="4" t="s">
        <v>812</v>
      </c>
      <c r="M835">
        <f t="shared" si="26"/>
        <v>195.68162250000003</v>
      </c>
    </row>
    <row r="836" spans="1:13" ht="14" x14ac:dyDescent="0.2">
      <c r="A836" s="4" t="s">
        <v>2067</v>
      </c>
      <c r="B836" s="5">
        <v>4971.9106125000008</v>
      </c>
      <c r="C836" s="5">
        <f t="shared" si="27"/>
        <v>248.59553062500004</v>
      </c>
      <c r="D836" s="4">
        <v>20</v>
      </c>
      <c r="E836" s="5" t="s">
        <v>30</v>
      </c>
      <c r="F836" s="4" t="s">
        <v>2068</v>
      </c>
      <c r="G836" s="4" t="s">
        <v>20</v>
      </c>
      <c r="H836" s="4" t="s">
        <v>2069</v>
      </c>
      <c r="I836" s="4" t="s">
        <v>22</v>
      </c>
      <c r="J836" s="4" t="s">
        <v>148</v>
      </c>
      <c r="K836" s="4" t="s">
        <v>87</v>
      </c>
      <c r="M836">
        <f t="shared" si="26"/>
        <v>223.73597756250004</v>
      </c>
    </row>
    <row r="837" spans="1:13" ht="14" x14ac:dyDescent="0.2">
      <c r="A837" s="4" t="s">
        <v>2070</v>
      </c>
      <c r="B837" s="5">
        <v>4437.2250000000004</v>
      </c>
      <c r="C837" s="5">
        <f t="shared" si="27"/>
        <v>44.372250000000001</v>
      </c>
      <c r="D837" s="4">
        <v>100</v>
      </c>
      <c r="E837" s="5" t="s">
        <v>30</v>
      </c>
      <c r="F837" s="4" t="s">
        <v>2071</v>
      </c>
      <c r="G837" s="4" t="s">
        <v>20</v>
      </c>
      <c r="H837" s="4" t="s">
        <v>2072</v>
      </c>
      <c r="I837" s="4" t="s">
        <v>22</v>
      </c>
      <c r="J837" s="4" t="s">
        <v>148</v>
      </c>
      <c r="K837" s="4" t="s">
        <v>87</v>
      </c>
      <c r="M837">
        <f t="shared" si="26"/>
        <v>39.935025000000003</v>
      </c>
    </row>
    <row r="838" spans="1:13" ht="14" x14ac:dyDescent="0.2">
      <c r="A838" s="4" t="s">
        <v>2073</v>
      </c>
      <c r="B838" s="5">
        <v>11932.80733125</v>
      </c>
      <c r="C838" s="5">
        <f t="shared" si="27"/>
        <v>426.17169040178572</v>
      </c>
      <c r="D838" s="4">
        <v>28</v>
      </c>
      <c r="E838" s="5" t="s">
        <v>30</v>
      </c>
      <c r="F838" s="4" t="s">
        <v>2074</v>
      </c>
      <c r="G838" s="4" t="s">
        <v>12</v>
      </c>
      <c r="H838" s="4" t="s">
        <v>2074</v>
      </c>
      <c r="I838" s="4" t="s">
        <v>22</v>
      </c>
      <c r="J838" s="4" t="s">
        <v>1370</v>
      </c>
      <c r="K838" s="4" t="s">
        <v>312</v>
      </c>
      <c r="M838">
        <f t="shared" si="26"/>
        <v>383.55452136160716</v>
      </c>
    </row>
    <row r="839" spans="1:13" ht="14" x14ac:dyDescent="0.2">
      <c r="A839" s="4" t="s">
        <v>2075</v>
      </c>
      <c r="B839" s="5">
        <v>12463.05571875</v>
      </c>
      <c r="C839" s="5">
        <f t="shared" si="27"/>
        <v>445.10913281249998</v>
      </c>
      <c r="D839" s="4">
        <v>28</v>
      </c>
      <c r="E839" s="5" t="s">
        <v>30</v>
      </c>
      <c r="F839" s="4" t="s">
        <v>2074</v>
      </c>
      <c r="G839" s="4" t="s">
        <v>12</v>
      </c>
      <c r="H839" s="4" t="s">
        <v>2074</v>
      </c>
      <c r="I839" s="4" t="s">
        <v>22</v>
      </c>
      <c r="J839" s="4" t="s">
        <v>95</v>
      </c>
      <c r="K839" s="4" t="s">
        <v>312</v>
      </c>
      <c r="M839">
        <f t="shared" si="26"/>
        <v>400.59821953124998</v>
      </c>
    </row>
    <row r="840" spans="1:13" ht="14" x14ac:dyDescent="0.2">
      <c r="A840" s="4" t="s">
        <v>2076</v>
      </c>
      <c r="B840" s="5">
        <v>3549.78</v>
      </c>
      <c r="C840" s="5">
        <f t="shared" si="27"/>
        <v>3549.78</v>
      </c>
      <c r="D840" s="4">
        <v>1</v>
      </c>
      <c r="E840" s="5" t="s">
        <v>59</v>
      </c>
      <c r="F840" s="4" t="s">
        <v>2077</v>
      </c>
      <c r="G840" s="4" t="s">
        <v>20</v>
      </c>
      <c r="H840" s="4" t="s">
        <v>2076</v>
      </c>
      <c r="I840" s="4" t="s">
        <v>22</v>
      </c>
      <c r="J840" s="4" t="s">
        <v>148</v>
      </c>
      <c r="K840" s="4" t="s">
        <v>34</v>
      </c>
      <c r="M840">
        <f t="shared" si="26"/>
        <v>3194.8020000000001</v>
      </c>
    </row>
    <row r="841" spans="1:13" ht="14" x14ac:dyDescent="0.2">
      <c r="A841" s="4" t="s">
        <v>2078</v>
      </c>
      <c r="B841" s="5">
        <v>3549.78</v>
      </c>
      <c r="C841" s="5">
        <f t="shared" si="27"/>
        <v>354.97800000000001</v>
      </c>
      <c r="D841" s="4">
        <v>10</v>
      </c>
      <c r="E841" s="5" t="s">
        <v>30</v>
      </c>
      <c r="F841" s="4" t="s">
        <v>2077</v>
      </c>
      <c r="G841" s="4" t="s">
        <v>20</v>
      </c>
      <c r="H841" s="4" t="s">
        <v>2079</v>
      </c>
      <c r="I841" s="4" t="s">
        <v>22</v>
      </c>
      <c r="K841" s="4" t="s">
        <v>34</v>
      </c>
      <c r="M841">
        <f t="shared" si="26"/>
        <v>319.48020000000002</v>
      </c>
    </row>
    <row r="842" spans="1:13" ht="14" x14ac:dyDescent="0.2">
      <c r="A842" s="4" t="s">
        <v>2080</v>
      </c>
      <c r="B842" s="5">
        <v>3549.78</v>
      </c>
      <c r="C842" s="5">
        <f t="shared" si="27"/>
        <v>3549.78</v>
      </c>
      <c r="D842" s="4">
        <v>1</v>
      </c>
      <c r="E842" s="5" t="s">
        <v>59</v>
      </c>
      <c r="F842" s="4" t="s">
        <v>2081</v>
      </c>
      <c r="G842" s="4" t="s">
        <v>20</v>
      </c>
      <c r="H842" s="4" t="s">
        <v>2080</v>
      </c>
      <c r="I842" s="4" t="s">
        <v>22</v>
      </c>
      <c r="J842" s="4" t="s">
        <v>2082</v>
      </c>
      <c r="K842" s="4" t="s">
        <v>34</v>
      </c>
      <c r="M842">
        <f t="shared" si="26"/>
        <v>3194.8020000000001</v>
      </c>
    </row>
    <row r="843" spans="1:13" ht="14" x14ac:dyDescent="0.2">
      <c r="A843" s="4" t="s">
        <v>2083</v>
      </c>
      <c r="B843" s="5">
        <v>7654.2131250000011</v>
      </c>
      <c r="C843" s="5">
        <f t="shared" si="27"/>
        <v>7654.2131250000011</v>
      </c>
      <c r="D843" s="4">
        <v>1</v>
      </c>
      <c r="E843" s="5" t="s">
        <v>30</v>
      </c>
      <c r="F843" s="4" t="s">
        <v>2084</v>
      </c>
      <c r="G843" s="4" t="s">
        <v>20</v>
      </c>
      <c r="H843" s="4" t="s">
        <v>2085</v>
      </c>
      <c r="I843" s="4" t="s">
        <v>14</v>
      </c>
      <c r="K843" s="4" t="s">
        <v>34</v>
      </c>
      <c r="M843">
        <f t="shared" si="26"/>
        <v>6888.7918125000015</v>
      </c>
    </row>
    <row r="844" spans="1:13" ht="14" x14ac:dyDescent="0.2">
      <c r="A844" s="4" t="s">
        <v>2086</v>
      </c>
      <c r="B844" s="5">
        <v>10649.34</v>
      </c>
      <c r="C844" s="5">
        <f t="shared" si="27"/>
        <v>10649.34</v>
      </c>
      <c r="D844" s="4">
        <v>1</v>
      </c>
      <c r="E844" s="5" t="s">
        <v>59</v>
      </c>
      <c r="F844" s="4" t="s">
        <v>2087</v>
      </c>
      <c r="G844" s="4" t="s">
        <v>20</v>
      </c>
      <c r="H844" s="4" t="s">
        <v>2086</v>
      </c>
      <c r="I844" s="4" t="s">
        <v>14</v>
      </c>
      <c r="J844" s="4" t="s">
        <v>2088</v>
      </c>
      <c r="K844" s="4" t="s">
        <v>34</v>
      </c>
      <c r="M844">
        <f t="shared" si="26"/>
        <v>9584.4060000000009</v>
      </c>
    </row>
    <row r="845" spans="1:13" ht="14" x14ac:dyDescent="0.2">
      <c r="A845" s="4" t="s">
        <v>2089</v>
      </c>
      <c r="B845" s="5">
        <v>3438.8493750000002</v>
      </c>
      <c r="C845" s="5">
        <f t="shared" si="27"/>
        <v>68.776987500000004</v>
      </c>
      <c r="D845" s="4">
        <v>50</v>
      </c>
      <c r="E845" s="5" t="s">
        <v>30</v>
      </c>
      <c r="F845" s="4" t="s">
        <v>2090</v>
      </c>
      <c r="G845" s="4" t="s">
        <v>20</v>
      </c>
      <c r="H845" s="4" t="s">
        <v>2091</v>
      </c>
      <c r="I845" s="4" t="s">
        <v>22</v>
      </c>
      <c r="J845" s="4" t="s">
        <v>2092</v>
      </c>
      <c r="K845" s="4" t="s">
        <v>34</v>
      </c>
      <c r="M845">
        <f t="shared" si="26"/>
        <v>61.899288750000004</v>
      </c>
    </row>
    <row r="846" spans="1:13" ht="14" x14ac:dyDescent="0.2">
      <c r="A846" s="4" t="s">
        <v>2093</v>
      </c>
      <c r="B846" s="5">
        <v>1486.4703750000001</v>
      </c>
      <c r="C846" s="5">
        <f t="shared" si="27"/>
        <v>53.088227678571435</v>
      </c>
      <c r="D846" s="4">
        <v>28</v>
      </c>
      <c r="E846" s="5" t="s">
        <v>10</v>
      </c>
      <c r="F846" s="4" t="s">
        <v>2094</v>
      </c>
      <c r="G846" s="4" t="s">
        <v>20</v>
      </c>
      <c r="H846" s="4" t="s">
        <v>2094</v>
      </c>
      <c r="I846" s="4" t="s">
        <v>22</v>
      </c>
      <c r="J846" s="4" t="s">
        <v>95</v>
      </c>
      <c r="K846" s="4" t="s">
        <v>34</v>
      </c>
      <c r="M846">
        <f t="shared" si="26"/>
        <v>47.779404910714291</v>
      </c>
    </row>
    <row r="847" spans="1:13" ht="14" x14ac:dyDescent="0.2">
      <c r="A847" s="4" t="s">
        <v>2095</v>
      </c>
      <c r="B847" s="5">
        <v>1588.5265500000003</v>
      </c>
      <c r="C847" s="5">
        <f t="shared" si="27"/>
        <v>15.885265500000003</v>
      </c>
      <c r="D847" s="4">
        <v>100</v>
      </c>
      <c r="E847" s="5" t="s">
        <v>10</v>
      </c>
      <c r="F847" s="4" t="s">
        <v>2096</v>
      </c>
      <c r="G847" s="4" t="s">
        <v>20</v>
      </c>
      <c r="H847" s="4" t="s">
        <v>2096</v>
      </c>
      <c r="I847" s="4" t="s">
        <v>22</v>
      </c>
      <c r="J847" s="4" t="s">
        <v>95</v>
      </c>
      <c r="K847" s="4" t="s">
        <v>34</v>
      </c>
      <c r="M847">
        <f t="shared" si="26"/>
        <v>14.296738950000002</v>
      </c>
    </row>
    <row r="848" spans="1:13" ht="14" x14ac:dyDescent="0.2">
      <c r="A848" s="4" t="s">
        <v>2097</v>
      </c>
      <c r="B848" s="5">
        <v>68776.987500000003</v>
      </c>
      <c r="C848" s="5">
        <f t="shared" si="27"/>
        <v>1146.2831250000002</v>
      </c>
      <c r="D848" s="4">
        <v>60</v>
      </c>
      <c r="E848" s="5" t="s">
        <v>30</v>
      </c>
      <c r="F848" s="4" t="s">
        <v>2098</v>
      </c>
      <c r="G848" s="4" t="s">
        <v>20</v>
      </c>
      <c r="H848" s="4" t="s">
        <v>2099</v>
      </c>
      <c r="I848" s="4" t="s">
        <v>14</v>
      </c>
      <c r="J848" s="4" t="s">
        <v>351</v>
      </c>
      <c r="K848" s="4" t="s">
        <v>155</v>
      </c>
      <c r="M848">
        <f t="shared" si="26"/>
        <v>1031.6548125000002</v>
      </c>
    </row>
    <row r="849" spans="1:13" ht="14" x14ac:dyDescent="0.2">
      <c r="A849" s="4" t="s">
        <v>5300</v>
      </c>
      <c r="B849" s="5">
        <v>141991.20000000004</v>
      </c>
      <c r="C849" s="5">
        <f t="shared" si="27"/>
        <v>2366.5200000000009</v>
      </c>
      <c r="D849" s="4">
        <v>60</v>
      </c>
      <c r="E849" s="5" t="s">
        <v>30</v>
      </c>
      <c r="F849" s="4" t="s">
        <v>2100</v>
      </c>
      <c r="G849" s="4" t="s">
        <v>20</v>
      </c>
      <c r="H849" s="4" t="s">
        <v>2101</v>
      </c>
      <c r="I849" s="4" t="s">
        <v>14</v>
      </c>
      <c r="J849" s="4" t="s">
        <v>351</v>
      </c>
      <c r="K849" s="4" t="s">
        <v>68</v>
      </c>
      <c r="M849">
        <f t="shared" si="26"/>
        <v>2129.8680000000008</v>
      </c>
    </row>
    <row r="850" spans="1:13" ht="14" x14ac:dyDescent="0.2">
      <c r="A850" s="4" t="s">
        <v>2102</v>
      </c>
      <c r="B850" s="5">
        <v>1331.1675</v>
      </c>
      <c r="C850" s="5">
        <f t="shared" si="27"/>
        <v>13.311675000000001</v>
      </c>
      <c r="D850" s="4">
        <v>100</v>
      </c>
      <c r="E850" s="5" t="s">
        <v>10</v>
      </c>
      <c r="F850" s="4" t="s">
        <v>2103</v>
      </c>
      <c r="G850" s="4" t="s">
        <v>20</v>
      </c>
      <c r="H850" s="4" t="s">
        <v>2104</v>
      </c>
      <c r="I850" s="4" t="s">
        <v>22</v>
      </c>
      <c r="J850" s="3" t="s">
        <v>25</v>
      </c>
      <c r="K850" s="4" t="s">
        <v>34</v>
      </c>
      <c r="M850">
        <f t="shared" si="26"/>
        <v>11.980507500000002</v>
      </c>
    </row>
    <row r="851" spans="1:13" ht="14" x14ac:dyDescent="0.2">
      <c r="A851" s="4" t="s">
        <v>2105</v>
      </c>
      <c r="B851" s="5">
        <v>3438.8493750000002</v>
      </c>
      <c r="C851" s="5">
        <f t="shared" si="27"/>
        <v>245.63209821428572</v>
      </c>
      <c r="D851" s="4">
        <v>14</v>
      </c>
      <c r="E851" s="5" t="s">
        <v>10</v>
      </c>
      <c r="F851" s="4" t="s">
        <v>2106</v>
      </c>
      <c r="G851" s="4" t="s">
        <v>20</v>
      </c>
      <c r="H851" s="4" t="s">
        <v>2107</v>
      </c>
      <c r="I851" s="4" t="s">
        <v>14</v>
      </c>
      <c r="J851" s="4" t="s">
        <v>546</v>
      </c>
      <c r="K851" s="4" t="s">
        <v>179</v>
      </c>
      <c r="M851">
        <f t="shared" si="26"/>
        <v>221.06888839285716</v>
      </c>
    </row>
    <row r="852" spans="1:13" ht="14" x14ac:dyDescent="0.2">
      <c r="A852" s="4" t="s">
        <v>2108</v>
      </c>
      <c r="B852" s="5">
        <v>4326.2943750000004</v>
      </c>
      <c r="C852" s="5">
        <f t="shared" si="27"/>
        <v>309.0210267857143</v>
      </c>
      <c r="D852" s="4">
        <v>14</v>
      </c>
      <c r="E852" s="5" t="s">
        <v>10</v>
      </c>
      <c r="F852" s="4" t="s">
        <v>2106</v>
      </c>
      <c r="G852" s="4" t="s">
        <v>20</v>
      </c>
      <c r="H852" s="4" t="s">
        <v>2107</v>
      </c>
      <c r="I852" s="4" t="s">
        <v>14</v>
      </c>
      <c r="J852" s="4" t="s">
        <v>2109</v>
      </c>
      <c r="K852" s="4" t="s">
        <v>179</v>
      </c>
      <c r="M852">
        <f t="shared" si="26"/>
        <v>278.11892410714285</v>
      </c>
    </row>
    <row r="853" spans="1:13" ht="14" x14ac:dyDescent="0.2">
      <c r="A853" s="4" t="s">
        <v>2110</v>
      </c>
      <c r="B853" s="5">
        <v>3216.9881250000003</v>
      </c>
      <c r="C853" s="5">
        <f t="shared" si="27"/>
        <v>229.78486607142858</v>
      </c>
      <c r="D853" s="4">
        <v>14</v>
      </c>
      <c r="E853" s="5" t="s">
        <v>10</v>
      </c>
      <c r="F853" s="4" t="s">
        <v>2106</v>
      </c>
      <c r="G853" s="4" t="s">
        <v>20</v>
      </c>
      <c r="H853" s="4" t="s">
        <v>2106</v>
      </c>
      <c r="I853" s="4" t="s">
        <v>22</v>
      </c>
      <c r="J853" s="4" t="s">
        <v>546</v>
      </c>
      <c r="K853" s="4" t="s">
        <v>179</v>
      </c>
      <c r="M853">
        <f t="shared" si="26"/>
        <v>206.80637946428573</v>
      </c>
    </row>
    <row r="854" spans="1:13" ht="14" x14ac:dyDescent="0.2">
      <c r="A854" s="4" t="s">
        <v>2111</v>
      </c>
      <c r="B854" s="5">
        <v>3882.5718750000005</v>
      </c>
      <c r="C854" s="5">
        <f t="shared" si="27"/>
        <v>277.32656250000002</v>
      </c>
      <c r="D854" s="4">
        <v>14</v>
      </c>
      <c r="E854" s="5" t="s">
        <v>10</v>
      </c>
      <c r="F854" s="4" t="s">
        <v>2106</v>
      </c>
      <c r="G854" s="4" t="s">
        <v>20</v>
      </c>
      <c r="H854" s="4" t="s">
        <v>2107</v>
      </c>
      <c r="I854" s="4" t="s">
        <v>22</v>
      </c>
      <c r="J854" s="4" t="s">
        <v>2109</v>
      </c>
      <c r="K854" s="4" t="s">
        <v>179</v>
      </c>
      <c r="M854">
        <f t="shared" si="26"/>
        <v>249.59390625000003</v>
      </c>
    </row>
    <row r="855" spans="1:13" ht="14" x14ac:dyDescent="0.2">
      <c r="A855" s="4" t="s">
        <v>2112</v>
      </c>
      <c r="B855" s="5">
        <v>887.44500000000005</v>
      </c>
      <c r="C855" s="5">
        <f t="shared" si="27"/>
        <v>887.44500000000005</v>
      </c>
      <c r="D855" s="4">
        <v>1</v>
      </c>
      <c r="E855" s="5" t="s">
        <v>59</v>
      </c>
      <c r="F855" s="4" t="s">
        <v>2113</v>
      </c>
      <c r="G855" s="4" t="s">
        <v>20</v>
      </c>
      <c r="H855" s="4" t="s">
        <v>2114</v>
      </c>
      <c r="I855" s="4" t="s">
        <v>22</v>
      </c>
      <c r="J855" s="4" t="s">
        <v>2115</v>
      </c>
      <c r="K855" s="4" t="s">
        <v>34</v>
      </c>
      <c r="M855">
        <f t="shared" si="26"/>
        <v>798.70050000000003</v>
      </c>
    </row>
    <row r="856" spans="1:13" ht="14" x14ac:dyDescent="0.2">
      <c r="A856" s="4" t="s">
        <v>2116</v>
      </c>
      <c r="B856" s="5">
        <v>1996.7512500000003</v>
      </c>
      <c r="C856" s="5">
        <f t="shared" si="27"/>
        <v>1996.7512500000003</v>
      </c>
      <c r="D856" s="4">
        <v>1</v>
      </c>
      <c r="E856" s="5" t="s">
        <v>181</v>
      </c>
      <c r="F856" s="4" t="s">
        <v>2117</v>
      </c>
      <c r="G856" s="4" t="s">
        <v>20</v>
      </c>
      <c r="H856" s="4" t="s">
        <v>2118</v>
      </c>
      <c r="I856" s="4" t="s">
        <v>22</v>
      </c>
      <c r="J856" s="4" t="s">
        <v>2119</v>
      </c>
      <c r="K856" s="4" t="s">
        <v>403</v>
      </c>
      <c r="M856">
        <f t="shared" si="26"/>
        <v>1797.0761250000003</v>
      </c>
    </row>
    <row r="857" spans="1:13" ht="14" x14ac:dyDescent="0.2">
      <c r="A857" s="4" t="s">
        <v>2120</v>
      </c>
      <c r="B857" s="5">
        <v>3549.78</v>
      </c>
      <c r="C857" s="5">
        <f t="shared" si="27"/>
        <v>3549.78</v>
      </c>
      <c r="D857" s="4">
        <v>1</v>
      </c>
      <c r="E857" s="5" t="s">
        <v>59</v>
      </c>
      <c r="F857" s="4" t="s">
        <v>2121</v>
      </c>
      <c r="G857" s="4" t="s">
        <v>20</v>
      </c>
      <c r="H857" s="4" t="s">
        <v>2121</v>
      </c>
      <c r="I857" s="4" t="s">
        <v>22</v>
      </c>
      <c r="J857" s="4" t="s">
        <v>2122</v>
      </c>
      <c r="K857" s="4" t="s">
        <v>34</v>
      </c>
      <c r="M857">
        <f t="shared" si="26"/>
        <v>3194.8020000000001</v>
      </c>
    </row>
    <row r="858" spans="1:13" ht="14" x14ac:dyDescent="0.2">
      <c r="A858" s="4" t="s">
        <v>2123</v>
      </c>
      <c r="B858" s="5">
        <v>887.44500000000005</v>
      </c>
      <c r="C858" s="5">
        <f t="shared" si="27"/>
        <v>887.44500000000005</v>
      </c>
      <c r="D858" s="4">
        <v>1</v>
      </c>
      <c r="E858" s="5" t="s">
        <v>59</v>
      </c>
      <c r="F858" s="4" t="s">
        <v>2124</v>
      </c>
      <c r="G858" s="4" t="s">
        <v>20</v>
      </c>
      <c r="H858" s="4" t="s">
        <v>2124</v>
      </c>
      <c r="I858" s="4" t="s">
        <v>22</v>
      </c>
      <c r="J858" s="4" t="s">
        <v>1094</v>
      </c>
      <c r="K858" s="4" t="s">
        <v>87</v>
      </c>
      <c r="M858">
        <f t="shared" si="26"/>
        <v>798.70050000000003</v>
      </c>
    </row>
    <row r="859" spans="1:13" ht="14" x14ac:dyDescent="0.2">
      <c r="A859" s="4" t="s">
        <v>2125</v>
      </c>
      <c r="B859" s="5">
        <v>2662.335</v>
      </c>
      <c r="C859" s="5">
        <f t="shared" si="27"/>
        <v>27.732656250000002</v>
      </c>
      <c r="D859" s="4">
        <v>96</v>
      </c>
      <c r="E859" s="5" t="s">
        <v>10</v>
      </c>
      <c r="F859" s="4" t="s">
        <v>2124</v>
      </c>
      <c r="G859" s="4" t="s">
        <v>20</v>
      </c>
      <c r="H859" s="4" t="s">
        <v>2124</v>
      </c>
      <c r="I859" s="4" t="s">
        <v>22</v>
      </c>
      <c r="J859" s="4" t="s">
        <v>207</v>
      </c>
      <c r="K859" s="4" t="s">
        <v>87</v>
      </c>
      <c r="M859">
        <f t="shared" si="26"/>
        <v>24.959390625000001</v>
      </c>
    </row>
    <row r="860" spans="1:13" ht="14" x14ac:dyDescent="0.2">
      <c r="A860" s="4" t="s">
        <v>2126</v>
      </c>
      <c r="B860" s="5">
        <v>831.97968750000007</v>
      </c>
      <c r="C860" s="5">
        <f t="shared" si="27"/>
        <v>831.97968750000007</v>
      </c>
      <c r="D860" s="4">
        <v>1</v>
      </c>
      <c r="E860" s="5" t="s">
        <v>59</v>
      </c>
      <c r="F860" s="4" t="s">
        <v>2127</v>
      </c>
      <c r="G860" s="4" t="s">
        <v>20</v>
      </c>
      <c r="H860" s="4" t="s">
        <v>2127</v>
      </c>
      <c r="I860" s="4" t="s">
        <v>22</v>
      </c>
      <c r="J860" s="4" t="s">
        <v>1848</v>
      </c>
      <c r="K860" s="4" t="s">
        <v>34</v>
      </c>
      <c r="M860">
        <f t="shared" si="26"/>
        <v>748.7817187500001</v>
      </c>
    </row>
    <row r="861" spans="1:13" ht="14" x14ac:dyDescent="0.2">
      <c r="A861" s="4" t="s">
        <v>2128</v>
      </c>
      <c r="B861" s="5">
        <v>4193.1776250000003</v>
      </c>
      <c r="C861" s="5">
        <f t="shared" si="27"/>
        <v>139.77258750000001</v>
      </c>
      <c r="D861" s="4">
        <v>30</v>
      </c>
      <c r="E861" s="5" t="s">
        <v>10</v>
      </c>
      <c r="F861" s="4" t="s">
        <v>2129</v>
      </c>
      <c r="G861" s="4" t="s">
        <v>12</v>
      </c>
      <c r="H861" s="4" t="s">
        <v>2129</v>
      </c>
      <c r="I861" s="4" t="s">
        <v>22</v>
      </c>
      <c r="J861" s="4" t="s">
        <v>200</v>
      </c>
      <c r="K861" s="4" t="s">
        <v>812</v>
      </c>
      <c r="M861">
        <f t="shared" ref="M861:M924" si="28">C861-(C861* 10%)</f>
        <v>125.79532875000001</v>
      </c>
    </row>
    <row r="862" spans="1:13" ht="14" x14ac:dyDescent="0.2">
      <c r="A862" s="3" t="s">
        <v>5578</v>
      </c>
      <c r="B862" s="15">
        <v>10173.150000000001</v>
      </c>
      <c r="C862" s="5">
        <f t="shared" si="27"/>
        <v>10173.150000000001</v>
      </c>
      <c r="D862" s="4">
        <v>1</v>
      </c>
      <c r="E862" s="15" t="s">
        <v>25</v>
      </c>
      <c r="F862" s="3" t="s">
        <v>5579</v>
      </c>
      <c r="G862" s="3" t="s">
        <v>12</v>
      </c>
      <c r="H862" s="3" t="s">
        <v>5580</v>
      </c>
      <c r="I862" s="3" t="s">
        <v>14</v>
      </c>
      <c r="J862" s="3" t="s">
        <v>25</v>
      </c>
      <c r="K862" s="3" t="s">
        <v>417</v>
      </c>
      <c r="M862">
        <f t="shared" si="28"/>
        <v>9155.8350000000009</v>
      </c>
    </row>
    <row r="863" spans="1:13" ht="14" x14ac:dyDescent="0.2">
      <c r="A863" s="4" t="s">
        <v>2130</v>
      </c>
      <c r="B863" s="5">
        <v>4991.8781250000002</v>
      </c>
      <c r="C863" s="5">
        <f t="shared" si="27"/>
        <v>178.28136160714286</v>
      </c>
      <c r="D863" s="4">
        <v>28</v>
      </c>
      <c r="E863" s="5" t="s">
        <v>10</v>
      </c>
      <c r="F863" s="4" t="s">
        <v>2131</v>
      </c>
      <c r="G863" s="4" t="s">
        <v>12</v>
      </c>
      <c r="H863" s="4" t="s">
        <v>2132</v>
      </c>
      <c r="I863" s="4" t="s">
        <v>14</v>
      </c>
      <c r="J863" s="4" t="s">
        <v>200</v>
      </c>
      <c r="K863" s="4" t="s">
        <v>812</v>
      </c>
      <c r="M863">
        <f t="shared" si="28"/>
        <v>160.45322544642858</v>
      </c>
    </row>
    <row r="864" spans="1:13" ht="14" x14ac:dyDescent="0.2">
      <c r="A864" s="4" t="s">
        <v>2133</v>
      </c>
      <c r="B864" s="5">
        <v>9096.3112500000007</v>
      </c>
      <c r="C864" s="5">
        <f t="shared" si="27"/>
        <v>303.210375</v>
      </c>
      <c r="D864" s="4">
        <v>30</v>
      </c>
      <c r="E864" s="5" t="s">
        <v>30</v>
      </c>
      <c r="F864" s="4" t="s">
        <v>2134</v>
      </c>
      <c r="G864" s="4" t="s">
        <v>12</v>
      </c>
      <c r="H864" s="4" t="s">
        <v>2135</v>
      </c>
      <c r="I864" s="4" t="s">
        <v>14</v>
      </c>
      <c r="J864" s="4" t="s">
        <v>2136</v>
      </c>
      <c r="K864" s="4" t="s">
        <v>812</v>
      </c>
      <c r="M864">
        <f t="shared" si="28"/>
        <v>272.88933750000001</v>
      </c>
    </row>
    <row r="865" spans="1:13" ht="14" x14ac:dyDescent="0.2">
      <c r="A865" s="4" t="s">
        <v>2137</v>
      </c>
      <c r="B865" s="5">
        <v>3216.9881250000003</v>
      </c>
      <c r="C865" s="5">
        <f t="shared" si="27"/>
        <v>804.24703125000008</v>
      </c>
      <c r="D865" s="4">
        <v>4</v>
      </c>
      <c r="E865" s="5" t="s">
        <v>10</v>
      </c>
      <c r="F865" s="4" t="s">
        <v>2138</v>
      </c>
      <c r="G865" s="4" t="s">
        <v>20</v>
      </c>
      <c r="H865" s="4" t="s">
        <v>2139</v>
      </c>
      <c r="I865" s="4" t="s">
        <v>14</v>
      </c>
      <c r="J865" s="4" t="s">
        <v>207</v>
      </c>
      <c r="K865" s="4" t="s">
        <v>53</v>
      </c>
      <c r="M865">
        <f t="shared" si="28"/>
        <v>723.82232812500001</v>
      </c>
    </row>
    <row r="866" spans="1:13" ht="14" x14ac:dyDescent="0.2">
      <c r="A866" s="4" t="s">
        <v>2140</v>
      </c>
      <c r="B866" s="5">
        <v>1331.1675</v>
      </c>
      <c r="C866" s="5">
        <f t="shared" si="27"/>
        <v>133.11675</v>
      </c>
      <c r="D866" s="4">
        <v>10</v>
      </c>
      <c r="E866" s="5" t="s">
        <v>10</v>
      </c>
      <c r="F866" s="4" t="s">
        <v>1813</v>
      </c>
      <c r="G866" s="4" t="s">
        <v>20</v>
      </c>
      <c r="H866" s="4" t="s">
        <v>2141</v>
      </c>
      <c r="I866" s="4" t="s">
        <v>14</v>
      </c>
      <c r="J866" s="4" t="s">
        <v>95</v>
      </c>
      <c r="K866" s="4" t="s">
        <v>53</v>
      </c>
      <c r="M866">
        <f t="shared" si="28"/>
        <v>119.80507499999999</v>
      </c>
    </row>
    <row r="867" spans="1:13" ht="14" x14ac:dyDescent="0.2">
      <c r="A867" s="4" t="s">
        <v>2142</v>
      </c>
      <c r="B867" s="5">
        <v>1996.7512500000003</v>
      </c>
      <c r="C867" s="5">
        <f t="shared" si="27"/>
        <v>199.67512500000004</v>
      </c>
      <c r="D867" s="4">
        <v>10</v>
      </c>
      <c r="E867" s="5" t="s">
        <v>10</v>
      </c>
      <c r="F867" s="4" t="s">
        <v>1813</v>
      </c>
      <c r="G867" s="4" t="s">
        <v>20</v>
      </c>
      <c r="H867" s="4" t="s">
        <v>2141</v>
      </c>
      <c r="I867" s="4" t="s">
        <v>14</v>
      </c>
      <c r="J867" s="4" t="s">
        <v>52</v>
      </c>
      <c r="K867" s="4" t="s">
        <v>53</v>
      </c>
      <c r="M867">
        <f t="shared" si="28"/>
        <v>179.70761250000004</v>
      </c>
    </row>
    <row r="868" spans="1:13" ht="14" x14ac:dyDescent="0.2">
      <c r="A868" s="4" t="s">
        <v>2143</v>
      </c>
      <c r="B868" s="5">
        <v>3993.5025000000005</v>
      </c>
      <c r="C868" s="5">
        <f t="shared" si="27"/>
        <v>3993.5025000000005</v>
      </c>
      <c r="D868" s="4">
        <v>1</v>
      </c>
      <c r="E868" s="5" t="s">
        <v>59</v>
      </c>
      <c r="F868" s="4" t="s">
        <v>1813</v>
      </c>
      <c r="G868" s="4" t="s">
        <v>20</v>
      </c>
      <c r="H868" s="4" t="s">
        <v>2141</v>
      </c>
      <c r="I868" s="4" t="s">
        <v>14</v>
      </c>
      <c r="J868" s="6">
        <v>0.04</v>
      </c>
      <c r="K868" s="4" t="s">
        <v>53</v>
      </c>
      <c r="M868">
        <f t="shared" si="28"/>
        <v>3594.1522500000005</v>
      </c>
    </row>
    <row r="869" spans="1:13" ht="14" x14ac:dyDescent="0.2">
      <c r="A869" s="4" t="s">
        <v>2144</v>
      </c>
      <c r="B869" s="5">
        <v>12091.438125000001</v>
      </c>
      <c r="C869" s="5">
        <f t="shared" si="27"/>
        <v>863.67415178571434</v>
      </c>
      <c r="D869" s="4">
        <v>14</v>
      </c>
      <c r="E869" s="5" t="s">
        <v>10</v>
      </c>
      <c r="F869" s="4" t="s">
        <v>2145</v>
      </c>
      <c r="G869" s="4" t="s">
        <v>20</v>
      </c>
      <c r="H869" s="4" t="s">
        <v>2146</v>
      </c>
      <c r="I869" s="4" t="s">
        <v>22</v>
      </c>
      <c r="J869" s="4" t="s">
        <v>351</v>
      </c>
      <c r="K869" s="4" t="s">
        <v>53</v>
      </c>
      <c r="M869">
        <f t="shared" si="28"/>
        <v>777.30673660714297</v>
      </c>
    </row>
    <row r="870" spans="1:13" ht="14" x14ac:dyDescent="0.2">
      <c r="A870" s="4" t="s">
        <v>2147</v>
      </c>
      <c r="B870" s="5">
        <v>7210.4906250000004</v>
      </c>
      <c r="C870" s="5">
        <f t="shared" si="27"/>
        <v>7210.4906250000004</v>
      </c>
      <c r="D870" s="4">
        <v>1</v>
      </c>
      <c r="E870" s="5" t="s">
        <v>181</v>
      </c>
      <c r="F870" s="4" t="s">
        <v>2145</v>
      </c>
      <c r="G870" s="4" t="s">
        <v>20</v>
      </c>
      <c r="H870" s="4" t="s">
        <v>2146</v>
      </c>
      <c r="I870" s="4" t="s">
        <v>22</v>
      </c>
      <c r="J870" s="4" t="s">
        <v>2148</v>
      </c>
      <c r="K870" s="4" t="s">
        <v>53</v>
      </c>
      <c r="M870">
        <f t="shared" si="28"/>
        <v>6489.4415625000001</v>
      </c>
    </row>
    <row r="871" spans="1:13" ht="14" x14ac:dyDescent="0.2">
      <c r="A871" s="4" t="s">
        <v>2149</v>
      </c>
      <c r="B871" s="5">
        <v>8319.796875</v>
      </c>
      <c r="C871" s="5">
        <f t="shared" si="27"/>
        <v>8319.796875</v>
      </c>
      <c r="D871" s="4">
        <v>1</v>
      </c>
      <c r="E871" s="5" t="s">
        <v>181</v>
      </c>
      <c r="F871" s="4" t="s">
        <v>2145</v>
      </c>
      <c r="G871" s="4" t="s">
        <v>20</v>
      </c>
      <c r="H871" s="4" t="s">
        <v>2146</v>
      </c>
      <c r="I871" s="4" t="s">
        <v>22</v>
      </c>
      <c r="J871" s="4" t="s">
        <v>360</v>
      </c>
      <c r="K871" s="4" t="s">
        <v>53</v>
      </c>
      <c r="M871">
        <f t="shared" si="28"/>
        <v>7487.8171874999998</v>
      </c>
    </row>
    <row r="872" spans="1:13" ht="14" x14ac:dyDescent="0.2">
      <c r="A872" s="4" t="s">
        <v>2150</v>
      </c>
      <c r="B872" s="5">
        <v>10982.131875000001</v>
      </c>
      <c r="C872" s="5">
        <f t="shared" si="27"/>
        <v>784.43799107142866</v>
      </c>
      <c r="D872" s="4">
        <v>14</v>
      </c>
      <c r="E872" s="5" t="s">
        <v>10</v>
      </c>
      <c r="F872" s="4" t="s">
        <v>2145</v>
      </c>
      <c r="G872" s="4" t="s">
        <v>20</v>
      </c>
      <c r="H872" s="4" t="s">
        <v>2146</v>
      </c>
      <c r="I872" s="4" t="s">
        <v>22</v>
      </c>
      <c r="J872" s="4" t="s">
        <v>362</v>
      </c>
      <c r="K872" s="4" t="s">
        <v>53</v>
      </c>
      <c r="M872">
        <f t="shared" si="28"/>
        <v>705.99419196428585</v>
      </c>
    </row>
    <row r="873" spans="1:13" ht="14" x14ac:dyDescent="0.2">
      <c r="A873" s="4" t="s">
        <v>2151</v>
      </c>
      <c r="B873" s="5">
        <v>2033.3583562500003</v>
      </c>
      <c r="C873" s="5">
        <f t="shared" si="27"/>
        <v>101.66791781250001</v>
      </c>
      <c r="D873" s="4">
        <v>20</v>
      </c>
      <c r="E873" s="5" t="s">
        <v>10</v>
      </c>
      <c r="F873" s="4" t="s">
        <v>2152</v>
      </c>
      <c r="G873" s="4" t="s">
        <v>20</v>
      </c>
      <c r="H873" s="4" t="s">
        <v>2153</v>
      </c>
      <c r="I873" s="4" t="s">
        <v>14</v>
      </c>
      <c r="J873" s="4" t="s">
        <v>1519</v>
      </c>
      <c r="K873" s="4" t="s">
        <v>34</v>
      </c>
      <c r="M873">
        <f t="shared" si="28"/>
        <v>91.50112603125001</v>
      </c>
    </row>
    <row r="874" spans="1:13" ht="14" x14ac:dyDescent="0.2">
      <c r="A874" s="4" t="s">
        <v>2154</v>
      </c>
      <c r="B874" s="5">
        <v>1646.2104750000001</v>
      </c>
      <c r="C874" s="5">
        <f t="shared" si="27"/>
        <v>82.310523750000002</v>
      </c>
      <c r="D874" s="4">
        <v>20</v>
      </c>
      <c r="E874" s="5" t="s">
        <v>10</v>
      </c>
      <c r="F874" s="4" t="s">
        <v>2152</v>
      </c>
      <c r="G874" s="4" t="s">
        <v>20</v>
      </c>
      <c r="H874" s="4" t="s">
        <v>2153</v>
      </c>
      <c r="I874" s="4" t="s">
        <v>14</v>
      </c>
      <c r="J874" s="4" t="s">
        <v>1521</v>
      </c>
      <c r="K874" s="4" t="s">
        <v>34</v>
      </c>
      <c r="M874">
        <f t="shared" si="28"/>
        <v>74.079471374999997</v>
      </c>
    </row>
    <row r="875" spans="1:13" ht="14" x14ac:dyDescent="0.2">
      <c r="A875" s="4" t="s">
        <v>2155</v>
      </c>
      <c r="B875" s="5">
        <v>9259.3792687500008</v>
      </c>
      <c r="C875" s="5">
        <f t="shared" si="27"/>
        <v>308.64597562500001</v>
      </c>
      <c r="D875" s="4">
        <v>30</v>
      </c>
      <c r="E875" s="5" t="s">
        <v>30</v>
      </c>
      <c r="F875" s="4" t="s">
        <v>2156</v>
      </c>
      <c r="G875" s="4" t="s">
        <v>20</v>
      </c>
      <c r="H875" s="4" t="s">
        <v>2157</v>
      </c>
      <c r="I875" s="4" t="s">
        <v>14</v>
      </c>
      <c r="J875" s="4" t="s">
        <v>481</v>
      </c>
      <c r="K875" s="4" t="s">
        <v>34</v>
      </c>
      <c r="M875">
        <f t="shared" si="28"/>
        <v>277.78137806249998</v>
      </c>
    </row>
    <row r="876" spans="1:13" ht="14" x14ac:dyDescent="0.2">
      <c r="A876" s="4" t="s">
        <v>2158</v>
      </c>
      <c r="B876" s="5">
        <v>10982.131875000001</v>
      </c>
      <c r="C876" s="5">
        <f t="shared" si="27"/>
        <v>10982.131875000001</v>
      </c>
      <c r="D876" s="4">
        <v>1</v>
      </c>
      <c r="E876" s="5" t="s">
        <v>690</v>
      </c>
      <c r="F876" s="4" t="s">
        <v>691</v>
      </c>
      <c r="G876" s="4" t="s">
        <v>12</v>
      </c>
      <c r="H876" s="4" t="s">
        <v>2159</v>
      </c>
      <c r="I876" s="4" t="s">
        <v>22</v>
      </c>
      <c r="J876" s="8">
        <v>5.0000000000000001E-4</v>
      </c>
      <c r="K876" s="4" t="s">
        <v>87</v>
      </c>
      <c r="M876">
        <f t="shared" si="28"/>
        <v>9883.9186875000014</v>
      </c>
    </row>
    <row r="877" spans="1:13" ht="14" x14ac:dyDescent="0.2">
      <c r="A877" s="4" t="s">
        <v>2160</v>
      </c>
      <c r="B877" s="5">
        <v>16084.940625000001</v>
      </c>
      <c r="C877" s="5">
        <f t="shared" si="27"/>
        <v>16084.940625000001</v>
      </c>
      <c r="D877" s="4">
        <v>1</v>
      </c>
      <c r="E877" s="5" t="s">
        <v>10</v>
      </c>
      <c r="F877" s="4" t="s">
        <v>2161</v>
      </c>
      <c r="G877" s="4" t="s">
        <v>12</v>
      </c>
      <c r="H877" s="4" t="s">
        <v>2162</v>
      </c>
      <c r="I877" s="4" t="s">
        <v>22</v>
      </c>
      <c r="J877" s="4" t="s">
        <v>2163</v>
      </c>
      <c r="K877" s="4" t="s">
        <v>74</v>
      </c>
      <c r="M877">
        <f t="shared" si="28"/>
        <v>14476.446562500001</v>
      </c>
    </row>
    <row r="878" spans="1:13" ht="14" x14ac:dyDescent="0.2">
      <c r="A878" s="4" t="s">
        <v>2164</v>
      </c>
      <c r="B878" s="5">
        <v>1437.6609000000001</v>
      </c>
      <c r="C878" s="5">
        <f t="shared" si="27"/>
        <v>1437.6609000000001</v>
      </c>
      <c r="D878" s="4">
        <v>1</v>
      </c>
      <c r="E878" s="5" t="s">
        <v>175</v>
      </c>
      <c r="F878" s="4" t="s">
        <v>2165</v>
      </c>
      <c r="G878" s="4" t="s">
        <v>20</v>
      </c>
      <c r="H878" s="4" t="s">
        <v>2166</v>
      </c>
      <c r="I878" s="4" t="s">
        <v>22</v>
      </c>
      <c r="J878" s="4" t="s">
        <v>2167</v>
      </c>
      <c r="K878" s="4" t="s">
        <v>786</v>
      </c>
      <c r="M878">
        <f t="shared" si="28"/>
        <v>1293.89481</v>
      </c>
    </row>
    <row r="879" spans="1:13" ht="14" x14ac:dyDescent="0.2">
      <c r="A879" s="4" t="s">
        <v>2168</v>
      </c>
      <c r="B879" s="5">
        <v>1437.6609000000001</v>
      </c>
      <c r="C879" s="5">
        <f t="shared" si="27"/>
        <v>1437.6609000000001</v>
      </c>
      <c r="D879" s="4">
        <v>1</v>
      </c>
      <c r="E879" s="5" t="s">
        <v>175</v>
      </c>
      <c r="F879" s="4" t="s">
        <v>1745</v>
      </c>
      <c r="G879" s="4" t="s">
        <v>20</v>
      </c>
      <c r="H879" s="4" t="s">
        <v>2169</v>
      </c>
      <c r="I879" s="4" t="s">
        <v>22</v>
      </c>
      <c r="J879" s="8">
        <v>3.0000000000000001E-3</v>
      </c>
      <c r="K879" s="4" t="s">
        <v>53</v>
      </c>
      <c r="M879">
        <f t="shared" si="28"/>
        <v>1293.89481</v>
      </c>
    </row>
    <row r="880" spans="1:13" ht="14" x14ac:dyDescent="0.2">
      <c r="A880" s="4" t="s">
        <v>2170</v>
      </c>
      <c r="B880" s="5">
        <v>24404.737500000003</v>
      </c>
      <c r="C880" s="5">
        <f t="shared" si="27"/>
        <v>2440.4737500000001</v>
      </c>
      <c r="D880" s="4">
        <v>10</v>
      </c>
      <c r="E880" s="5" t="s">
        <v>202</v>
      </c>
      <c r="F880" s="4" t="s">
        <v>2171</v>
      </c>
      <c r="G880" s="4" t="s">
        <v>20</v>
      </c>
      <c r="H880" s="4" t="s">
        <v>2172</v>
      </c>
      <c r="I880" s="4" t="s">
        <v>22</v>
      </c>
      <c r="J880" s="4" t="s">
        <v>67</v>
      </c>
      <c r="K880" s="4" t="s">
        <v>34</v>
      </c>
      <c r="M880">
        <f t="shared" si="28"/>
        <v>2196.426375</v>
      </c>
    </row>
    <row r="881" spans="1:25" ht="14" x14ac:dyDescent="0.2">
      <c r="A881" s="4" t="s">
        <v>2173</v>
      </c>
      <c r="B881" s="5">
        <v>13977.258750000001</v>
      </c>
      <c r="C881" s="5">
        <f t="shared" si="27"/>
        <v>698.86293750000004</v>
      </c>
      <c r="D881" s="4">
        <v>20</v>
      </c>
      <c r="E881" s="5" t="s">
        <v>10</v>
      </c>
      <c r="F881" s="4" t="s">
        <v>2174</v>
      </c>
      <c r="G881" s="4" t="s">
        <v>20</v>
      </c>
      <c r="H881" s="4" t="s">
        <v>2175</v>
      </c>
      <c r="I881" s="4" t="s">
        <v>14</v>
      </c>
      <c r="J881" s="4">
        <v>75</v>
      </c>
      <c r="K881" s="4" t="s">
        <v>87</v>
      </c>
      <c r="M881">
        <f t="shared" si="28"/>
        <v>628.97664374999999</v>
      </c>
    </row>
    <row r="882" spans="1:25" ht="14" x14ac:dyDescent="0.2">
      <c r="A882" s="7" t="s">
        <v>5301</v>
      </c>
      <c r="B882" s="10">
        <v>21742.4025</v>
      </c>
      <c r="C882" s="5">
        <f t="shared" si="27"/>
        <v>724.74675000000002</v>
      </c>
      <c r="D882" s="9">
        <v>30</v>
      </c>
      <c r="E882" s="10" t="s">
        <v>5193</v>
      </c>
      <c r="F882" s="7" t="s">
        <v>5302</v>
      </c>
      <c r="G882" s="7" t="s">
        <v>12</v>
      </c>
      <c r="H882" s="7" t="s">
        <v>5303</v>
      </c>
      <c r="I882" s="4" t="s">
        <v>14</v>
      </c>
      <c r="J882" s="7" t="s">
        <v>148</v>
      </c>
      <c r="K882" s="7" t="s">
        <v>227</v>
      </c>
      <c r="L882" s="4"/>
      <c r="M882">
        <f t="shared" si="28"/>
        <v>652.27207499999997</v>
      </c>
      <c r="N882" s="3"/>
      <c r="O882" s="3"/>
      <c r="P882" s="3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" x14ac:dyDescent="0.2">
      <c r="A883" s="4" t="s">
        <v>2176</v>
      </c>
      <c r="B883" s="5">
        <v>8652.5887500000008</v>
      </c>
      <c r="C883" s="5">
        <f t="shared" si="27"/>
        <v>288.41962500000005</v>
      </c>
      <c r="D883" s="4">
        <v>30</v>
      </c>
      <c r="E883" s="5" t="s">
        <v>10</v>
      </c>
      <c r="F883" s="4" t="s">
        <v>2177</v>
      </c>
      <c r="G883" s="4" t="s">
        <v>20</v>
      </c>
      <c r="H883" s="4" t="s">
        <v>2177</v>
      </c>
      <c r="I883" s="4" t="s">
        <v>14</v>
      </c>
      <c r="J883" s="4" t="s">
        <v>1770</v>
      </c>
      <c r="K883" s="4" t="s">
        <v>812</v>
      </c>
      <c r="M883">
        <f t="shared" si="28"/>
        <v>259.57766250000003</v>
      </c>
    </row>
    <row r="884" spans="1:25" ht="14" x14ac:dyDescent="0.2">
      <c r="A884" s="4" t="s">
        <v>2178</v>
      </c>
      <c r="B884" s="5">
        <v>6877.6987500000005</v>
      </c>
      <c r="C884" s="5">
        <f t="shared" si="27"/>
        <v>687.76987500000007</v>
      </c>
      <c r="D884" s="4">
        <v>10</v>
      </c>
      <c r="E884" s="5" t="s">
        <v>30</v>
      </c>
      <c r="F884" s="4" t="s">
        <v>2179</v>
      </c>
      <c r="G884" s="4" t="s">
        <v>20</v>
      </c>
      <c r="H884" s="4" t="s">
        <v>2180</v>
      </c>
      <c r="I884" s="4" t="s">
        <v>22</v>
      </c>
      <c r="J884" s="4" t="s">
        <v>95</v>
      </c>
      <c r="K884" s="4" t="s">
        <v>103</v>
      </c>
      <c r="M884">
        <f t="shared" si="28"/>
        <v>618.99288750000005</v>
      </c>
    </row>
    <row r="885" spans="1:25" ht="14" x14ac:dyDescent="0.2">
      <c r="A885" s="4" t="s">
        <v>2181</v>
      </c>
      <c r="B885" s="5">
        <v>3216.9881250000003</v>
      </c>
      <c r="C885" s="5">
        <f t="shared" si="27"/>
        <v>321.69881250000003</v>
      </c>
      <c r="D885" s="4">
        <v>10</v>
      </c>
      <c r="E885" s="5" t="s">
        <v>30</v>
      </c>
      <c r="F885" s="4" t="s">
        <v>1672</v>
      </c>
      <c r="G885" s="4" t="s">
        <v>20</v>
      </c>
      <c r="H885" s="4" t="s">
        <v>2180</v>
      </c>
      <c r="I885" s="4" t="s">
        <v>22</v>
      </c>
      <c r="J885" s="4" t="s">
        <v>78</v>
      </c>
      <c r="K885" s="4" t="s">
        <v>103</v>
      </c>
      <c r="M885">
        <f t="shared" si="28"/>
        <v>289.52893125000003</v>
      </c>
    </row>
    <row r="886" spans="1:25" ht="14" x14ac:dyDescent="0.2">
      <c r="A886" s="4" t="s">
        <v>2182</v>
      </c>
      <c r="B886" s="5">
        <v>2773.2656250000005</v>
      </c>
      <c r="C886" s="5">
        <f t="shared" si="27"/>
        <v>924.42187500000011</v>
      </c>
      <c r="D886" s="4">
        <v>3</v>
      </c>
      <c r="E886" s="5" t="s">
        <v>30</v>
      </c>
      <c r="F886" s="4" t="s">
        <v>1672</v>
      </c>
      <c r="G886" s="4" t="s">
        <v>20</v>
      </c>
      <c r="H886" s="4" t="s">
        <v>2180</v>
      </c>
      <c r="I886" s="4" t="s">
        <v>22</v>
      </c>
      <c r="J886" s="4" t="s">
        <v>78</v>
      </c>
      <c r="K886" s="4" t="s">
        <v>103</v>
      </c>
      <c r="M886">
        <f t="shared" si="28"/>
        <v>831.97968750000007</v>
      </c>
    </row>
    <row r="887" spans="1:25" ht="14" x14ac:dyDescent="0.2">
      <c r="A887" s="4" t="s">
        <v>2183</v>
      </c>
      <c r="B887" s="5">
        <v>3882.5718750000005</v>
      </c>
      <c r="C887" s="5">
        <f t="shared" si="27"/>
        <v>3882.5718750000005</v>
      </c>
      <c r="D887" s="4">
        <v>1</v>
      </c>
      <c r="E887" s="5" t="s">
        <v>1212</v>
      </c>
      <c r="F887" s="4" t="s">
        <v>2184</v>
      </c>
      <c r="G887" s="4" t="s">
        <v>20</v>
      </c>
      <c r="H887" s="4" t="s">
        <v>2183</v>
      </c>
      <c r="I887" s="4" t="s">
        <v>22</v>
      </c>
      <c r="J887" s="4" t="s">
        <v>1215</v>
      </c>
      <c r="K887" s="4" t="s">
        <v>103</v>
      </c>
      <c r="M887">
        <f t="shared" si="28"/>
        <v>3494.3146875000002</v>
      </c>
    </row>
    <row r="888" spans="1:25" ht="14" x14ac:dyDescent="0.2">
      <c r="A888" s="4" t="s">
        <v>2185</v>
      </c>
      <c r="B888" s="5">
        <v>3771.6412500000001</v>
      </c>
      <c r="C888" s="5">
        <f t="shared" si="27"/>
        <v>3771.6412500000001</v>
      </c>
      <c r="D888" s="4">
        <v>1</v>
      </c>
      <c r="E888" s="5" t="s">
        <v>175</v>
      </c>
      <c r="F888" s="4" t="s">
        <v>1672</v>
      </c>
      <c r="G888" s="4" t="s">
        <v>20</v>
      </c>
      <c r="H888" s="4" t="s">
        <v>2180</v>
      </c>
      <c r="I888" s="4" t="s">
        <v>22</v>
      </c>
      <c r="J888" s="8">
        <v>3.0000000000000001E-3</v>
      </c>
      <c r="K888" s="4" t="s">
        <v>103</v>
      </c>
      <c r="M888">
        <f t="shared" si="28"/>
        <v>3394.4771250000003</v>
      </c>
    </row>
    <row r="889" spans="1:25" ht="14" x14ac:dyDescent="0.2">
      <c r="A889" s="4" t="s">
        <v>2186</v>
      </c>
      <c r="B889" s="5">
        <v>2995.1268750000004</v>
      </c>
      <c r="C889" s="5">
        <f t="shared" si="27"/>
        <v>2995.1268750000004</v>
      </c>
      <c r="D889" s="4">
        <v>1</v>
      </c>
      <c r="E889" s="5" t="s">
        <v>59</v>
      </c>
      <c r="F889" s="4" t="s">
        <v>1672</v>
      </c>
      <c r="G889" s="4" t="s">
        <v>20</v>
      </c>
      <c r="H889" s="4" t="s">
        <v>2180</v>
      </c>
      <c r="I889" s="4" t="s">
        <v>22</v>
      </c>
      <c r="J889" s="4" t="s">
        <v>2187</v>
      </c>
      <c r="K889" s="4" t="s">
        <v>103</v>
      </c>
      <c r="M889">
        <f t="shared" si="28"/>
        <v>2695.6141875000003</v>
      </c>
    </row>
    <row r="890" spans="1:25" ht="14" x14ac:dyDescent="0.2">
      <c r="A890" s="4" t="s">
        <v>2188</v>
      </c>
      <c r="B890" s="5">
        <v>2906.3823750000006</v>
      </c>
      <c r="C890" s="5">
        <f t="shared" si="27"/>
        <v>290.63823750000006</v>
      </c>
      <c r="D890" s="4">
        <v>10</v>
      </c>
      <c r="E890" s="5" t="s">
        <v>30</v>
      </c>
      <c r="F890" s="4" t="s">
        <v>1672</v>
      </c>
      <c r="G890" s="4" t="s">
        <v>20</v>
      </c>
      <c r="H890" s="4" t="s">
        <v>2189</v>
      </c>
      <c r="I890" s="4" t="s">
        <v>22</v>
      </c>
      <c r="J890" s="4" t="s">
        <v>78</v>
      </c>
      <c r="K890" s="4" t="s">
        <v>103</v>
      </c>
      <c r="M890">
        <f t="shared" si="28"/>
        <v>261.57441375000008</v>
      </c>
    </row>
    <row r="891" spans="1:25" ht="14" x14ac:dyDescent="0.2">
      <c r="A891" s="4" t="s">
        <v>2190</v>
      </c>
      <c r="B891" s="5">
        <v>6212.1150000000007</v>
      </c>
      <c r="C891" s="5">
        <f t="shared" si="27"/>
        <v>6212.1150000000007</v>
      </c>
      <c r="D891" s="4">
        <v>1</v>
      </c>
      <c r="E891" s="5" t="s">
        <v>59</v>
      </c>
      <c r="F891" s="4" t="s">
        <v>2190</v>
      </c>
      <c r="G891" s="4" t="s">
        <v>20</v>
      </c>
      <c r="H891" s="4" t="s">
        <v>2191</v>
      </c>
      <c r="I891" s="4" t="s">
        <v>22</v>
      </c>
      <c r="J891" s="4" t="s">
        <v>2192</v>
      </c>
      <c r="K891" s="4" t="s">
        <v>53</v>
      </c>
      <c r="M891">
        <f t="shared" si="28"/>
        <v>5590.9035000000003</v>
      </c>
    </row>
    <row r="892" spans="1:25" ht="14" x14ac:dyDescent="0.2">
      <c r="A892" s="4" t="s">
        <v>2193</v>
      </c>
      <c r="B892" s="5">
        <v>10871.20125</v>
      </c>
      <c r="C892" s="5">
        <f t="shared" si="27"/>
        <v>388.25718749999999</v>
      </c>
      <c r="D892" s="4">
        <v>28</v>
      </c>
      <c r="E892" s="5" t="s">
        <v>30</v>
      </c>
      <c r="F892" s="4" t="s">
        <v>2194</v>
      </c>
      <c r="G892" s="4" t="s">
        <v>20</v>
      </c>
      <c r="H892" s="4" t="s">
        <v>2195</v>
      </c>
      <c r="I892" s="4" t="s">
        <v>22</v>
      </c>
      <c r="J892" s="4" t="s">
        <v>89</v>
      </c>
      <c r="K892" s="4" t="s">
        <v>53</v>
      </c>
      <c r="M892">
        <f t="shared" si="28"/>
        <v>349.43146874999996</v>
      </c>
    </row>
    <row r="893" spans="1:25" ht="14" x14ac:dyDescent="0.2">
      <c r="A893" s="4" t="s">
        <v>2196</v>
      </c>
      <c r="B893" s="5">
        <v>2107.6818750000002</v>
      </c>
      <c r="C893" s="5">
        <f t="shared" si="27"/>
        <v>2107.6818750000002</v>
      </c>
      <c r="D893" s="4">
        <v>1</v>
      </c>
      <c r="E893" s="5" t="s">
        <v>124</v>
      </c>
      <c r="F893" s="4" t="s">
        <v>2196</v>
      </c>
      <c r="G893" s="4" t="s">
        <v>20</v>
      </c>
      <c r="H893" s="4" t="s">
        <v>2196</v>
      </c>
      <c r="I893" s="4" t="s">
        <v>22</v>
      </c>
      <c r="J893" s="4" t="s">
        <v>89</v>
      </c>
      <c r="K893" s="4" t="s">
        <v>53</v>
      </c>
      <c r="M893">
        <f t="shared" si="28"/>
        <v>1896.9136875000002</v>
      </c>
    </row>
    <row r="894" spans="1:25" ht="14" x14ac:dyDescent="0.2">
      <c r="A894" s="4" t="s">
        <v>2197</v>
      </c>
      <c r="B894" s="5">
        <v>4991.8781250000002</v>
      </c>
      <c r="C894" s="5">
        <f t="shared" si="27"/>
        <v>499.18781250000001</v>
      </c>
      <c r="D894" s="4">
        <v>10</v>
      </c>
      <c r="E894" s="5" t="s">
        <v>10</v>
      </c>
      <c r="F894" s="4" t="s">
        <v>2197</v>
      </c>
      <c r="G894" s="4" t="s">
        <v>20</v>
      </c>
      <c r="H894" s="4" t="s">
        <v>2198</v>
      </c>
      <c r="I894" s="4" t="s">
        <v>22</v>
      </c>
      <c r="J894" s="4" t="s">
        <v>1261</v>
      </c>
      <c r="K894" s="4" t="s">
        <v>2199</v>
      </c>
      <c r="M894">
        <f t="shared" si="28"/>
        <v>449.26903125000001</v>
      </c>
    </row>
    <row r="895" spans="1:25" ht="14" x14ac:dyDescent="0.2">
      <c r="A895" s="4" t="s">
        <v>2200</v>
      </c>
      <c r="B895" s="5">
        <v>3882.5718750000005</v>
      </c>
      <c r="C895" s="5">
        <f t="shared" si="27"/>
        <v>3882.5718750000005</v>
      </c>
      <c r="D895" s="4">
        <v>1</v>
      </c>
      <c r="E895" s="5" t="s">
        <v>1212</v>
      </c>
      <c r="F895" s="4" t="s">
        <v>2200</v>
      </c>
      <c r="G895" s="4" t="s">
        <v>20</v>
      </c>
      <c r="H895" s="4" t="s">
        <v>2200</v>
      </c>
      <c r="I895" s="4" t="s">
        <v>22</v>
      </c>
      <c r="J895" s="4" t="s">
        <v>1215</v>
      </c>
      <c r="K895" s="4" t="s">
        <v>103</v>
      </c>
      <c r="M895">
        <f t="shared" si="28"/>
        <v>3494.3146875000002</v>
      </c>
    </row>
    <row r="896" spans="1:25" ht="14" x14ac:dyDescent="0.2">
      <c r="A896" s="4" t="s">
        <v>2201</v>
      </c>
      <c r="B896" s="5">
        <v>3106.0575000000003</v>
      </c>
      <c r="C896" s="5">
        <f t="shared" si="27"/>
        <v>388.25718750000004</v>
      </c>
      <c r="D896" s="4">
        <v>8</v>
      </c>
      <c r="E896" s="5" t="s">
        <v>30</v>
      </c>
      <c r="F896" s="4" t="s">
        <v>2202</v>
      </c>
      <c r="G896" s="4" t="s">
        <v>20</v>
      </c>
      <c r="H896" s="4" t="s">
        <v>2203</v>
      </c>
      <c r="I896" s="4" t="s">
        <v>22</v>
      </c>
      <c r="J896" s="4" t="s">
        <v>2204</v>
      </c>
      <c r="K896" s="4" t="s">
        <v>118</v>
      </c>
      <c r="M896">
        <f t="shared" si="28"/>
        <v>349.43146875000002</v>
      </c>
    </row>
    <row r="897" spans="1:13" ht="14" x14ac:dyDescent="0.2">
      <c r="A897" s="4" t="s">
        <v>2205</v>
      </c>
      <c r="B897" s="5">
        <v>2440.4737500000001</v>
      </c>
      <c r="C897" s="5">
        <f t="shared" si="27"/>
        <v>2440.4737500000001</v>
      </c>
      <c r="D897" s="4">
        <v>1</v>
      </c>
      <c r="E897" s="5" t="s">
        <v>59</v>
      </c>
      <c r="F897" s="4" t="s">
        <v>2206</v>
      </c>
      <c r="G897" s="4" t="s">
        <v>20</v>
      </c>
      <c r="H897" s="4" t="s">
        <v>2205</v>
      </c>
      <c r="I897" s="4" t="s">
        <v>14</v>
      </c>
      <c r="J897" s="4" t="s">
        <v>2192</v>
      </c>
      <c r="K897" s="4" t="s">
        <v>53</v>
      </c>
      <c r="M897">
        <f t="shared" si="28"/>
        <v>2196.426375</v>
      </c>
    </row>
    <row r="898" spans="1:13" ht="14" x14ac:dyDescent="0.2">
      <c r="A898" s="4" t="s">
        <v>2207</v>
      </c>
      <c r="B898" s="5">
        <v>9650.9643750000014</v>
      </c>
      <c r="C898" s="5">
        <f t="shared" si="27"/>
        <v>9650.9643750000014</v>
      </c>
      <c r="D898" s="4">
        <v>1</v>
      </c>
      <c r="E898" s="4" t="s">
        <v>888</v>
      </c>
      <c r="F898" s="4" t="s">
        <v>2207</v>
      </c>
      <c r="G898" s="4" t="s">
        <v>12</v>
      </c>
      <c r="H898" s="4" t="s">
        <v>2208</v>
      </c>
      <c r="I898" s="4"/>
      <c r="J898" s="4" t="s">
        <v>2209</v>
      </c>
      <c r="K898" s="4" t="s">
        <v>244</v>
      </c>
      <c r="M898">
        <f t="shared" si="28"/>
        <v>8685.8679375000011</v>
      </c>
    </row>
    <row r="899" spans="1:13" ht="14" x14ac:dyDescent="0.2">
      <c r="A899" s="4" t="s">
        <v>2210</v>
      </c>
      <c r="B899" s="5">
        <v>3798.2646</v>
      </c>
      <c r="C899" s="5">
        <f t="shared" ref="C899:C962" si="29">(B899/D899)</f>
        <v>3798.2646</v>
      </c>
      <c r="D899" s="4">
        <v>1</v>
      </c>
      <c r="E899" s="5" t="s">
        <v>10</v>
      </c>
      <c r="F899" s="4" t="s">
        <v>2211</v>
      </c>
      <c r="G899" s="4" t="s">
        <v>20</v>
      </c>
      <c r="H899" s="4" t="s">
        <v>2211</v>
      </c>
      <c r="I899" s="4" t="s">
        <v>22</v>
      </c>
      <c r="J899" s="4" t="s">
        <v>148</v>
      </c>
      <c r="K899" s="4" t="s">
        <v>227</v>
      </c>
      <c r="M899">
        <f t="shared" si="28"/>
        <v>3418.4381400000002</v>
      </c>
    </row>
    <row r="900" spans="1:13" ht="14" x14ac:dyDescent="0.2">
      <c r="A900" s="4" t="s">
        <v>2212</v>
      </c>
      <c r="B900" s="5">
        <v>4326.2943750000004</v>
      </c>
      <c r="C900" s="5">
        <f t="shared" si="29"/>
        <v>4326.2943750000004</v>
      </c>
      <c r="D900" s="4">
        <v>1</v>
      </c>
      <c r="E900" s="5" t="s">
        <v>1212</v>
      </c>
      <c r="F900" s="4" t="s">
        <v>2212</v>
      </c>
      <c r="G900" s="4" t="s">
        <v>20</v>
      </c>
      <c r="H900" s="4" t="s">
        <v>2212</v>
      </c>
      <c r="I900" s="4" t="s">
        <v>22</v>
      </c>
      <c r="J900" s="4" t="s">
        <v>1766</v>
      </c>
      <c r="K900" s="4" t="s">
        <v>786</v>
      </c>
      <c r="M900">
        <f t="shared" si="28"/>
        <v>3893.6649375000002</v>
      </c>
    </row>
    <row r="901" spans="1:13" ht="14" x14ac:dyDescent="0.2">
      <c r="A901" s="4" t="s">
        <v>2213</v>
      </c>
      <c r="B901" s="5">
        <v>3613.0104562500005</v>
      </c>
      <c r="C901" s="5">
        <f t="shared" si="29"/>
        <v>120.43368187500002</v>
      </c>
      <c r="D901" s="4">
        <v>30</v>
      </c>
      <c r="E901" s="5" t="s">
        <v>30</v>
      </c>
      <c r="F901" s="4" t="s">
        <v>2211</v>
      </c>
      <c r="G901" s="4" t="s">
        <v>20</v>
      </c>
      <c r="H901" s="4" t="s">
        <v>2214</v>
      </c>
      <c r="I901" s="4" t="s">
        <v>14</v>
      </c>
      <c r="J901" s="4" t="s">
        <v>148</v>
      </c>
      <c r="K901" s="4" t="s">
        <v>227</v>
      </c>
      <c r="M901">
        <f t="shared" si="28"/>
        <v>108.39031368750001</v>
      </c>
    </row>
    <row r="902" spans="1:13" ht="14" x14ac:dyDescent="0.2">
      <c r="A902" s="4" t="s">
        <v>2215</v>
      </c>
      <c r="B902" s="5">
        <v>3944.6930250000005</v>
      </c>
      <c r="C902" s="5">
        <f t="shared" si="29"/>
        <v>394.46930250000003</v>
      </c>
      <c r="D902" s="4">
        <v>10</v>
      </c>
      <c r="E902" s="5" t="s">
        <v>30</v>
      </c>
      <c r="F902" s="4" t="s">
        <v>2216</v>
      </c>
      <c r="G902" s="4" t="s">
        <v>12</v>
      </c>
      <c r="H902" s="4" t="s">
        <v>2216</v>
      </c>
      <c r="I902" s="4" t="s">
        <v>22</v>
      </c>
      <c r="J902" s="4" t="s">
        <v>148</v>
      </c>
      <c r="K902" s="4" t="s">
        <v>312</v>
      </c>
      <c r="M902">
        <f t="shared" si="28"/>
        <v>355.02237224999999</v>
      </c>
    </row>
    <row r="903" spans="1:13" ht="14" x14ac:dyDescent="0.2">
      <c r="A903" s="4" t="s">
        <v>2217</v>
      </c>
      <c r="B903" s="5">
        <v>5053.9992749999992</v>
      </c>
      <c r="C903" s="5">
        <f t="shared" si="29"/>
        <v>505.39992749999993</v>
      </c>
      <c r="D903" s="4">
        <v>10</v>
      </c>
      <c r="E903" s="5" t="s">
        <v>30</v>
      </c>
      <c r="F903" s="4" t="s">
        <v>2216</v>
      </c>
      <c r="G903" s="4" t="s">
        <v>12</v>
      </c>
      <c r="H903" s="4" t="s">
        <v>2218</v>
      </c>
      <c r="I903" s="4" t="s">
        <v>22</v>
      </c>
      <c r="J903" s="4" t="s">
        <v>495</v>
      </c>
      <c r="K903" s="4" t="s">
        <v>312</v>
      </c>
      <c r="M903">
        <f t="shared" si="28"/>
        <v>454.85993474999992</v>
      </c>
    </row>
    <row r="904" spans="1:13" ht="14" x14ac:dyDescent="0.2">
      <c r="A904" s="4" t="s">
        <v>2219</v>
      </c>
      <c r="B904" s="5">
        <v>1474.2680062500001</v>
      </c>
      <c r="C904" s="5">
        <f t="shared" si="29"/>
        <v>147.426800625</v>
      </c>
      <c r="D904" s="4">
        <v>10</v>
      </c>
      <c r="E904" s="5" t="s">
        <v>30</v>
      </c>
      <c r="F904" s="4" t="s">
        <v>1672</v>
      </c>
      <c r="G904" s="4" t="s">
        <v>20</v>
      </c>
      <c r="H904" s="4" t="s">
        <v>2220</v>
      </c>
      <c r="I904" s="4" t="s">
        <v>22</v>
      </c>
      <c r="J904" s="4" t="s">
        <v>78</v>
      </c>
      <c r="K904" s="4" t="s">
        <v>103</v>
      </c>
      <c r="M904">
        <f t="shared" si="28"/>
        <v>132.6841205625</v>
      </c>
    </row>
    <row r="905" spans="1:13" ht="14" x14ac:dyDescent="0.2">
      <c r="A905" s="4" t="s">
        <v>2221</v>
      </c>
      <c r="B905" s="5">
        <v>1340.0419500000003</v>
      </c>
      <c r="C905" s="5">
        <f t="shared" si="29"/>
        <v>1340.0419500000003</v>
      </c>
      <c r="D905" s="4">
        <v>1</v>
      </c>
      <c r="E905" s="5" t="s">
        <v>59</v>
      </c>
      <c r="F905" s="4" t="s">
        <v>1875</v>
      </c>
      <c r="G905" s="4" t="s">
        <v>20</v>
      </c>
      <c r="H905" s="4" t="s">
        <v>1875</v>
      </c>
      <c r="I905" s="4" t="s">
        <v>22</v>
      </c>
      <c r="K905" s="4" t="s">
        <v>34</v>
      </c>
      <c r="M905">
        <f t="shared" si="28"/>
        <v>1206.0377550000003</v>
      </c>
    </row>
    <row r="906" spans="1:13" ht="14" x14ac:dyDescent="0.2">
      <c r="A906" s="4" t="s">
        <v>2222</v>
      </c>
      <c r="B906" s="5">
        <v>1050.5130187499999</v>
      </c>
      <c r="C906" s="5">
        <f t="shared" si="29"/>
        <v>37.518322098214284</v>
      </c>
      <c r="D906" s="4">
        <v>28</v>
      </c>
      <c r="E906" s="5" t="s">
        <v>10</v>
      </c>
      <c r="F906" s="4" t="s">
        <v>1875</v>
      </c>
      <c r="G906" s="4" t="s">
        <v>20</v>
      </c>
      <c r="H906" s="4" t="s">
        <v>1875</v>
      </c>
      <c r="I906" s="4" t="s">
        <v>22</v>
      </c>
      <c r="J906" s="4" t="s">
        <v>200</v>
      </c>
      <c r="K906" s="4" t="s">
        <v>34</v>
      </c>
      <c r="M906">
        <f t="shared" si="28"/>
        <v>33.766489888392854</v>
      </c>
    </row>
    <row r="907" spans="1:13" ht="14" x14ac:dyDescent="0.2">
      <c r="A907" s="4" t="s">
        <v>2223</v>
      </c>
      <c r="B907" s="5">
        <v>19967.512500000001</v>
      </c>
      <c r="C907" s="5">
        <f t="shared" si="29"/>
        <v>19967.512500000001</v>
      </c>
      <c r="D907" s="4">
        <v>1</v>
      </c>
      <c r="E907" s="5" t="s">
        <v>170</v>
      </c>
      <c r="F907" s="4" t="s">
        <v>596</v>
      </c>
      <c r="G907" s="4" t="s">
        <v>12</v>
      </c>
      <c r="H907" s="4" t="s">
        <v>2224</v>
      </c>
      <c r="I907" s="4" t="s">
        <v>14</v>
      </c>
      <c r="J907" s="4" t="s">
        <v>2225</v>
      </c>
      <c r="K907" s="4" t="s">
        <v>74</v>
      </c>
      <c r="M907">
        <f t="shared" si="28"/>
        <v>17970.76125</v>
      </c>
    </row>
    <row r="908" spans="1:13" ht="14" x14ac:dyDescent="0.2">
      <c r="A908" s="4" t="s">
        <v>2226</v>
      </c>
      <c r="B908" s="5">
        <v>9650.9643750000014</v>
      </c>
      <c r="C908" s="5">
        <f t="shared" si="29"/>
        <v>9650.9643750000014</v>
      </c>
      <c r="D908" s="4">
        <v>1</v>
      </c>
      <c r="E908" s="5" t="s">
        <v>124</v>
      </c>
      <c r="F908" s="4" t="s">
        <v>1086</v>
      </c>
      <c r="G908" s="4" t="s">
        <v>20</v>
      </c>
      <c r="H908" s="4" t="s">
        <v>2227</v>
      </c>
      <c r="I908" s="4" t="s">
        <v>14</v>
      </c>
      <c r="J908" s="4" t="s">
        <v>696</v>
      </c>
      <c r="K908" s="4" t="s">
        <v>53</v>
      </c>
      <c r="M908">
        <f t="shared" si="28"/>
        <v>8685.8679375000011</v>
      </c>
    </row>
    <row r="909" spans="1:13" ht="14" x14ac:dyDescent="0.2">
      <c r="A909" s="4" t="s">
        <v>2228</v>
      </c>
      <c r="B909" s="5">
        <v>7432.3518750000003</v>
      </c>
      <c r="C909" s="5">
        <f t="shared" si="29"/>
        <v>743.23518750000005</v>
      </c>
      <c r="D909" s="4">
        <v>10</v>
      </c>
      <c r="E909" s="5" t="s">
        <v>10</v>
      </c>
      <c r="F909" s="4" t="s">
        <v>2229</v>
      </c>
      <c r="G909" s="4" t="s">
        <v>20</v>
      </c>
      <c r="H909" s="4" t="s">
        <v>2229</v>
      </c>
      <c r="I909" s="4" t="s">
        <v>14</v>
      </c>
      <c r="J909" s="4" t="s">
        <v>15</v>
      </c>
      <c r="K909" s="4" t="s">
        <v>87</v>
      </c>
      <c r="M909">
        <f t="shared" si="28"/>
        <v>668.91166874999999</v>
      </c>
    </row>
    <row r="910" spans="1:13" ht="14" x14ac:dyDescent="0.2">
      <c r="A910" s="4" t="s">
        <v>2230</v>
      </c>
      <c r="B910" s="5">
        <v>47709.0432</v>
      </c>
      <c r="C910" s="5">
        <f t="shared" si="29"/>
        <v>1703.8943999999999</v>
      </c>
      <c r="D910" s="4">
        <v>28</v>
      </c>
      <c r="E910" s="5" t="s">
        <v>10</v>
      </c>
      <c r="F910" s="4" t="s">
        <v>2231</v>
      </c>
      <c r="G910" s="4" t="s">
        <v>12</v>
      </c>
      <c r="H910" s="4" t="s">
        <v>2232</v>
      </c>
      <c r="I910" s="4" t="s">
        <v>14</v>
      </c>
      <c r="J910" s="4" t="s">
        <v>146</v>
      </c>
      <c r="K910" s="4" t="s">
        <v>16</v>
      </c>
      <c r="M910">
        <f t="shared" si="28"/>
        <v>1533.50496</v>
      </c>
    </row>
    <row r="911" spans="1:13" ht="14" x14ac:dyDescent="0.2">
      <c r="A911" s="4" t="s">
        <v>2233</v>
      </c>
      <c r="B911" s="5">
        <v>43719.977925000007</v>
      </c>
      <c r="C911" s="5">
        <f t="shared" si="29"/>
        <v>10929.994481250002</v>
      </c>
      <c r="D911" s="4">
        <v>4</v>
      </c>
      <c r="E911" s="5" t="s">
        <v>10</v>
      </c>
      <c r="F911" s="4" t="s">
        <v>217</v>
      </c>
      <c r="G911" s="4" t="s">
        <v>20</v>
      </c>
      <c r="H911" s="4" t="s">
        <v>2234</v>
      </c>
      <c r="I911" s="4" t="s">
        <v>14</v>
      </c>
      <c r="J911" s="4" t="s">
        <v>218</v>
      </c>
      <c r="K911" s="4" t="s">
        <v>34</v>
      </c>
      <c r="M911">
        <f t="shared" si="28"/>
        <v>9836.995033125002</v>
      </c>
    </row>
    <row r="912" spans="1:13" ht="14" x14ac:dyDescent="0.2">
      <c r="A912" s="4" t="s">
        <v>2235</v>
      </c>
      <c r="B912" s="5">
        <v>887.44500000000005</v>
      </c>
      <c r="C912" s="5">
        <f t="shared" si="29"/>
        <v>88.744500000000002</v>
      </c>
      <c r="D912" s="4">
        <v>10</v>
      </c>
      <c r="E912" s="5" t="s">
        <v>124</v>
      </c>
      <c r="F912" s="4" t="s">
        <v>2236</v>
      </c>
      <c r="G912" s="4" t="s">
        <v>12</v>
      </c>
      <c r="H912" s="4" t="s">
        <v>2237</v>
      </c>
      <c r="I912" s="4" t="s">
        <v>22</v>
      </c>
      <c r="J912" s="4" t="s">
        <v>2238</v>
      </c>
      <c r="K912" s="4" t="s">
        <v>312</v>
      </c>
      <c r="M912">
        <f t="shared" si="28"/>
        <v>79.870050000000006</v>
      </c>
    </row>
    <row r="913" spans="1:25" ht="14" x14ac:dyDescent="0.2">
      <c r="A913" s="4" t="s">
        <v>2239</v>
      </c>
      <c r="B913" s="5">
        <v>3106.0575000000003</v>
      </c>
      <c r="C913" s="5">
        <f t="shared" si="29"/>
        <v>110.93062500000001</v>
      </c>
      <c r="D913" s="4">
        <v>28</v>
      </c>
      <c r="E913" s="5" t="s">
        <v>10</v>
      </c>
      <c r="F913" s="4" t="s">
        <v>2236</v>
      </c>
      <c r="G913" s="4" t="s">
        <v>12</v>
      </c>
      <c r="H913" s="4" t="s">
        <v>2236</v>
      </c>
      <c r="I913" s="4" t="s">
        <v>22</v>
      </c>
      <c r="J913" s="4" t="s">
        <v>148</v>
      </c>
      <c r="K913" s="4" t="s">
        <v>312</v>
      </c>
      <c r="M913">
        <f t="shared" si="28"/>
        <v>99.837562500000004</v>
      </c>
    </row>
    <row r="914" spans="1:25" ht="14" x14ac:dyDescent="0.2">
      <c r="A914" s="4" t="s">
        <v>2240</v>
      </c>
      <c r="B914" s="5">
        <v>3106.0575000000003</v>
      </c>
      <c r="C914" s="5">
        <f t="shared" si="29"/>
        <v>110.93062500000001</v>
      </c>
      <c r="D914" s="4">
        <v>28</v>
      </c>
      <c r="E914" s="5" t="s">
        <v>10</v>
      </c>
      <c r="F914" s="4" t="s">
        <v>2236</v>
      </c>
      <c r="G914" s="4" t="s">
        <v>12</v>
      </c>
      <c r="H914" s="4" t="s">
        <v>2236</v>
      </c>
      <c r="I914" s="4" t="s">
        <v>22</v>
      </c>
      <c r="J914" s="4" t="s">
        <v>495</v>
      </c>
      <c r="K914" s="4" t="s">
        <v>312</v>
      </c>
      <c r="M914">
        <f t="shared" si="28"/>
        <v>99.837562500000004</v>
      </c>
    </row>
    <row r="915" spans="1:25" ht="14" x14ac:dyDescent="0.2">
      <c r="A915" s="4" t="s">
        <v>2241</v>
      </c>
      <c r="B915" s="5">
        <v>10783.566056250002</v>
      </c>
      <c r="C915" s="5">
        <f t="shared" si="29"/>
        <v>10783.566056250002</v>
      </c>
      <c r="D915" s="4">
        <v>1</v>
      </c>
      <c r="E915" s="5" t="s">
        <v>18</v>
      </c>
      <c r="F915" s="4" t="s">
        <v>2242</v>
      </c>
      <c r="G915" s="4" t="s">
        <v>20</v>
      </c>
      <c r="H915" s="4" t="s">
        <v>2243</v>
      </c>
      <c r="I915" s="4" t="s">
        <v>14</v>
      </c>
      <c r="J915" s="4" t="s">
        <v>2244</v>
      </c>
      <c r="K915" s="4" t="s">
        <v>53</v>
      </c>
      <c r="M915">
        <f t="shared" si="28"/>
        <v>9705.2094506250014</v>
      </c>
    </row>
    <row r="916" spans="1:25" ht="14" x14ac:dyDescent="0.2">
      <c r="A916" s="4" t="s">
        <v>2245</v>
      </c>
      <c r="B916" s="5">
        <v>1774.89</v>
      </c>
      <c r="C916" s="5">
        <f t="shared" si="29"/>
        <v>1774.89</v>
      </c>
      <c r="D916" s="4">
        <v>1</v>
      </c>
      <c r="E916" s="5" t="s">
        <v>55</v>
      </c>
      <c r="F916" s="4" t="s">
        <v>2246</v>
      </c>
      <c r="G916" s="4" t="s">
        <v>20</v>
      </c>
      <c r="H916" s="4" t="s">
        <v>2247</v>
      </c>
      <c r="I916" s="4" t="s">
        <v>22</v>
      </c>
      <c r="K916" s="4" t="s">
        <v>103</v>
      </c>
      <c r="M916">
        <f t="shared" si="28"/>
        <v>1597.4010000000001</v>
      </c>
    </row>
    <row r="917" spans="1:25" ht="14" x14ac:dyDescent="0.2">
      <c r="A917" s="4" t="s">
        <v>2248</v>
      </c>
      <c r="B917" s="5">
        <v>2773.2656250000005</v>
      </c>
      <c r="C917" s="5">
        <f t="shared" si="29"/>
        <v>277.32656250000002</v>
      </c>
      <c r="D917" s="4">
        <v>10</v>
      </c>
      <c r="E917" s="5" t="s">
        <v>10</v>
      </c>
      <c r="F917" s="4" t="s">
        <v>2249</v>
      </c>
      <c r="G917" s="4" t="s">
        <v>20</v>
      </c>
      <c r="H917" s="4" t="s">
        <v>2250</v>
      </c>
      <c r="I917" s="4" t="s">
        <v>22</v>
      </c>
      <c r="J917" s="4" t="s">
        <v>95</v>
      </c>
      <c r="K917" s="4" t="s">
        <v>103</v>
      </c>
      <c r="M917">
        <f t="shared" si="28"/>
        <v>249.59390625000003</v>
      </c>
    </row>
    <row r="918" spans="1:25" ht="14" x14ac:dyDescent="0.2">
      <c r="A918" s="4" t="s">
        <v>2251</v>
      </c>
      <c r="B918" s="5">
        <v>1497.5634375000002</v>
      </c>
      <c r="C918" s="5">
        <f t="shared" si="29"/>
        <v>1497.5634375000002</v>
      </c>
      <c r="D918" s="4">
        <v>1</v>
      </c>
      <c r="E918" s="5" t="s">
        <v>55</v>
      </c>
      <c r="F918" s="4" t="s">
        <v>1530</v>
      </c>
      <c r="G918" s="4" t="s">
        <v>20</v>
      </c>
      <c r="H918" s="4" t="s">
        <v>2252</v>
      </c>
      <c r="I918" s="4" t="s">
        <v>22</v>
      </c>
      <c r="J918" s="6">
        <v>0.02</v>
      </c>
      <c r="K918" s="4" t="s">
        <v>103</v>
      </c>
      <c r="M918">
        <f t="shared" si="28"/>
        <v>1347.8070937500001</v>
      </c>
    </row>
    <row r="919" spans="1:25" ht="14" x14ac:dyDescent="0.2">
      <c r="A919" s="4" t="s">
        <v>2253</v>
      </c>
      <c r="B919" s="5">
        <v>2440.4737500000001</v>
      </c>
      <c r="C919" s="5">
        <f t="shared" si="29"/>
        <v>2440.4737500000001</v>
      </c>
      <c r="D919" s="4">
        <v>1</v>
      </c>
      <c r="E919" s="5" t="s">
        <v>950</v>
      </c>
      <c r="F919" s="4" t="s">
        <v>1530</v>
      </c>
      <c r="G919" s="4" t="s">
        <v>20</v>
      </c>
      <c r="H919" s="4" t="s">
        <v>2253</v>
      </c>
      <c r="I919" s="4" t="s">
        <v>22</v>
      </c>
      <c r="J919" s="6">
        <v>0.02</v>
      </c>
      <c r="K919" s="4" t="s">
        <v>103</v>
      </c>
      <c r="M919">
        <f t="shared" si="28"/>
        <v>2196.426375</v>
      </c>
    </row>
    <row r="920" spans="1:25" ht="14" x14ac:dyDescent="0.2">
      <c r="A920" s="4" t="s">
        <v>2254</v>
      </c>
      <c r="B920" s="5">
        <v>2440.4737500000001</v>
      </c>
      <c r="C920" s="5">
        <f t="shared" si="29"/>
        <v>2440.4737500000001</v>
      </c>
      <c r="D920" s="4">
        <v>1</v>
      </c>
      <c r="E920" s="5" t="s">
        <v>202</v>
      </c>
      <c r="F920" s="4" t="s">
        <v>1530</v>
      </c>
      <c r="G920" s="4" t="s">
        <v>20</v>
      </c>
      <c r="H920" s="4" t="s">
        <v>2254</v>
      </c>
      <c r="I920" s="4" t="s">
        <v>22</v>
      </c>
      <c r="J920" s="6">
        <v>0.02</v>
      </c>
      <c r="K920" s="4" t="s">
        <v>103</v>
      </c>
      <c r="M920">
        <f t="shared" si="28"/>
        <v>2196.426375</v>
      </c>
    </row>
    <row r="921" spans="1:25" ht="14" x14ac:dyDescent="0.2">
      <c r="A921" s="4" t="s">
        <v>2255</v>
      </c>
      <c r="B921" s="5">
        <v>2107.6818750000002</v>
      </c>
      <c r="C921" s="5">
        <f t="shared" si="29"/>
        <v>2107.6818750000002</v>
      </c>
      <c r="D921" s="4">
        <v>1</v>
      </c>
      <c r="E921" s="5" t="s">
        <v>10</v>
      </c>
      <c r="F921" s="4" t="s">
        <v>1672</v>
      </c>
      <c r="G921" s="4" t="s">
        <v>20</v>
      </c>
      <c r="H921" s="4" t="s">
        <v>2256</v>
      </c>
      <c r="I921" s="4" t="s">
        <v>22</v>
      </c>
      <c r="J921" s="4" t="s">
        <v>481</v>
      </c>
      <c r="K921" s="4" t="s">
        <v>103</v>
      </c>
      <c r="M921">
        <f t="shared" si="28"/>
        <v>1896.9136875000002</v>
      </c>
    </row>
    <row r="922" spans="1:25" ht="14" x14ac:dyDescent="0.2">
      <c r="A922" s="4" t="s">
        <v>2257</v>
      </c>
      <c r="B922" s="5">
        <v>6212.1150000000007</v>
      </c>
      <c r="C922" s="5">
        <f t="shared" si="29"/>
        <v>6212.1150000000007</v>
      </c>
      <c r="D922" s="4">
        <v>1</v>
      </c>
      <c r="E922" s="5" t="s">
        <v>181</v>
      </c>
      <c r="F922" s="4" t="s">
        <v>250</v>
      </c>
      <c r="G922" s="4" t="s">
        <v>20</v>
      </c>
      <c r="H922" s="4" t="s">
        <v>2258</v>
      </c>
      <c r="I922" s="4" t="s">
        <v>22</v>
      </c>
      <c r="J922" s="4" t="s">
        <v>379</v>
      </c>
      <c r="K922" s="4" t="s">
        <v>53</v>
      </c>
      <c r="M922">
        <f t="shared" si="28"/>
        <v>5590.9035000000003</v>
      </c>
    </row>
    <row r="923" spans="1:25" ht="14" x14ac:dyDescent="0.2">
      <c r="A923" s="4" t="s">
        <v>2259</v>
      </c>
      <c r="B923" s="5">
        <v>9540.0337500000005</v>
      </c>
      <c r="C923" s="5">
        <f t="shared" si="29"/>
        <v>954.00337500000001</v>
      </c>
      <c r="D923" s="4">
        <v>10</v>
      </c>
      <c r="E923" s="5" t="s">
        <v>10</v>
      </c>
      <c r="F923" s="4" t="s">
        <v>250</v>
      </c>
      <c r="G923" s="4" t="s">
        <v>20</v>
      </c>
      <c r="H923" s="4" t="s">
        <v>2260</v>
      </c>
      <c r="I923" s="4" t="s">
        <v>22</v>
      </c>
      <c r="J923" s="4" t="s">
        <v>207</v>
      </c>
      <c r="K923" s="4" t="s">
        <v>53</v>
      </c>
      <c r="M923">
        <f t="shared" si="28"/>
        <v>858.60303750000003</v>
      </c>
    </row>
    <row r="924" spans="1:25" ht="14" x14ac:dyDescent="0.2">
      <c r="A924" s="7" t="s">
        <v>5304</v>
      </c>
      <c r="B924" s="10">
        <v>9096.3112500000007</v>
      </c>
      <c r="C924" s="5">
        <f t="shared" si="29"/>
        <v>9096.3112500000007</v>
      </c>
      <c r="D924" s="9">
        <v>1</v>
      </c>
      <c r="E924" s="10" t="s">
        <v>5176</v>
      </c>
      <c r="F924" s="7" t="s">
        <v>5305</v>
      </c>
      <c r="G924" s="7" t="s">
        <v>12</v>
      </c>
      <c r="H924" s="7" t="s">
        <v>5306</v>
      </c>
      <c r="I924" s="4" t="s">
        <v>22</v>
      </c>
      <c r="J924" s="7" t="s">
        <v>3543</v>
      </c>
      <c r="K924" s="7" t="s">
        <v>23</v>
      </c>
      <c r="L924" s="4"/>
      <c r="M924">
        <f t="shared" si="28"/>
        <v>8186.6801250000008</v>
      </c>
      <c r="N924" s="3"/>
      <c r="O924" s="3"/>
      <c r="P924" s="3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" x14ac:dyDescent="0.2">
      <c r="A925" s="4" t="s">
        <v>2261</v>
      </c>
      <c r="B925" s="5">
        <v>9429.1031250000015</v>
      </c>
      <c r="C925" s="5">
        <f t="shared" si="29"/>
        <v>9429.1031250000015</v>
      </c>
      <c r="D925" s="4">
        <v>1</v>
      </c>
      <c r="E925" s="5" t="s">
        <v>55</v>
      </c>
      <c r="F925" s="4" t="s">
        <v>2242</v>
      </c>
      <c r="G925" s="4" t="s">
        <v>20</v>
      </c>
      <c r="H925" s="4" t="s">
        <v>2262</v>
      </c>
      <c r="I925" s="4" t="s">
        <v>22</v>
      </c>
      <c r="J925" s="6">
        <v>0.02</v>
      </c>
      <c r="K925" s="4" t="s">
        <v>53</v>
      </c>
      <c r="M925">
        <f t="shared" ref="M925:M988" si="30">C925-(C925* 10%)</f>
        <v>8486.1928125000013</v>
      </c>
    </row>
    <row r="926" spans="1:25" ht="14" x14ac:dyDescent="0.2">
      <c r="A926" s="4" t="s">
        <v>5307</v>
      </c>
      <c r="B926" s="5">
        <v>6549.3441000000012</v>
      </c>
      <c r="C926" s="5">
        <f t="shared" si="29"/>
        <v>218.31147000000004</v>
      </c>
      <c r="D926" s="4">
        <v>30</v>
      </c>
      <c r="E926" s="5" t="s">
        <v>10</v>
      </c>
      <c r="F926" s="4" t="s">
        <v>2263</v>
      </c>
      <c r="G926" s="4" t="s">
        <v>20</v>
      </c>
      <c r="H926" s="4" t="s">
        <v>2264</v>
      </c>
      <c r="I926" s="4" t="s">
        <v>22</v>
      </c>
      <c r="K926" s="4" t="s">
        <v>406</v>
      </c>
      <c r="M926">
        <f t="shared" si="30"/>
        <v>196.48032300000003</v>
      </c>
    </row>
    <row r="927" spans="1:25" ht="14" x14ac:dyDescent="0.2">
      <c r="A927" s="4" t="s">
        <v>5308</v>
      </c>
      <c r="B927" s="5">
        <v>12146.903437500001</v>
      </c>
      <c r="C927" s="5">
        <f t="shared" si="29"/>
        <v>121.46903437500001</v>
      </c>
      <c r="D927" s="4">
        <v>100</v>
      </c>
      <c r="E927" s="5" t="s">
        <v>10</v>
      </c>
      <c r="F927" s="4" t="s">
        <v>2265</v>
      </c>
      <c r="G927" s="4" t="s">
        <v>20</v>
      </c>
      <c r="H927" s="4" t="s">
        <v>2265</v>
      </c>
      <c r="I927" s="4" t="s">
        <v>22</v>
      </c>
      <c r="J927" s="4" t="s">
        <v>140</v>
      </c>
      <c r="K927" s="4" t="s">
        <v>227</v>
      </c>
      <c r="M927">
        <f t="shared" si="30"/>
        <v>109.32213093750001</v>
      </c>
    </row>
    <row r="928" spans="1:25" ht="14" x14ac:dyDescent="0.2">
      <c r="A928" s="4" t="s">
        <v>5309</v>
      </c>
      <c r="B928" s="5">
        <v>14642.842500000001</v>
      </c>
      <c r="C928" s="5">
        <f t="shared" si="29"/>
        <v>146.428425</v>
      </c>
      <c r="D928" s="4">
        <v>100</v>
      </c>
      <c r="E928" s="5" t="s">
        <v>10</v>
      </c>
      <c r="F928" s="4" t="s">
        <v>2265</v>
      </c>
      <c r="G928" s="4" t="s">
        <v>20</v>
      </c>
      <c r="H928" s="4" t="s">
        <v>2265</v>
      </c>
      <c r="I928" s="4" t="s">
        <v>22</v>
      </c>
      <c r="J928" s="4" t="s">
        <v>47</v>
      </c>
      <c r="K928" s="4" t="s">
        <v>227</v>
      </c>
      <c r="M928">
        <f t="shared" si="30"/>
        <v>131.7855825</v>
      </c>
    </row>
    <row r="929" spans="1:13" ht="14" x14ac:dyDescent="0.2">
      <c r="A929" s="4" t="s">
        <v>2266</v>
      </c>
      <c r="B929" s="5">
        <v>2884.1962500000004</v>
      </c>
      <c r="C929" s="5">
        <f t="shared" si="29"/>
        <v>288.41962500000005</v>
      </c>
      <c r="D929" s="4">
        <v>10</v>
      </c>
      <c r="E929" s="5" t="s">
        <v>10</v>
      </c>
      <c r="F929" s="4" t="s">
        <v>1110</v>
      </c>
      <c r="G929" s="4" t="s">
        <v>20</v>
      </c>
      <c r="H929" s="4" t="s">
        <v>2267</v>
      </c>
      <c r="I929" s="4" t="s">
        <v>22</v>
      </c>
      <c r="J929" s="4" t="s">
        <v>207</v>
      </c>
      <c r="K929" s="4" t="s">
        <v>53</v>
      </c>
      <c r="M929">
        <f t="shared" si="30"/>
        <v>259.57766250000003</v>
      </c>
    </row>
    <row r="930" spans="1:13" ht="14" x14ac:dyDescent="0.2">
      <c r="A930" s="4" t="s">
        <v>2268</v>
      </c>
      <c r="B930" s="5">
        <v>3050.5921875000004</v>
      </c>
      <c r="C930" s="5">
        <f t="shared" si="29"/>
        <v>305.05921875000001</v>
      </c>
      <c r="D930" s="4">
        <v>10</v>
      </c>
      <c r="E930" s="5" t="s">
        <v>10</v>
      </c>
      <c r="F930" s="4" t="s">
        <v>1199</v>
      </c>
      <c r="G930" s="4" t="s">
        <v>20</v>
      </c>
      <c r="H930" s="4" t="s">
        <v>2269</v>
      </c>
      <c r="I930" s="4" t="s">
        <v>22</v>
      </c>
      <c r="J930" s="4" t="s">
        <v>2270</v>
      </c>
      <c r="K930" s="4" t="s">
        <v>53</v>
      </c>
      <c r="M930">
        <f t="shared" si="30"/>
        <v>274.553296875</v>
      </c>
    </row>
    <row r="931" spans="1:13" ht="14" x14ac:dyDescent="0.2">
      <c r="A931" s="4" t="s">
        <v>2271</v>
      </c>
      <c r="B931" s="5">
        <v>32391.742500000004</v>
      </c>
      <c r="C931" s="5">
        <f t="shared" si="29"/>
        <v>1156.8479464285715</v>
      </c>
      <c r="D931" s="4">
        <v>28</v>
      </c>
      <c r="E931" s="5" t="s">
        <v>10</v>
      </c>
      <c r="F931" s="4" t="s">
        <v>2272</v>
      </c>
      <c r="G931" s="4" t="s">
        <v>12</v>
      </c>
      <c r="H931" s="4" t="s">
        <v>2273</v>
      </c>
      <c r="I931" s="4" t="s">
        <v>14</v>
      </c>
      <c r="J931" s="4" t="s">
        <v>78</v>
      </c>
      <c r="K931" s="4" t="s">
        <v>16</v>
      </c>
      <c r="M931">
        <f t="shared" si="30"/>
        <v>1041.1631517857143</v>
      </c>
    </row>
    <row r="932" spans="1:13" ht="14" x14ac:dyDescent="0.2">
      <c r="A932" s="4" t="s">
        <v>2274</v>
      </c>
      <c r="B932" s="5">
        <v>59902.537500000006</v>
      </c>
      <c r="C932" s="5">
        <f t="shared" si="29"/>
        <v>998.37562500000013</v>
      </c>
      <c r="D932" s="4">
        <v>60</v>
      </c>
      <c r="E932" s="5" t="s">
        <v>10</v>
      </c>
      <c r="F932" s="4" t="s">
        <v>2275</v>
      </c>
      <c r="G932" s="4" t="s">
        <v>12</v>
      </c>
      <c r="H932" s="4" t="s">
        <v>2276</v>
      </c>
      <c r="I932" s="4" t="s">
        <v>14</v>
      </c>
      <c r="J932" s="4" t="s">
        <v>2277</v>
      </c>
      <c r="K932" s="4" t="s">
        <v>16</v>
      </c>
      <c r="M932">
        <f t="shared" si="30"/>
        <v>898.53806250000014</v>
      </c>
    </row>
    <row r="933" spans="1:13" ht="14" x14ac:dyDescent="0.2">
      <c r="A933" s="4" t="s">
        <v>2278</v>
      </c>
      <c r="B933" s="5">
        <v>66558.375</v>
      </c>
      <c r="C933" s="5">
        <f t="shared" si="29"/>
        <v>1109.3062500000001</v>
      </c>
      <c r="D933" s="4">
        <v>60</v>
      </c>
      <c r="E933" s="5" t="s">
        <v>10</v>
      </c>
      <c r="F933" s="4" t="s">
        <v>2275</v>
      </c>
      <c r="G933" s="4" t="s">
        <v>12</v>
      </c>
      <c r="H933" s="4" t="s">
        <v>2276</v>
      </c>
      <c r="I933" s="4" t="s">
        <v>14</v>
      </c>
      <c r="J933" s="4" t="s">
        <v>2277</v>
      </c>
      <c r="K933" s="4" t="s">
        <v>16</v>
      </c>
      <c r="M933">
        <f t="shared" si="30"/>
        <v>998.37562500000013</v>
      </c>
    </row>
    <row r="934" spans="1:13" ht="14" x14ac:dyDescent="0.2">
      <c r="A934" s="4" t="s">
        <v>2279</v>
      </c>
      <c r="B934" s="5">
        <v>55465.312500000007</v>
      </c>
      <c r="C934" s="5">
        <f t="shared" si="29"/>
        <v>924.42187500000011</v>
      </c>
      <c r="D934" s="4">
        <v>60</v>
      </c>
      <c r="E934" s="5" t="s">
        <v>10</v>
      </c>
      <c r="F934" s="4" t="s">
        <v>2280</v>
      </c>
      <c r="G934" s="4" t="s">
        <v>12</v>
      </c>
      <c r="H934" s="4" t="s">
        <v>2276</v>
      </c>
      <c r="I934" s="4" t="s">
        <v>14</v>
      </c>
      <c r="J934" s="4" t="s">
        <v>2281</v>
      </c>
      <c r="K934" s="4" t="s">
        <v>16</v>
      </c>
      <c r="M934">
        <f t="shared" si="30"/>
        <v>831.97968750000007</v>
      </c>
    </row>
    <row r="935" spans="1:13" ht="14" x14ac:dyDescent="0.2">
      <c r="A935" s="4" t="s">
        <v>2282</v>
      </c>
      <c r="B935" s="5">
        <v>29489.797350000001</v>
      </c>
      <c r="C935" s="5">
        <f t="shared" si="29"/>
        <v>29489.797350000001</v>
      </c>
      <c r="D935" s="4">
        <v>1</v>
      </c>
      <c r="E935" s="5" t="s">
        <v>175</v>
      </c>
      <c r="F935" s="4" t="s">
        <v>2283</v>
      </c>
      <c r="G935" s="4" t="s">
        <v>20</v>
      </c>
      <c r="H935" s="4" t="s">
        <v>2284</v>
      </c>
      <c r="I935" s="4" t="s">
        <v>14</v>
      </c>
      <c r="J935" s="4" t="s">
        <v>2285</v>
      </c>
      <c r="K935" s="4" t="s">
        <v>244</v>
      </c>
      <c r="M935">
        <f t="shared" si="30"/>
        <v>26540.817615</v>
      </c>
    </row>
    <row r="936" spans="1:13" ht="14" x14ac:dyDescent="0.2">
      <c r="A936" s="4" t="s">
        <v>2286</v>
      </c>
      <c r="B936" s="5">
        <v>11980.507500000002</v>
      </c>
      <c r="C936" s="5">
        <f t="shared" si="29"/>
        <v>1198.0507500000001</v>
      </c>
      <c r="D936" s="4">
        <v>10</v>
      </c>
      <c r="E936" s="5" t="s">
        <v>30</v>
      </c>
      <c r="F936" s="4" t="s">
        <v>2287</v>
      </c>
      <c r="G936" s="4" t="s">
        <v>20</v>
      </c>
      <c r="H936" s="4" t="s">
        <v>2288</v>
      </c>
      <c r="I936" s="4" t="s">
        <v>22</v>
      </c>
      <c r="K936" s="4" t="s">
        <v>34</v>
      </c>
      <c r="M936">
        <f t="shared" si="30"/>
        <v>1078.2456750000001</v>
      </c>
    </row>
    <row r="937" spans="1:13" ht="14" x14ac:dyDescent="0.2">
      <c r="A937" s="4" t="s">
        <v>2289</v>
      </c>
      <c r="B937" s="5">
        <v>6212.1150000000007</v>
      </c>
      <c r="C937" s="5">
        <f t="shared" si="29"/>
        <v>62.121150000000007</v>
      </c>
      <c r="D937" s="4">
        <v>100</v>
      </c>
      <c r="E937" s="5" t="s">
        <v>30</v>
      </c>
      <c r="F937" s="4" t="s">
        <v>2287</v>
      </c>
      <c r="G937" s="4" t="s">
        <v>20</v>
      </c>
      <c r="H937" s="4" t="s">
        <v>2287</v>
      </c>
      <c r="I937" s="4" t="s">
        <v>22</v>
      </c>
      <c r="J937" s="4" t="s">
        <v>2290</v>
      </c>
      <c r="K937" s="4" t="s">
        <v>34</v>
      </c>
      <c r="M937">
        <f t="shared" si="30"/>
        <v>55.909035000000003</v>
      </c>
    </row>
    <row r="938" spans="1:13" ht="14" x14ac:dyDescent="0.2">
      <c r="A938" s="4" t="s">
        <v>2291</v>
      </c>
      <c r="B938" s="5">
        <v>665.58375000000001</v>
      </c>
      <c r="C938" s="5">
        <f t="shared" si="29"/>
        <v>110.93062500000001</v>
      </c>
      <c r="D938" s="4">
        <v>6</v>
      </c>
      <c r="E938" s="5" t="s">
        <v>10</v>
      </c>
      <c r="F938" s="4" t="s">
        <v>2292</v>
      </c>
      <c r="G938" s="4" t="s">
        <v>20</v>
      </c>
      <c r="H938" s="4" t="s">
        <v>2293</v>
      </c>
      <c r="I938" s="4" t="s">
        <v>22</v>
      </c>
      <c r="J938" s="4" t="s">
        <v>2294</v>
      </c>
      <c r="K938" s="4" t="s">
        <v>403</v>
      </c>
      <c r="M938">
        <f t="shared" si="30"/>
        <v>99.837562500000004</v>
      </c>
    </row>
    <row r="939" spans="1:13" ht="14" x14ac:dyDescent="0.2">
      <c r="A939" s="4" t="s">
        <v>2295</v>
      </c>
      <c r="B939" s="5">
        <v>2884.1962500000004</v>
      </c>
      <c r="C939" s="5">
        <f t="shared" si="29"/>
        <v>2884.1962500000004</v>
      </c>
      <c r="D939" s="4">
        <v>1</v>
      </c>
      <c r="E939" s="5" t="s">
        <v>181</v>
      </c>
      <c r="F939" s="4" t="s">
        <v>2296</v>
      </c>
      <c r="G939" s="4" t="s">
        <v>20</v>
      </c>
      <c r="H939" s="4" t="s">
        <v>2297</v>
      </c>
      <c r="I939" s="4" t="s">
        <v>22</v>
      </c>
      <c r="K939" s="4" t="s">
        <v>403</v>
      </c>
      <c r="M939">
        <f t="shared" si="30"/>
        <v>2595.7766250000004</v>
      </c>
    </row>
    <row r="940" spans="1:13" ht="14" x14ac:dyDescent="0.2">
      <c r="A940" s="4" t="s">
        <v>2298</v>
      </c>
      <c r="B940" s="5">
        <v>2156.4913500000002</v>
      </c>
      <c r="C940" s="5">
        <f t="shared" si="29"/>
        <v>2156.4913500000002</v>
      </c>
      <c r="D940" s="4">
        <v>1</v>
      </c>
      <c r="E940" s="5" t="s">
        <v>25</v>
      </c>
      <c r="F940" s="4" t="s">
        <v>2299</v>
      </c>
      <c r="G940" s="4" t="s">
        <v>20</v>
      </c>
      <c r="H940" s="4" t="s">
        <v>2299</v>
      </c>
      <c r="I940" s="4" t="s">
        <v>22</v>
      </c>
      <c r="K940" s="4" t="s">
        <v>28</v>
      </c>
      <c r="M940">
        <f t="shared" si="30"/>
        <v>1940.8422150000001</v>
      </c>
    </row>
    <row r="941" spans="1:13" ht="14" x14ac:dyDescent="0.2">
      <c r="A941" s="4" t="s">
        <v>2300</v>
      </c>
      <c r="B941" s="5">
        <v>15086.565000000001</v>
      </c>
      <c r="C941" s="5">
        <f t="shared" si="29"/>
        <v>15086.565000000001</v>
      </c>
      <c r="D941" s="4">
        <v>1</v>
      </c>
      <c r="E941" s="5" t="s">
        <v>59</v>
      </c>
      <c r="F941" s="4" t="s">
        <v>2301</v>
      </c>
      <c r="G941" s="4" t="s">
        <v>20</v>
      </c>
      <c r="H941" s="4" t="s">
        <v>2302</v>
      </c>
      <c r="I941" s="4" t="s">
        <v>14</v>
      </c>
      <c r="J941" s="4" t="s">
        <v>1936</v>
      </c>
      <c r="K941" s="4" t="s">
        <v>403</v>
      </c>
      <c r="M941">
        <f t="shared" si="30"/>
        <v>13577.908500000001</v>
      </c>
    </row>
    <row r="942" spans="1:13" ht="14" x14ac:dyDescent="0.2">
      <c r="A942" s="4" t="s">
        <v>2303</v>
      </c>
      <c r="B942" s="5">
        <v>17859.830625000002</v>
      </c>
      <c r="C942" s="5">
        <f t="shared" si="29"/>
        <v>17859.830625000002</v>
      </c>
      <c r="D942" s="4">
        <v>1</v>
      </c>
      <c r="E942" s="5" t="s">
        <v>59</v>
      </c>
      <c r="F942" s="4" t="s">
        <v>2304</v>
      </c>
      <c r="G942" s="4" t="s">
        <v>20</v>
      </c>
      <c r="H942" s="4" t="s">
        <v>2305</v>
      </c>
      <c r="I942" s="4" t="s">
        <v>14</v>
      </c>
      <c r="K942" s="4" t="s">
        <v>403</v>
      </c>
      <c r="M942">
        <f t="shared" si="30"/>
        <v>16073.847562500003</v>
      </c>
    </row>
    <row r="943" spans="1:13" ht="14" x14ac:dyDescent="0.2">
      <c r="A943" s="4" t="s">
        <v>2306</v>
      </c>
      <c r="B943" s="5">
        <v>7765.1437500000011</v>
      </c>
      <c r="C943" s="5">
        <f t="shared" si="29"/>
        <v>485.32148437500007</v>
      </c>
      <c r="D943" s="4">
        <v>16</v>
      </c>
      <c r="E943" s="5" t="s">
        <v>10</v>
      </c>
      <c r="F943" s="4" t="s">
        <v>2307</v>
      </c>
      <c r="G943" s="4" t="s">
        <v>20</v>
      </c>
      <c r="H943" s="4" t="s">
        <v>2308</v>
      </c>
      <c r="I943" s="4" t="s">
        <v>14</v>
      </c>
      <c r="J943" s="4" t="s">
        <v>67</v>
      </c>
      <c r="K943" s="4" t="s">
        <v>403</v>
      </c>
      <c r="M943">
        <f t="shared" si="30"/>
        <v>436.78933593750003</v>
      </c>
    </row>
    <row r="944" spans="1:13" ht="14" x14ac:dyDescent="0.2">
      <c r="A944" s="4" t="s">
        <v>2309</v>
      </c>
      <c r="B944" s="5">
        <v>18636.345000000001</v>
      </c>
      <c r="C944" s="5">
        <f t="shared" si="29"/>
        <v>18636.345000000001</v>
      </c>
      <c r="D944" s="4">
        <v>1</v>
      </c>
      <c r="E944" s="4" t="s">
        <v>186</v>
      </c>
      <c r="F944" s="4" t="s">
        <v>2309</v>
      </c>
      <c r="G944" s="4" t="s">
        <v>20</v>
      </c>
      <c r="H944" s="4" t="s">
        <v>2310</v>
      </c>
      <c r="I944" s="4" t="s">
        <v>14</v>
      </c>
      <c r="J944" s="4" t="s">
        <v>2311</v>
      </c>
      <c r="K944" s="4" t="s">
        <v>850</v>
      </c>
      <c r="M944">
        <f t="shared" si="30"/>
        <v>16772.710500000001</v>
      </c>
    </row>
    <row r="945" spans="1:25" ht="14" x14ac:dyDescent="0.2">
      <c r="A945" s="4" t="s">
        <v>5310</v>
      </c>
      <c r="B945" s="5">
        <v>18636.345000000001</v>
      </c>
      <c r="C945" s="5">
        <f t="shared" si="29"/>
        <v>931.81725000000006</v>
      </c>
      <c r="D945" s="4">
        <v>20</v>
      </c>
      <c r="E945" s="4" t="s">
        <v>10</v>
      </c>
      <c r="F945" s="4" t="s">
        <v>2309</v>
      </c>
      <c r="G945" s="4" t="s">
        <v>20</v>
      </c>
      <c r="H945" s="4" t="s">
        <v>2310</v>
      </c>
      <c r="I945" s="4" t="s">
        <v>14</v>
      </c>
      <c r="J945" s="4" t="s">
        <v>2311</v>
      </c>
      <c r="K945" s="4" t="s">
        <v>850</v>
      </c>
      <c r="M945">
        <f t="shared" si="30"/>
        <v>838.63552500000003</v>
      </c>
    </row>
    <row r="946" spans="1:25" ht="14" x14ac:dyDescent="0.2">
      <c r="A946" s="4" t="s">
        <v>2312</v>
      </c>
      <c r="B946" s="5">
        <v>3666.2571562500002</v>
      </c>
      <c r="C946" s="5">
        <f t="shared" si="29"/>
        <v>3666.2571562500002</v>
      </c>
      <c r="D946" s="4">
        <v>1</v>
      </c>
      <c r="E946" s="5" t="s">
        <v>59</v>
      </c>
      <c r="F946" s="4" t="s">
        <v>2313</v>
      </c>
      <c r="G946" s="4" t="s">
        <v>20</v>
      </c>
      <c r="H946" s="4" t="s">
        <v>2314</v>
      </c>
      <c r="I946" s="4" t="s">
        <v>14</v>
      </c>
      <c r="J946" s="4" t="s">
        <v>2315</v>
      </c>
      <c r="K946" s="4" t="s">
        <v>87</v>
      </c>
      <c r="M946">
        <f t="shared" si="30"/>
        <v>3299.6314406250003</v>
      </c>
    </row>
    <row r="947" spans="1:25" ht="14" x14ac:dyDescent="0.2">
      <c r="A947" s="7" t="s">
        <v>5311</v>
      </c>
      <c r="B947" s="10">
        <v>910.74043125000003</v>
      </c>
      <c r="C947" s="5">
        <f t="shared" si="29"/>
        <v>151.790071875</v>
      </c>
      <c r="D947" s="9">
        <v>6</v>
      </c>
      <c r="E947" s="10" t="s">
        <v>5193</v>
      </c>
      <c r="F947" s="7" t="s">
        <v>5312</v>
      </c>
      <c r="G947" s="7" t="s">
        <v>20</v>
      </c>
      <c r="H947" s="7" t="s">
        <v>3055</v>
      </c>
      <c r="I947" s="7" t="s">
        <v>14</v>
      </c>
      <c r="J947" s="7" t="s">
        <v>25</v>
      </c>
      <c r="K947" s="7" t="s">
        <v>406</v>
      </c>
      <c r="M947">
        <f t="shared" si="30"/>
        <v>136.6110646875</v>
      </c>
    </row>
    <row r="948" spans="1:25" ht="14" x14ac:dyDescent="0.2">
      <c r="A948" s="4" t="s">
        <v>2316</v>
      </c>
      <c r="B948" s="5">
        <v>2187.5519250000002</v>
      </c>
      <c r="C948" s="5">
        <f t="shared" si="29"/>
        <v>2187.5519250000002</v>
      </c>
      <c r="D948" s="4">
        <v>1</v>
      </c>
      <c r="E948" s="5" t="s">
        <v>175</v>
      </c>
      <c r="F948" s="4" t="s">
        <v>2317</v>
      </c>
      <c r="G948" s="4" t="s">
        <v>20</v>
      </c>
      <c r="H948" s="4" t="s">
        <v>2318</v>
      </c>
      <c r="I948" s="4" t="s">
        <v>22</v>
      </c>
      <c r="J948" s="8">
        <v>3.0000000000000001E-3</v>
      </c>
      <c r="K948" s="4" t="s">
        <v>53</v>
      </c>
      <c r="M948">
        <f t="shared" si="30"/>
        <v>1968.7967325000002</v>
      </c>
    </row>
    <row r="949" spans="1:25" ht="14" x14ac:dyDescent="0.2">
      <c r="A949" s="4" t="s">
        <v>2319</v>
      </c>
      <c r="B949" s="5">
        <v>13422.605625000002</v>
      </c>
      <c r="C949" s="5">
        <f t="shared" si="29"/>
        <v>1342.2605625000001</v>
      </c>
      <c r="D949" s="4">
        <v>10</v>
      </c>
      <c r="E949" s="5" t="s">
        <v>124</v>
      </c>
      <c r="F949" s="4" t="s">
        <v>2320</v>
      </c>
      <c r="G949" s="4" t="s">
        <v>20</v>
      </c>
      <c r="H949" s="4" t="s">
        <v>2321</v>
      </c>
      <c r="I949" s="4" t="s">
        <v>22</v>
      </c>
      <c r="J949" s="4" t="s">
        <v>497</v>
      </c>
      <c r="K949" s="4" t="s">
        <v>53</v>
      </c>
      <c r="M949">
        <f t="shared" si="30"/>
        <v>1208.03450625</v>
      </c>
    </row>
    <row r="950" spans="1:25" ht="14" x14ac:dyDescent="0.2">
      <c r="A950" s="4" t="s">
        <v>2322</v>
      </c>
      <c r="B950" s="5">
        <v>2828.7309375000004</v>
      </c>
      <c r="C950" s="5">
        <f t="shared" si="29"/>
        <v>282.87309375000007</v>
      </c>
      <c r="D950" s="4">
        <v>10</v>
      </c>
      <c r="E950" s="5" t="s">
        <v>124</v>
      </c>
      <c r="F950" s="4" t="s">
        <v>2323</v>
      </c>
      <c r="G950" s="4" t="s">
        <v>20</v>
      </c>
      <c r="H950" s="4" t="s">
        <v>2324</v>
      </c>
      <c r="I950" s="4" t="s">
        <v>22</v>
      </c>
      <c r="J950" s="4" t="s">
        <v>2325</v>
      </c>
      <c r="K950" s="4" t="s">
        <v>53</v>
      </c>
      <c r="M950">
        <f t="shared" si="30"/>
        <v>254.58578437500006</v>
      </c>
    </row>
    <row r="951" spans="1:25" ht="14" x14ac:dyDescent="0.2">
      <c r="A951" s="4" t="s">
        <v>2326</v>
      </c>
      <c r="B951" s="5">
        <v>2218.6125000000002</v>
      </c>
      <c r="C951" s="5">
        <f t="shared" si="29"/>
        <v>2218.6125000000002</v>
      </c>
      <c r="D951" s="4">
        <v>1</v>
      </c>
      <c r="E951" s="5" t="s">
        <v>175</v>
      </c>
      <c r="F951" s="4" t="s">
        <v>2320</v>
      </c>
      <c r="G951" s="4" t="s">
        <v>20</v>
      </c>
      <c r="H951" s="4" t="s">
        <v>2320</v>
      </c>
      <c r="I951" s="4" t="s">
        <v>22</v>
      </c>
      <c r="J951" s="8">
        <v>3.0000000000000001E-3</v>
      </c>
      <c r="K951" s="4" t="s">
        <v>53</v>
      </c>
      <c r="M951">
        <f t="shared" si="30"/>
        <v>1996.7512500000003</v>
      </c>
    </row>
    <row r="952" spans="1:25" ht="14" x14ac:dyDescent="0.2">
      <c r="A952" s="4" t="s">
        <v>2327</v>
      </c>
      <c r="B952" s="5">
        <v>1947.9417750000002</v>
      </c>
      <c r="C952" s="5">
        <f t="shared" si="29"/>
        <v>1947.9417750000002</v>
      </c>
      <c r="D952" s="4">
        <v>1</v>
      </c>
      <c r="E952" s="5" t="s">
        <v>1119</v>
      </c>
      <c r="F952" s="4" t="s">
        <v>2320</v>
      </c>
      <c r="G952" s="4" t="s">
        <v>20</v>
      </c>
      <c r="H952" s="4" t="s">
        <v>2320</v>
      </c>
      <c r="I952" s="4" t="s">
        <v>22</v>
      </c>
      <c r="J952" s="8">
        <v>1E-3</v>
      </c>
      <c r="K952" s="4" t="s">
        <v>53</v>
      </c>
      <c r="M952">
        <f t="shared" si="30"/>
        <v>1753.1475975000003</v>
      </c>
    </row>
    <row r="953" spans="1:25" ht="14" x14ac:dyDescent="0.2">
      <c r="A953" s="4" t="s">
        <v>2328</v>
      </c>
      <c r="B953" s="5">
        <v>1641.7732500000002</v>
      </c>
      <c r="C953" s="5">
        <f t="shared" si="29"/>
        <v>1641.7732500000002</v>
      </c>
      <c r="D953" s="4">
        <v>1</v>
      </c>
      <c r="E953" s="5" t="s">
        <v>18</v>
      </c>
      <c r="F953" s="4" t="s">
        <v>2320</v>
      </c>
      <c r="G953" s="4" t="s">
        <v>20</v>
      </c>
      <c r="H953" s="4" t="s">
        <v>2320</v>
      </c>
      <c r="I953" s="4" t="s">
        <v>22</v>
      </c>
      <c r="J953" s="8">
        <v>3.0000000000000001E-3</v>
      </c>
      <c r="K953" s="4" t="s">
        <v>53</v>
      </c>
      <c r="M953">
        <f t="shared" si="30"/>
        <v>1477.5959250000001</v>
      </c>
    </row>
    <row r="954" spans="1:25" ht="14" x14ac:dyDescent="0.2">
      <c r="A954" s="4" t="s">
        <v>2329</v>
      </c>
      <c r="B954" s="5">
        <v>22932.688106250003</v>
      </c>
      <c r="C954" s="5">
        <f t="shared" si="29"/>
        <v>764.42293687500012</v>
      </c>
      <c r="D954" s="4">
        <v>30</v>
      </c>
      <c r="E954" s="5" t="s">
        <v>10</v>
      </c>
      <c r="F954" s="4" t="s">
        <v>2330</v>
      </c>
      <c r="G954" s="4" t="s">
        <v>12</v>
      </c>
      <c r="H954" s="4" t="s">
        <v>2331</v>
      </c>
      <c r="I954" s="4" t="s">
        <v>14</v>
      </c>
      <c r="J954" s="4" t="s">
        <v>47</v>
      </c>
      <c r="K954" s="4" t="s">
        <v>48</v>
      </c>
      <c r="M954">
        <f t="shared" si="30"/>
        <v>687.98064318750016</v>
      </c>
    </row>
    <row r="955" spans="1:25" ht="14" x14ac:dyDescent="0.2">
      <c r="A955" s="7" t="s">
        <v>5313</v>
      </c>
      <c r="B955" s="10">
        <v>18636.345000000001</v>
      </c>
      <c r="C955" s="5">
        <f t="shared" si="29"/>
        <v>1553.0287500000002</v>
      </c>
      <c r="D955" s="9">
        <v>12</v>
      </c>
      <c r="E955" s="10" t="s">
        <v>5273</v>
      </c>
      <c r="F955" s="7" t="s">
        <v>5314</v>
      </c>
      <c r="G955" s="7" t="s">
        <v>12</v>
      </c>
      <c r="H955" s="7" t="s">
        <v>5315</v>
      </c>
      <c r="I955" s="4" t="s">
        <v>14</v>
      </c>
      <c r="J955" s="7" t="s">
        <v>5316</v>
      </c>
      <c r="K955" s="7" t="s">
        <v>219</v>
      </c>
      <c r="L955" s="4"/>
      <c r="M955">
        <f t="shared" si="30"/>
        <v>1397.7258750000001</v>
      </c>
      <c r="N955" s="3"/>
      <c r="O955" s="3"/>
      <c r="P955" s="3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" x14ac:dyDescent="0.2">
      <c r="A956" s="4" t="s">
        <v>2332</v>
      </c>
      <c r="B956" s="5">
        <v>2884.1962500000004</v>
      </c>
      <c r="C956" s="5">
        <f t="shared" si="29"/>
        <v>2884.1962500000004</v>
      </c>
      <c r="D956" s="4">
        <v>1</v>
      </c>
      <c r="E956" s="5" t="s">
        <v>181</v>
      </c>
      <c r="F956" s="4" t="s">
        <v>2333</v>
      </c>
      <c r="G956" s="4" t="s">
        <v>20</v>
      </c>
      <c r="H956" s="4" t="s">
        <v>2334</v>
      </c>
      <c r="I956" s="4" t="s">
        <v>22</v>
      </c>
      <c r="J956" s="4" t="s">
        <v>25</v>
      </c>
      <c r="K956" s="4" t="s">
        <v>406</v>
      </c>
      <c r="M956">
        <f t="shared" si="30"/>
        <v>2595.7766250000004</v>
      </c>
    </row>
    <row r="957" spans="1:25" ht="14" x14ac:dyDescent="0.2">
      <c r="A957" s="4" t="s">
        <v>2335</v>
      </c>
      <c r="B957" s="5">
        <v>3660.7106250000002</v>
      </c>
      <c r="C957" s="5">
        <f t="shared" si="29"/>
        <v>3660.7106250000002</v>
      </c>
      <c r="D957" s="4">
        <v>1</v>
      </c>
      <c r="E957" s="5" t="s">
        <v>181</v>
      </c>
      <c r="F957" s="4" t="s">
        <v>2336</v>
      </c>
      <c r="G957" s="4" t="s">
        <v>20</v>
      </c>
      <c r="H957" s="4" t="s">
        <v>2337</v>
      </c>
      <c r="I957" s="4" t="s">
        <v>22</v>
      </c>
      <c r="J957" s="4" t="s">
        <v>2338</v>
      </c>
      <c r="K957" s="4" t="s">
        <v>403</v>
      </c>
      <c r="M957">
        <f t="shared" si="30"/>
        <v>3294.6395625</v>
      </c>
    </row>
    <row r="958" spans="1:25" ht="14" x14ac:dyDescent="0.2">
      <c r="A958" s="4" t="s">
        <v>2339</v>
      </c>
      <c r="B958" s="5">
        <v>998.37562500000013</v>
      </c>
      <c r="C958" s="5">
        <f t="shared" si="29"/>
        <v>33.279187500000006</v>
      </c>
      <c r="D958" s="4">
        <v>30</v>
      </c>
      <c r="E958" s="5" t="s">
        <v>10</v>
      </c>
      <c r="F958" s="4" t="s">
        <v>2340</v>
      </c>
      <c r="G958" s="4" t="s">
        <v>20</v>
      </c>
      <c r="H958" s="4" t="s">
        <v>2337</v>
      </c>
      <c r="I958" s="4" t="s">
        <v>22</v>
      </c>
      <c r="J958" s="4" t="s">
        <v>2341</v>
      </c>
      <c r="K958" s="4" t="s">
        <v>403</v>
      </c>
      <c r="M958">
        <f t="shared" si="30"/>
        <v>29.951268750000004</v>
      </c>
    </row>
    <row r="959" spans="1:25" ht="14" x14ac:dyDescent="0.2">
      <c r="A959" s="4" t="s">
        <v>2342</v>
      </c>
      <c r="B959" s="5">
        <v>3216.9881250000003</v>
      </c>
      <c r="C959" s="5">
        <f t="shared" si="29"/>
        <v>160.84940625000002</v>
      </c>
      <c r="D959" s="4">
        <v>20</v>
      </c>
      <c r="E959" s="5" t="s">
        <v>30</v>
      </c>
      <c r="F959" s="4" t="s">
        <v>2343</v>
      </c>
      <c r="G959" s="4" t="s">
        <v>20</v>
      </c>
      <c r="H959" s="4" t="s">
        <v>2344</v>
      </c>
      <c r="I959" s="4" t="s">
        <v>14</v>
      </c>
      <c r="K959" s="4" t="s">
        <v>748</v>
      </c>
      <c r="M959">
        <f t="shared" si="30"/>
        <v>144.76446562500001</v>
      </c>
    </row>
    <row r="960" spans="1:25" ht="14" x14ac:dyDescent="0.2">
      <c r="A960" s="4" t="s">
        <v>2345</v>
      </c>
      <c r="B960" s="5">
        <v>5435.600625</v>
      </c>
      <c r="C960" s="5">
        <f t="shared" si="29"/>
        <v>543.56006249999996</v>
      </c>
      <c r="D960" s="4">
        <v>10</v>
      </c>
      <c r="E960" s="5" t="s">
        <v>124</v>
      </c>
      <c r="F960" s="4" t="s">
        <v>1495</v>
      </c>
      <c r="G960" s="4" t="s">
        <v>20</v>
      </c>
      <c r="H960" s="4" t="s">
        <v>2345</v>
      </c>
      <c r="I960" s="4" t="s">
        <v>22</v>
      </c>
      <c r="J960" s="4" t="s">
        <v>1081</v>
      </c>
      <c r="K960" s="4" t="s">
        <v>68</v>
      </c>
      <c r="M960">
        <f t="shared" si="30"/>
        <v>489.20405624999995</v>
      </c>
    </row>
    <row r="961" spans="1:13" ht="14" x14ac:dyDescent="0.2">
      <c r="A961" s="4" t="s">
        <v>2346</v>
      </c>
      <c r="B961" s="5">
        <v>4883.1661125000001</v>
      </c>
      <c r="C961" s="5">
        <f t="shared" si="29"/>
        <v>4883.1661125000001</v>
      </c>
      <c r="D961" s="4">
        <v>1</v>
      </c>
      <c r="E961" s="5" t="s">
        <v>124</v>
      </c>
      <c r="F961" s="4" t="s">
        <v>2347</v>
      </c>
      <c r="G961" s="4" t="s">
        <v>20</v>
      </c>
      <c r="H961" s="4" t="s">
        <v>2348</v>
      </c>
      <c r="I961" s="4" t="s">
        <v>14</v>
      </c>
      <c r="J961" s="4" t="s">
        <v>2349</v>
      </c>
      <c r="K961" s="4" t="s">
        <v>68</v>
      </c>
      <c r="M961">
        <f t="shared" si="30"/>
        <v>4394.8495012499998</v>
      </c>
    </row>
    <row r="962" spans="1:13" ht="14" x14ac:dyDescent="0.2">
      <c r="A962" s="4" t="s">
        <v>2350</v>
      </c>
      <c r="B962" s="5">
        <v>8863.3569375000006</v>
      </c>
      <c r="C962" s="5">
        <f t="shared" si="29"/>
        <v>443.16784687500001</v>
      </c>
      <c r="D962" s="4">
        <v>20</v>
      </c>
      <c r="E962" s="5" t="s">
        <v>10</v>
      </c>
      <c r="F962" s="4" t="s">
        <v>269</v>
      </c>
      <c r="G962" s="4" t="s">
        <v>12</v>
      </c>
      <c r="H962" s="4" t="s">
        <v>2351</v>
      </c>
      <c r="I962" s="4" t="s">
        <v>22</v>
      </c>
      <c r="J962" s="4" t="s">
        <v>271</v>
      </c>
      <c r="K962" s="4" t="s">
        <v>16</v>
      </c>
      <c r="M962">
        <f t="shared" si="30"/>
        <v>398.85106218750002</v>
      </c>
    </row>
    <row r="963" spans="1:13" ht="14" x14ac:dyDescent="0.2">
      <c r="A963" s="4" t="s">
        <v>2352</v>
      </c>
      <c r="B963" s="5">
        <v>9096.3112500000007</v>
      </c>
      <c r="C963" s="5">
        <f t="shared" ref="C963:C1026" si="31">(B963/D963)</f>
        <v>454.81556250000006</v>
      </c>
      <c r="D963" s="4">
        <v>20</v>
      </c>
      <c r="E963" s="5" t="s">
        <v>10</v>
      </c>
      <c r="F963" s="4" t="s">
        <v>269</v>
      </c>
      <c r="G963" s="4" t="s">
        <v>12</v>
      </c>
      <c r="H963" s="4" t="s">
        <v>2351</v>
      </c>
      <c r="I963" s="4" t="s">
        <v>22</v>
      </c>
      <c r="J963" s="4" t="s">
        <v>273</v>
      </c>
      <c r="K963" s="4" t="s">
        <v>16</v>
      </c>
      <c r="M963">
        <f t="shared" si="30"/>
        <v>409.33400625000002</v>
      </c>
    </row>
    <row r="964" spans="1:13" ht="14" x14ac:dyDescent="0.2">
      <c r="A964" s="4" t="s">
        <v>2353</v>
      </c>
      <c r="B964" s="5">
        <v>9313.7352750000009</v>
      </c>
      <c r="C964" s="5">
        <f t="shared" si="31"/>
        <v>465.68676375000007</v>
      </c>
      <c r="D964" s="4">
        <v>20</v>
      </c>
      <c r="E964" s="5" t="s">
        <v>10</v>
      </c>
      <c r="F964" s="4" t="s">
        <v>269</v>
      </c>
      <c r="G964" s="4" t="s">
        <v>12</v>
      </c>
      <c r="H964" s="4" t="s">
        <v>2351</v>
      </c>
      <c r="I964" s="4" t="s">
        <v>22</v>
      </c>
      <c r="J964" s="4" t="s">
        <v>198</v>
      </c>
      <c r="K964" s="4" t="s">
        <v>16</v>
      </c>
      <c r="M964">
        <f t="shared" si="30"/>
        <v>419.11808737500007</v>
      </c>
    </row>
    <row r="965" spans="1:13" ht="14" x14ac:dyDescent="0.2">
      <c r="A965" s="4" t="s">
        <v>2354</v>
      </c>
      <c r="B965" s="5">
        <v>3882.5718750000005</v>
      </c>
      <c r="C965" s="5">
        <f t="shared" si="31"/>
        <v>277.32656250000002</v>
      </c>
      <c r="D965" s="4">
        <v>14</v>
      </c>
      <c r="E965" s="5" t="s">
        <v>30</v>
      </c>
      <c r="F965" s="4" t="s">
        <v>2355</v>
      </c>
      <c r="G965" s="4" t="s">
        <v>20</v>
      </c>
      <c r="H965" s="4" t="s">
        <v>2356</v>
      </c>
      <c r="I965" s="4" t="s">
        <v>14</v>
      </c>
      <c r="J965" s="4" t="s">
        <v>148</v>
      </c>
      <c r="K965" s="4" t="s">
        <v>748</v>
      </c>
      <c r="M965">
        <f t="shared" si="30"/>
        <v>249.59390625000003</v>
      </c>
    </row>
    <row r="966" spans="1:13" ht="14" x14ac:dyDescent="0.2">
      <c r="A966" s="4" t="s">
        <v>2357</v>
      </c>
      <c r="B966" s="5">
        <v>4326.2943750000004</v>
      </c>
      <c r="C966" s="5">
        <f t="shared" si="31"/>
        <v>309.0210267857143</v>
      </c>
      <c r="D966" s="4">
        <v>14</v>
      </c>
      <c r="E966" s="5" t="s">
        <v>30</v>
      </c>
      <c r="F966" s="4" t="s">
        <v>2355</v>
      </c>
      <c r="G966" s="4" t="s">
        <v>20</v>
      </c>
      <c r="H966" s="4" t="s">
        <v>2356</v>
      </c>
      <c r="I966" s="4" t="s">
        <v>14</v>
      </c>
      <c r="J966" s="4" t="s">
        <v>495</v>
      </c>
      <c r="K966" s="4" t="s">
        <v>748</v>
      </c>
      <c r="M966">
        <f t="shared" si="30"/>
        <v>278.11892410714285</v>
      </c>
    </row>
    <row r="967" spans="1:13" ht="14" x14ac:dyDescent="0.2">
      <c r="A967" s="4" t="s">
        <v>2358</v>
      </c>
      <c r="B967" s="5">
        <v>8763.5193750000017</v>
      </c>
      <c r="C967" s="5">
        <f t="shared" si="31"/>
        <v>876.35193750000019</v>
      </c>
      <c r="D967" s="4">
        <v>10</v>
      </c>
      <c r="E967" s="5" t="s">
        <v>10</v>
      </c>
      <c r="F967" s="4" t="s">
        <v>2359</v>
      </c>
      <c r="G967" s="4" t="s">
        <v>20</v>
      </c>
      <c r="H967" s="4" t="s">
        <v>2360</v>
      </c>
      <c r="I967" s="4" t="s">
        <v>14</v>
      </c>
      <c r="J967" s="4" t="s">
        <v>148</v>
      </c>
      <c r="K967" s="4" t="s">
        <v>748</v>
      </c>
      <c r="M967">
        <f t="shared" si="30"/>
        <v>788.71674375000021</v>
      </c>
    </row>
    <row r="968" spans="1:13" ht="14" x14ac:dyDescent="0.2">
      <c r="A968" s="4" t="s">
        <v>2361</v>
      </c>
      <c r="B968" s="5">
        <v>2218.6125000000002</v>
      </c>
      <c r="C968" s="5">
        <f t="shared" si="31"/>
        <v>221.86125000000001</v>
      </c>
      <c r="D968" s="4">
        <v>10</v>
      </c>
      <c r="E968" s="5" t="s">
        <v>10</v>
      </c>
      <c r="F968" s="4" t="s">
        <v>1745</v>
      </c>
      <c r="G968" s="4" t="s">
        <v>20</v>
      </c>
      <c r="H968" s="4" t="s">
        <v>2362</v>
      </c>
      <c r="I968" s="4" t="s">
        <v>22</v>
      </c>
      <c r="J968" s="4" t="s">
        <v>52</v>
      </c>
      <c r="K968" s="4" t="s">
        <v>53</v>
      </c>
      <c r="M968">
        <f t="shared" si="30"/>
        <v>199.67512500000001</v>
      </c>
    </row>
    <row r="969" spans="1:13" ht="14" x14ac:dyDescent="0.2">
      <c r="A969" s="4" t="s">
        <v>2363</v>
      </c>
      <c r="B969" s="5">
        <v>4375.1038500000004</v>
      </c>
      <c r="C969" s="5">
        <f t="shared" si="31"/>
        <v>729.18397500000003</v>
      </c>
      <c r="D969" s="4">
        <v>6</v>
      </c>
      <c r="E969" s="5" t="s">
        <v>30</v>
      </c>
      <c r="F969" s="4" t="s">
        <v>2364</v>
      </c>
      <c r="G969" s="4" t="s">
        <v>20</v>
      </c>
      <c r="H969" s="4" t="s">
        <v>2365</v>
      </c>
      <c r="I969" s="4" t="s">
        <v>22</v>
      </c>
      <c r="J969" s="4" t="s">
        <v>2366</v>
      </c>
      <c r="K969" s="4" t="s">
        <v>34</v>
      </c>
      <c r="M969">
        <f t="shared" si="30"/>
        <v>656.26557750000006</v>
      </c>
    </row>
    <row r="970" spans="1:13" ht="14" x14ac:dyDescent="0.2">
      <c r="A970" s="4" t="s">
        <v>2367</v>
      </c>
      <c r="B970" s="5">
        <v>15752.148750000002</v>
      </c>
      <c r="C970" s="5">
        <f t="shared" si="31"/>
        <v>525.07162500000004</v>
      </c>
      <c r="D970" s="4">
        <v>30</v>
      </c>
      <c r="E970" s="5" t="s">
        <v>30</v>
      </c>
      <c r="F970" s="4" t="s">
        <v>2368</v>
      </c>
      <c r="G970" s="4" t="s">
        <v>20</v>
      </c>
      <c r="H970" s="4" t="s">
        <v>2369</v>
      </c>
      <c r="I970" s="4" t="s">
        <v>14</v>
      </c>
      <c r="J970" s="4" t="s">
        <v>78</v>
      </c>
      <c r="K970" s="4" t="s">
        <v>34</v>
      </c>
      <c r="M970">
        <f t="shared" si="30"/>
        <v>472.56446250000005</v>
      </c>
    </row>
    <row r="971" spans="1:13" ht="14" x14ac:dyDescent="0.2">
      <c r="A971" s="4" t="s">
        <v>2370</v>
      </c>
      <c r="B971" s="5">
        <v>8319.796875</v>
      </c>
      <c r="C971" s="5">
        <f t="shared" si="31"/>
        <v>83.197968750000001</v>
      </c>
      <c r="D971" s="4">
        <v>100</v>
      </c>
      <c r="E971" s="5" t="s">
        <v>10</v>
      </c>
      <c r="F971" s="4" t="s">
        <v>1639</v>
      </c>
      <c r="G971" s="4" t="s">
        <v>12</v>
      </c>
      <c r="H971" s="4" t="s">
        <v>2371</v>
      </c>
      <c r="I971" s="4" t="s">
        <v>22</v>
      </c>
      <c r="J971" s="4" t="s">
        <v>200</v>
      </c>
      <c r="K971" s="4" t="s">
        <v>16</v>
      </c>
      <c r="M971">
        <f t="shared" si="30"/>
        <v>74.878171875000007</v>
      </c>
    </row>
    <row r="972" spans="1:13" ht="14" x14ac:dyDescent="0.2">
      <c r="A972" s="4" t="s">
        <v>2372</v>
      </c>
      <c r="B972" s="5">
        <v>27954.517500000002</v>
      </c>
      <c r="C972" s="5">
        <f t="shared" si="31"/>
        <v>27954.517500000002</v>
      </c>
      <c r="D972" s="4">
        <v>1</v>
      </c>
      <c r="E972" s="5" t="s">
        <v>124</v>
      </c>
      <c r="F972" s="4" t="s">
        <v>2373</v>
      </c>
      <c r="G972" s="4" t="s">
        <v>12</v>
      </c>
      <c r="H972" s="4" t="s">
        <v>2373</v>
      </c>
      <c r="I972" s="4" t="s">
        <v>22</v>
      </c>
      <c r="J972" s="4" t="s">
        <v>127</v>
      </c>
      <c r="K972" s="4" t="s">
        <v>16</v>
      </c>
      <c r="M972">
        <f t="shared" si="30"/>
        <v>25159.065750000002</v>
      </c>
    </row>
    <row r="973" spans="1:13" ht="14" x14ac:dyDescent="0.2">
      <c r="A973" s="4" t="s">
        <v>2374</v>
      </c>
      <c r="B973" s="5">
        <v>18747.275625000002</v>
      </c>
      <c r="C973" s="5">
        <f t="shared" si="31"/>
        <v>1874.7275625000002</v>
      </c>
      <c r="D973" s="4">
        <v>10</v>
      </c>
      <c r="E973" s="5" t="s">
        <v>10</v>
      </c>
      <c r="F973" s="4" t="s">
        <v>1624</v>
      </c>
      <c r="G973" s="4" t="s">
        <v>12</v>
      </c>
      <c r="H973" s="4" t="s">
        <v>2375</v>
      </c>
      <c r="I973" s="4" t="s">
        <v>22</v>
      </c>
      <c r="J973" s="4" t="s">
        <v>351</v>
      </c>
      <c r="K973" s="4" t="s">
        <v>16</v>
      </c>
      <c r="M973">
        <f t="shared" si="30"/>
        <v>1687.2548062500002</v>
      </c>
    </row>
    <row r="974" spans="1:13" ht="14" x14ac:dyDescent="0.2">
      <c r="A974" s="4" t="s">
        <v>2376</v>
      </c>
      <c r="B974" s="5">
        <v>15530.287500000002</v>
      </c>
      <c r="C974" s="5">
        <f t="shared" si="31"/>
        <v>1553.0287500000002</v>
      </c>
      <c r="D974" s="4">
        <v>10</v>
      </c>
      <c r="E974" s="5" t="s">
        <v>10</v>
      </c>
      <c r="F974" s="4" t="s">
        <v>1624</v>
      </c>
      <c r="G974" s="4" t="s">
        <v>12</v>
      </c>
      <c r="H974" s="4" t="s">
        <v>2375</v>
      </c>
      <c r="I974" s="4" t="s">
        <v>22</v>
      </c>
      <c r="J974" s="4" t="s">
        <v>207</v>
      </c>
      <c r="K974" s="4" t="s">
        <v>16</v>
      </c>
      <c r="M974">
        <f t="shared" si="30"/>
        <v>1397.7258750000001</v>
      </c>
    </row>
    <row r="975" spans="1:13" ht="14" x14ac:dyDescent="0.2">
      <c r="A975" s="4" t="s">
        <v>2377</v>
      </c>
      <c r="B975" s="5">
        <v>3316.8256875000002</v>
      </c>
      <c r="C975" s="5">
        <f t="shared" si="31"/>
        <v>110.56085625</v>
      </c>
      <c r="D975" s="4">
        <v>30</v>
      </c>
      <c r="E975" s="5" t="s">
        <v>10</v>
      </c>
      <c r="F975" s="4" t="s">
        <v>269</v>
      </c>
      <c r="G975" s="4" t="s">
        <v>12</v>
      </c>
      <c r="H975" s="4" t="s">
        <v>2378</v>
      </c>
      <c r="I975" s="4" t="s">
        <v>22</v>
      </c>
      <c r="J975" s="4" t="s">
        <v>273</v>
      </c>
      <c r="K975" s="4" t="s">
        <v>16</v>
      </c>
      <c r="M975">
        <f t="shared" si="30"/>
        <v>99.504770624999992</v>
      </c>
    </row>
    <row r="976" spans="1:13" ht="14" x14ac:dyDescent="0.2">
      <c r="A976" s="4" t="s">
        <v>2379</v>
      </c>
      <c r="B976" s="5">
        <v>3660.7106250000002</v>
      </c>
      <c r="C976" s="5">
        <f t="shared" si="31"/>
        <v>122.02368750000001</v>
      </c>
      <c r="D976" s="4">
        <v>30</v>
      </c>
      <c r="E976" s="5" t="s">
        <v>10</v>
      </c>
      <c r="F976" s="4" t="s">
        <v>269</v>
      </c>
      <c r="G976" s="4" t="s">
        <v>12</v>
      </c>
      <c r="H976" s="4" t="s">
        <v>2378</v>
      </c>
      <c r="I976" s="4" t="s">
        <v>22</v>
      </c>
      <c r="J976" s="4" t="s">
        <v>198</v>
      </c>
      <c r="K976" s="4" t="s">
        <v>16</v>
      </c>
      <c r="M976">
        <f t="shared" si="30"/>
        <v>109.82131875</v>
      </c>
    </row>
    <row r="977" spans="1:13" ht="14" x14ac:dyDescent="0.2">
      <c r="A977" s="4" t="s">
        <v>2380</v>
      </c>
      <c r="B977" s="5">
        <v>2431.5993000000003</v>
      </c>
      <c r="C977" s="5">
        <f t="shared" si="31"/>
        <v>2431.5993000000003</v>
      </c>
      <c r="D977" s="4">
        <v>1</v>
      </c>
      <c r="E977" s="5" t="s">
        <v>10</v>
      </c>
      <c r="F977" s="4" t="s">
        <v>194</v>
      </c>
      <c r="G977" s="4" t="s">
        <v>20</v>
      </c>
      <c r="H977" s="4" t="s">
        <v>2381</v>
      </c>
      <c r="I977" s="4" t="s">
        <v>22</v>
      </c>
      <c r="J977" s="4" t="s">
        <v>146</v>
      </c>
      <c r="K977" s="4" t="s">
        <v>74</v>
      </c>
      <c r="M977">
        <f t="shared" si="30"/>
        <v>2188.4393700000001</v>
      </c>
    </row>
    <row r="978" spans="1:13" ht="14" x14ac:dyDescent="0.2">
      <c r="A978" s="4" t="s">
        <v>2382</v>
      </c>
      <c r="B978" s="5">
        <v>7432.3518750000003</v>
      </c>
      <c r="C978" s="5">
        <f t="shared" si="31"/>
        <v>74.323518750000005</v>
      </c>
      <c r="D978" s="4">
        <v>100</v>
      </c>
      <c r="E978" s="5" t="s">
        <v>10</v>
      </c>
      <c r="F978" s="4" t="s">
        <v>1639</v>
      </c>
      <c r="G978" s="4" t="s">
        <v>12</v>
      </c>
      <c r="H978" s="4" t="s">
        <v>1639</v>
      </c>
      <c r="I978" s="4" t="s">
        <v>22</v>
      </c>
      <c r="J978" s="4" t="s">
        <v>200</v>
      </c>
      <c r="K978" s="4" t="s">
        <v>16</v>
      </c>
      <c r="M978">
        <f t="shared" si="30"/>
        <v>66.89116687500001</v>
      </c>
    </row>
    <row r="979" spans="1:13" ht="14" x14ac:dyDescent="0.2">
      <c r="A979" s="4" t="s">
        <v>2383</v>
      </c>
      <c r="B979" s="5">
        <v>13866.328125000002</v>
      </c>
      <c r="C979" s="5">
        <f t="shared" si="31"/>
        <v>495.22600446428578</v>
      </c>
      <c r="D979" s="4">
        <v>28</v>
      </c>
      <c r="E979" s="5" t="s">
        <v>10</v>
      </c>
      <c r="F979" s="4" t="s">
        <v>1627</v>
      </c>
      <c r="G979" s="4" t="s">
        <v>12</v>
      </c>
      <c r="H979" s="4" t="s">
        <v>1627</v>
      </c>
      <c r="I979" s="4" t="s">
        <v>22</v>
      </c>
      <c r="J979" s="4" t="s">
        <v>495</v>
      </c>
      <c r="K979" s="4" t="s">
        <v>16</v>
      </c>
      <c r="M979">
        <f t="shared" si="30"/>
        <v>445.70340401785722</v>
      </c>
    </row>
    <row r="980" spans="1:13" ht="14" x14ac:dyDescent="0.2">
      <c r="A980" s="4" t="s">
        <v>2384</v>
      </c>
      <c r="B980" s="5">
        <v>18303.553125000002</v>
      </c>
      <c r="C980" s="5">
        <f t="shared" si="31"/>
        <v>610.11843750000003</v>
      </c>
      <c r="D980" s="4">
        <v>30</v>
      </c>
      <c r="E980" s="5" t="s">
        <v>10</v>
      </c>
      <c r="F980" s="4" t="s">
        <v>1627</v>
      </c>
      <c r="G980" s="4" t="s">
        <v>12</v>
      </c>
      <c r="H980" s="4" t="s">
        <v>2385</v>
      </c>
      <c r="I980" s="4" t="s">
        <v>22</v>
      </c>
      <c r="J980" s="4" t="s">
        <v>548</v>
      </c>
      <c r="K980" s="4" t="s">
        <v>16</v>
      </c>
      <c r="M980">
        <f t="shared" si="30"/>
        <v>549.10659375</v>
      </c>
    </row>
    <row r="981" spans="1:13" ht="14" x14ac:dyDescent="0.2">
      <c r="A981" s="4" t="s">
        <v>2386</v>
      </c>
      <c r="B981" s="5">
        <v>19745.651250000003</v>
      </c>
      <c r="C981" s="5">
        <f t="shared" si="31"/>
        <v>658.18837500000006</v>
      </c>
      <c r="D981" s="4">
        <v>30</v>
      </c>
      <c r="E981" s="5" t="s">
        <v>10</v>
      </c>
      <c r="F981" s="4" t="s">
        <v>1627</v>
      </c>
      <c r="G981" s="4" t="s">
        <v>12</v>
      </c>
      <c r="H981" s="4" t="s">
        <v>2385</v>
      </c>
      <c r="I981" s="4" t="s">
        <v>22</v>
      </c>
      <c r="J981" s="4" t="s">
        <v>550</v>
      </c>
      <c r="K981" s="4" t="s">
        <v>16</v>
      </c>
      <c r="M981">
        <f t="shared" si="30"/>
        <v>592.36953750000009</v>
      </c>
    </row>
    <row r="982" spans="1:13" ht="14" x14ac:dyDescent="0.2">
      <c r="A982" s="4" t="s">
        <v>2387</v>
      </c>
      <c r="B982" s="5">
        <v>2419.3969312500003</v>
      </c>
      <c r="C982" s="5">
        <f t="shared" si="31"/>
        <v>80.646564375000011</v>
      </c>
      <c r="D982" s="4">
        <v>30</v>
      </c>
      <c r="E982" s="5" t="s">
        <v>10</v>
      </c>
      <c r="F982" s="4" t="s">
        <v>269</v>
      </c>
      <c r="G982" s="4" t="s">
        <v>12</v>
      </c>
      <c r="H982" s="4" t="s">
        <v>2388</v>
      </c>
      <c r="I982" s="4" t="s">
        <v>22</v>
      </c>
      <c r="J982" s="4" t="s">
        <v>271</v>
      </c>
      <c r="K982" s="4" t="s">
        <v>16</v>
      </c>
      <c r="M982">
        <f t="shared" si="30"/>
        <v>72.581907937500006</v>
      </c>
    </row>
    <row r="983" spans="1:13" ht="14" x14ac:dyDescent="0.2">
      <c r="A983" s="4" t="s">
        <v>2389</v>
      </c>
      <c r="B983" s="5">
        <v>2762.1725625000004</v>
      </c>
      <c r="C983" s="5">
        <f t="shared" si="31"/>
        <v>92.072418750000011</v>
      </c>
      <c r="D983" s="4">
        <v>30</v>
      </c>
      <c r="E983" s="5" t="s">
        <v>10</v>
      </c>
      <c r="F983" s="4" t="s">
        <v>269</v>
      </c>
      <c r="G983" s="4" t="s">
        <v>12</v>
      </c>
      <c r="H983" s="4" t="s">
        <v>2388</v>
      </c>
      <c r="I983" s="4" t="s">
        <v>22</v>
      </c>
      <c r="J983" s="4" t="s">
        <v>273</v>
      </c>
      <c r="K983" s="4" t="s">
        <v>16</v>
      </c>
      <c r="M983">
        <f t="shared" si="30"/>
        <v>82.865176875000003</v>
      </c>
    </row>
    <row r="984" spans="1:13" ht="14" x14ac:dyDescent="0.2">
      <c r="A984" s="4" t="s">
        <v>2390</v>
      </c>
      <c r="B984" s="5">
        <v>3071.6690062500002</v>
      </c>
      <c r="C984" s="5">
        <f t="shared" si="31"/>
        <v>102.38896687500001</v>
      </c>
      <c r="D984" s="4">
        <v>30</v>
      </c>
      <c r="E984" s="5" t="s">
        <v>10</v>
      </c>
      <c r="F984" s="4" t="s">
        <v>269</v>
      </c>
      <c r="G984" s="4" t="s">
        <v>12</v>
      </c>
      <c r="H984" s="4" t="s">
        <v>2388</v>
      </c>
      <c r="I984" s="4" t="s">
        <v>22</v>
      </c>
      <c r="J984" s="4" t="s">
        <v>895</v>
      </c>
      <c r="K984" s="4" t="s">
        <v>16</v>
      </c>
      <c r="M984">
        <f t="shared" si="30"/>
        <v>92.150070187500006</v>
      </c>
    </row>
    <row r="985" spans="1:13" ht="14" x14ac:dyDescent="0.2">
      <c r="A985" s="4" t="s">
        <v>2391</v>
      </c>
      <c r="B985" s="5">
        <v>3327.9187500000003</v>
      </c>
      <c r="C985" s="5">
        <f t="shared" si="31"/>
        <v>110.93062500000001</v>
      </c>
      <c r="D985" s="4">
        <v>30</v>
      </c>
      <c r="E985" s="5" t="s">
        <v>10</v>
      </c>
      <c r="F985" s="4" t="s">
        <v>269</v>
      </c>
      <c r="G985" s="4" t="s">
        <v>12</v>
      </c>
      <c r="H985" s="4" t="s">
        <v>269</v>
      </c>
      <c r="I985" s="4" t="s">
        <v>22</v>
      </c>
      <c r="J985" s="4" t="s">
        <v>273</v>
      </c>
      <c r="K985" s="4" t="s">
        <v>16</v>
      </c>
      <c r="M985">
        <f t="shared" si="30"/>
        <v>99.837562500000004</v>
      </c>
    </row>
    <row r="986" spans="1:13" ht="14" x14ac:dyDescent="0.2">
      <c r="A986" s="4" t="s">
        <v>2392</v>
      </c>
      <c r="B986" s="5">
        <v>3944.6930250000005</v>
      </c>
      <c r="C986" s="5">
        <f t="shared" si="31"/>
        <v>131.48976750000003</v>
      </c>
      <c r="D986" s="4">
        <v>30</v>
      </c>
      <c r="E986" s="5" t="s">
        <v>10</v>
      </c>
      <c r="F986" s="4" t="s">
        <v>269</v>
      </c>
      <c r="G986" s="4" t="s">
        <v>12</v>
      </c>
      <c r="H986" s="4" t="s">
        <v>269</v>
      </c>
      <c r="I986" s="4" t="s">
        <v>22</v>
      </c>
      <c r="J986" s="4" t="s">
        <v>198</v>
      </c>
      <c r="K986" s="4" t="s">
        <v>16</v>
      </c>
      <c r="M986">
        <f t="shared" si="30"/>
        <v>118.34079075000002</v>
      </c>
    </row>
    <row r="987" spans="1:13" ht="14" x14ac:dyDescent="0.2">
      <c r="A987" s="4" t="s">
        <v>2393</v>
      </c>
      <c r="B987" s="5">
        <v>3087.1992937499999</v>
      </c>
      <c r="C987" s="5">
        <f t="shared" si="31"/>
        <v>102.906643125</v>
      </c>
      <c r="D987" s="4">
        <v>30</v>
      </c>
      <c r="E987" s="5" t="s">
        <v>10</v>
      </c>
      <c r="F987" s="4" t="s">
        <v>269</v>
      </c>
      <c r="G987" s="4" t="s">
        <v>12</v>
      </c>
      <c r="H987" s="4" t="s">
        <v>2394</v>
      </c>
      <c r="I987" s="4" t="s">
        <v>22</v>
      </c>
      <c r="J987" s="4" t="s">
        <v>273</v>
      </c>
      <c r="K987" s="4" t="s">
        <v>16</v>
      </c>
      <c r="M987">
        <f t="shared" si="30"/>
        <v>92.615978812500003</v>
      </c>
    </row>
    <row r="988" spans="1:13" ht="14" x14ac:dyDescent="0.2">
      <c r="A988" s="4" t="s">
        <v>2395</v>
      </c>
      <c r="B988" s="5">
        <v>51028.087500000001</v>
      </c>
      <c r="C988" s="5">
        <f t="shared" si="31"/>
        <v>1700.93625</v>
      </c>
      <c r="D988" s="4">
        <v>30</v>
      </c>
      <c r="E988" s="4" t="s">
        <v>10</v>
      </c>
      <c r="F988" s="4" t="s">
        <v>2395</v>
      </c>
      <c r="G988" s="4" t="s">
        <v>12</v>
      </c>
      <c r="H988" s="4" t="s">
        <v>2396</v>
      </c>
      <c r="I988" s="4"/>
      <c r="J988" s="4" t="s">
        <v>2397</v>
      </c>
      <c r="K988" s="4" t="s">
        <v>2398</v>
      </c>
      <c r="M988">
        <f t="shared" si="30"/>
        <v>1530.842625</v>
      </c>
    </row>
    <row r="989" spans="1:13" ht="14" x14ac:dyDescent="0.2">
      <c r="A989" s="4" t="s">
        <v>2399</v>
      </c>
      <c r="B989" s="5">
        <v>6655.8375000000005</v>
      </c>
      <c r="C989" s="5">
        <f t="shared" si="31"/>
        <v>237.70848214285715</v>
      </c>
      <c r="D989" s="4">
        <v>28</v>
      </c>
      <c r="E989" s="5" t="s">
        <v>10</v>
      </c>
      <c r="F989" s="4" t="s">
        <v>2400</v>
      </c>
      <c r="G989" s="4" t="s">
        <v>12</v>
      </c>
      <c r="H989" s="4" t="s">
        <v>2400</v>
      </c>
      <c r="I989" s="4" t="s">
        <v>22</v>
      </c>
      <c r="J989" s="4" t="s">
        <v>200</v>
      </c>
      <c r="K989" s="4" t="s">
        <v>16</v>
      </c>
      <c r="M989">
        <f t="shared" ref="M989:M1052" si="32">C989-(C989* 10%)</f>
        <v>213.93763392857144</v>
      </c>
    </row>
    <row r="990" spans="1:13" ht="14" x14ac:dyDescent="0.2">
      <c r="A990" s="4" t="s">
        <v>2401</v>
      </c>
      <c r="B990" s="5">
        <v>7933.7583000000004</v>
      </c>
      <c r="C990" s="5">
        <f t="shared" si="31"/>
        <v>141.67425535714287</v>
      </c>
      <c r="D990" s="4">
        <v>56</v>
      </c>
      <c r="E990" s="5" t="s">
        <v>10</v>
      </c>
      <c r="F990" s="4" t="s">
        <v>2400</v>
      </c>
      <c r="G990" s="4" t="s">
        <v>12</v>
      </c>
      <c r="H990" s="4" t="s">
        <v>2400</v>
      </c>
      <c r="I990" s="4" t="s">
        <v>22</v>
      </c>
      <c r="J990" s="4" t="s">
        <v>200</v>
      </c>
      <c r="K990" s="4" t="s">
        <v>16</v>
      </c>
      <c r="M990">
        <f t="shared" si="32"/>
        <v>127.50682982142858</v>
      </c>
    </row>
    <row r="991" spans="1:13" ht="14" x14ac:dyDescent="0.2">
      <c r="A991" s="4" t="s">
        <v>2402</v>
      </c>
      <c r="B991" s="5">
        <v>5630.8385250000001</v>
      </c>
      <c r="C991" s="5">
        <f t="shared" si="31"/>
        <v>5630.8385250000001</v>
      </c>
      <c r="D991" s="4">
        <v>1</v>
      </c>
      <c r="E991" s="5" t="s">
        <v>25</v>
      </c>
      <c r="F991" s="4" t="s">
        <v>2403</v>
      </c>
      <c r="G991" s="4" t="s">
        <v>20</v>
      </c>
      <c r="H991" s="4" t="s">
        <v>2403</v>
      </c>
      <c r="I991" s="4" t="s">
        <v>22</v>
      </c>
      <c r="K991" s="4" t="s">
        <v>28</v>
      </c>
      <c r="M991">
        <f t="shared" si="32"/>
        <v>5067.7546725000002</v>
      </c>
    </row>
    <row r="992" spans="1:13" ht="14" x14ac:dyDescent="0.2">
      <c r="A992" s="4" t="s">
        <v>2404</v>
      </c>
      <c r="B992" s="5">
        <v>12867.952500000001</v>
      </c>
      <c r="C992" s="5">
        <f t="shared" si="31"/>
        <v>428.93175000000002</v>
      </c>
      <c r="D992" s="4">
        <v>30</v>
      </c>
      <c r="E992" s="5" t="s">
        <v>10</v>
      </c>
      <c r="F992" s="4" t="s">
        <v>1624</v>
      </c>
      <c r="G992" s="4" t="s">
        <v>12</v>
      </c>
      <c r="H992" s="4" t="s">
        <v>2405</v>
      </c>
      <c r="I992" s="4" t="s">
        <v>14</v>
      </c>
      <c r="J992" s="4" t="s">
        <v>351</v>
      </c>
      <c r="K992" s="4" t="s">
        <v>16</v>
      </c>
      <c r="M992">
        <f t="shared" si="32"/>
        <v>386.03857500000004</v>
      </c>
    </row>
    <row r="993" spans="1:13" ht="14" x14ac:dyDescent="0.2">
      <c r="A993" s="4" t="s">
        <v>2406</v>
      </c>
      <c r="B993" s="5">
        <v>9318.1725000000006</v>
      </c>
      <c r="C993" s="5">
        <f t="shared" si="31"/>
        <v>310.60575</v>
      </c>
      <c r="D993" s="4">
        <v>30</v>
      </c>
      <c r="E993" s="5" t="s">
        <v>10</v>
      </c>
      <c r="F993" s="4" t="s">
        <v>1624</v>
      </c>
      <c r="G993" s="4" t="s">
        <v>12</v>
      </c>
      <c r="H993" s="4" t="s">
        <v>2407</v>
      </c>
      <c r="I993" s="4" t="s">
        <v>14</v>
      </c>
      <c r="J993" s="4" t="s">
        <v>207</v>
      </c>
      <c r="K993" s="4" t="s">
        <v>16</v>
      </c>
      <c r="M993">
        <f t="shared" si="32"/>
        <v>279.54517499999997</v>
      </c>
    </row>
    <row r="994" spans="1:13" ht="14" x14ac:dyDescent="0.2">
      <c r="A994" s="4" t="s">
        <v>2408</v>
      </c>
      <c r="B994" s="5">
        <v>11980.507500000002</v>
      </c>
      <c r="C994" s="5">
        <f t="shared" si="31"/>
        <v>399.35025000000007</v>
      </c>
      <c r="D994" s="4">
        <v>30</v>
      </c>
      <c r="E994" s="5" t="s">
        <v>10</v>
      </c>
      <c r="F994" s="4" t="s">
        <v>1624</v>
      </c>
      <c r="G994" s="4" t="s">
        <v>12</v>
      </c>
      <c r="H994" s="4" t="s">
        <v>2405</v>
      </c>
      <c r="I994" s="4" t="s">
        <v>14</v>
      </c>
      <c r="J994" s="4" t="s">
        <v>2409</v>
      </c>
      <c r="K994" s="4" t="s">
        <v>16</v>
      </c>
      <c r="M994">
        <f t="shared" si="32"/>
        <v>359.41522500000008</v>
      </c>
    </row>
    <row r="995" spans="1:13" ht="14" x14ac:dyDescent="0.2">
      <c r="A995" s="4" t="s">
        <v>2410</v>
      </c>
      <c r="B995" s="5">
        <v>19967.512500000001</v>
      </c>
      <c r="C995" s="5">
        <f t="shared" si="31"/>
        <v>665.58375000000001</v>
      </c>
      <c r="D995" s="4">
        <v>30</v>
      </c>
      <c r="E995" s="5" t="s">
        <v>10</v>
      </c>
      <c r="F995" s="4" t="s">
        <v>1217</v>
      </c>
      <c r="G995" s="4" t="s">
        <v>12</v>
      </c>
      <c r="H995" s="4" t="s">
        <v>2411</v>
      </c>
      <c r="I995" s="4" t="s">
        <v>14</v>
      </c>
      <c r="J995" s="4" t="s">
        <v>2412</v>
      </c>
      <c r="K995" s="4" t="s">
        <v>16</v>
      </c>
      <c r="M995">
        <f t="shared" si="32"/>
        <v>599.02537500000005</v>
      </c>
    </row>
    <row r="996" spans="1:13" ht="14" x14ac:dyDescent="0.2">
      <c r="A996" s="4" t="s">
        <v>2413</v>
      </c>
      <c r="B996" s="5">
        <v>2585.7928687500003</v>
      </c>
      <c r="C996" s="5">
        <f t="shared" si="31"/>
        <v>215.48273906250003</v>
      </c>
      <c r="D996" s="4">
        <v>12</v>
      </c>
      <c r="E996" s="5" t="s">
        <v>257</v>
      </c>
      <c r="F996" s="4" t="s">
        <v>2414</v>
      </c>
      <c r="G996" s="4" t="s">
        <v>20</v>
      </c>
      <c r="H996" s="4" t="s">
        <v>2415</v>
      </c>
      <c r="I996" s="4" t="s">
        <v>22</v>
      </c>
      <c r="J996" s="4" t="s">
        <v>696</v>
      </c>
      <c r="K996" s="4" t="s">
        <v>406</v>
      </c>
      <c r="M996">
        <f t="shared" si="32"/>
        <v>193.93446515625004</v>
      </c>
    </row>
    <row r="997" spans="1:13" ht="14" x14ac:dyDescent="0.2">
      <c r="A997" s="4" t="s">
        <v>2416</v>
      </c>
      <c r="B997" s="5">
        <v>2098.807425</v>
      </c>
      <c r="C997" s="5">
        <f t="shared" si="31"/>
        <v>174.90061875000001</v>
      </c>
      <c r="D997" s="4">
        <v>12</v>
      </c>
      <c r="E997" s="5" t="s">
        <v>257</v>
      </c>
      <c r="F997" s="4" t="s">
        <v>2417</v>
      </c>
      <c r="G997" s="4" t="s">
        <v>20</v>
      </c>
      <c r="H997" s="4" t="s">
        <v>2417</v>
      </c>
      <c r="I997" s="4" t="s">
        <v>22</v>
      </c>
      <c r="J997" s="4" t="s">
        <v>2418</v>
      </c>
      <c r="K997" s="4" t="s">
        <v>406</v>
      </c>
      <c r="M997">
        <f t="shared" si="32"/>
        <v>157.410556875</v>
      </c>
    </row>
    <row r="998" spans="1:13" ht="14" x14ac:dyDescent="0.2">
      <c r="A998" s="4" t="s">
        <v>2419</v>
      </c>
      <c r="B998" s="5">
        <v>36607.106250000004</v>
      </c>
      <c r="C998" s="5">
        <f t="shared" si="31"/>
        <v>36607.106250000004</v>
      </c>
      <c r="D998" s="4">
        <v>1</v>
      </c>
      <c r="E998" s="5" t="s">
        <v>750</v>
      </c>
      <c r="F998" s="4" t="s">
        <v>2419</v>
      </c>
      <c r="G998" s="4" t="s">
        <v>12</v>
      </c>
      <c r="H998" s="4" t="s">
        <v>2419</v>
      </c>
      <c r="I998" s="4" t="s">
        <v>22</v>
      </c>
      <c r="J998" s="4" t="s">
        <v>2420</v>
      </c>
      <c r="K998" s="4" t="s">
        <v>312</v>
      </c>
      <c r="M998">
        <f t="shared" si="32"/>
        <v>32946.395625000005</v>
      </c>
    </row>
    <row r="999" spans="1:13" ht="14" x14ac:dyDescent="0.2">
      <c r="A999" s="4" t="s">
        <v>2421</v>
      </c>
      <c r="B999" s="5">
        <v>43817.596875000003</v>
      </c>
      <c r="C999" s="5">
        <f t="shared" si="31"/>
        <v>1460.5865625000001</v>
      </c>
      <c r="D999" s="4">
        <v>30</v>
      </c>
      <c r="E999" s="4" t="s">
        <v>10</v>
      </c>
      <c r="F999" s="4" t="s">
        <v>2421</v>
      </c>
      <c r="G999" s="4" t="s">
        <v>12</v>
      </c>
      <c r="H999" s="4" t="s">
        <v>2422</v>
      </c>
      <c r="I999" s="4"/>
      <c r="J999" s="4" t="s">
        <v>707</v>
      </c>
      <c r="K999" s="4" t="s">
        <v>312</v>
      </c>
      <c r="M999">
        <f t="shared" si="32"/>
        <v>1314.5279062500001</v>
      </c>
    </row>
    <row r="1000" spans="1:13" ht="14" x14ac:dyDescent="0.2">
      <c r="A1000" s="4" t="s">
        <v>2423</v>
      </c>
      <c r="B1000" s="5">
        <v>224079.86250000002</v>
      </c>
      <c r="C1000" s="5">
        <f t="shared" si="31"/>
        <v>224079.86250000002</v>
      </c>
      <c r="D1000" s="4">
        <v>1</v>
      </c>
      <c r="E1000" s="4" t="s">
        <v>55</v>
      </c>
      <c r="F1000" s="4" t="s">
        <v>2423</v>
      </c>
      <c r="G1000" s="4" t="s">
        <v>12</v>
      </c>
      <c r="H1000" s="4" t="s">
        <v>2422</v>
      </c>
      <c r="I1000" s="4"/>
      <c r="J1000" s="4" t="s">
        <v>2424</v>
      </c>
      <c r="K1000" s="4" t="s">
        <v>23</v>
      </c>
      <c r="M1000">
        <f t="shared" si="32"/>
        <v>201671.87625000003</v>
      </c>
    </row>
    <row r="1001" spans="1:13" ht="14" x14ac:dyDescent="0.2">
      <c r="A1001" s="4" t="s">
        <v>2425</v>
      </c>
      <c r="B1001" s="5">
        <v>288419.625</v>
      </c>
      <c r="C1001" s="5">
        <f t="shared" si="31"/>
        <v>288419.625</v>
      </c>
      <c r="D1001" s="4">
        <v>1</v>
      </c>
      <c r="E1001" s="5" t="s">
        <v>124</v>
      </c>
      <c r="F1001" s="4" t="s">
        <v>2426</v>
      </c>
      <c r="G1001" s="4" t="s">
        <v>12</v>
      </c>
      <c r="H1001" s="4" t="s">
        <v>2427</v>
      </c>
      <c r="I1001" s="4" t="s">
        <v>14</v>
      </c>
      <c r="J1001" s="4" t="s">
        <v>2428</v>
      </c>
      <c r="K1001" s="4" t="s">
        <v>68</v>
      </c>
      <c r="M1001">
        <f t="shared" si="32"/>
        <v>259577.66250000001</v>
      </c>
    </row>
    <row r="1002" spans="1:13" ht="14" x14ac:dyDescent="0.2">
      <c r="A1002" s="4" t="s">
        <v>5317</v>
      </c>
      <c r="B1002" s="5">
        <v>8652.5887500000008</v>
      </c>
      <c r="C1002" s="5">
        <f t="shared" si="31"/>
        <v>8652.5887500000008</v>
      </c>
      <c r="D1002" s="4">
        <v>1</v>
      </c>
      <c r="E1002" s="5" t="s">
        <v>181</v>
      </c>
      <c r="F1002" s="4" t="s">
        <v>840</v>
      </c>
      <c r="G1002" s="4" t="s">
        <v>20</v>
      </c>
      <c r="H1002" s="4" t="s">
        <v>2429</v>
      </c>
      <c r="I1002" s="4" t="s">
        <v>22</v>
      </c>
      <c r="J1002" s="4" t="s">
        <v>140</v>
      </c>
      <c r="K1002" s="4" t="s">
        <v>53</v>
      </c>
      <c r="M1002">
        <f t="shared" si="32"/>
        <v>7787.3298750000004</v>
      </c>
    </row>
    <row r="1003" spans="1:13" ht="14" x14ac:dyDescent="0.2">
      <c r="A1003" s="4" t="s">
        <v>5318</v>
      </c>
      <c r="B1003" s="5">
        <v>3993.5025000000005</v>
      </c>
      <c r="C1003" s="5">
        <f t="shared" si="31"/>
        <v>399.35025000000007</v>
      </c>
      <c r="D1003" s="4">
        <v>10</v>
      </c>
      <c r="E1003" s="5" t="s">
        <v>10</v>
      </c>
      <c r="F1003" s="4" t="s">
        <v>2430</v>
      </c>
      <c r="G1003" s="4" t="s">
        <v>20</v>
      </c>
      <c r="H1003" s="4" t="s">
        <v>2429</v>
      </c>
      <c r="I1003" s="4" t="s">
        <v>22</v>
      </c>
      <c r="J1003" s="4" t="s">
        <v>95</v>
      </c>
      <c r="K1003" s="4" t="s">
        <v>53</v>
      </c>
      <c r="M1003">
        <f t="shared" si="32"/>
        <v>359.41522500000008</v>
      </c>
    </row>
    <row r="1004" spans="1:13" ht="14" x14ac:dyDescent="0.2">
      <c r="A1004" s="4" t="s">
        <v>5319</v>
      </c>
      <c r="B1004" s="5">
        <v>5768.3925000000008</v>
      </c>
      <c r="C1004" s="5">
        <f t="shared" si="31"/>
        <v>576.83925000000011</v>
      </c>
      <c r="D1004" s="4">
        <v>10</v>
      </c>
      <c r="E1004" s="5" t="s">
        <v>10</v>
      </c>
      <c r="F1004" s="4" t="s">
        <v>840</v>
      </c>
      <c r="G1004" s="4" t="s">
        <v>20</v>
      </c>
      <c r="H1004" s="4" t="s">
        <v>2429</v>
      </c>
      <c r="I1004" s="4" t="s">
        <v>22</v>
      </c>
      <c r="J1004" s="4" t="s">
        <v>52</v>
      </c>
      <c r="K1004" s="4" t="s">
        <v>53</v>
      </c>
      <c r="M1004">
        <f t="shared" si="32"/>
        <v>519.15532500000006</v>
      </c>
    </row>
    <row r="1005" spans="1:13" ht="14" x14ac:dyDescent="0.2">
      <c r="A1005" s="4" t="s">
        <v>2431</v>
      </c>
      <c r="B1005" s="5">
        <v>3106.0575000000003</v>
      </c>
      <c r="C1005" s="5">
        <f t="shared" si="31"/>
        <v>3106.0575000000003</v>
      </c>
      <c r="D1005" s="4">
        <v>1</v>
      </c>
      <c r="E1005" s="5" t="s">
        <v>59</v>
      </c>
      <c r="F1005" s="4" t="s">
        <v>2432</v>
      </c>
      <c r="G1005" s="4" t="s">
        <v>20</v>
      </c>
      <c r="H1005" s="4" t="s">
        <v>2433</v>
      </c>
      <c r="I1005" s="4" t="s">
        <v>22</v>
      </c>
      <c r="K1005" s="4" t="s">
        <v>87</v>
      </c>
      <c r="M1005">
        <f t="shared" si="32"/>
        <v>2795.4517500000002</v>
      </c>
    </row>
    <row r="1006" spans="1:13" ht="14" x14ac:dyDescent="0.2">
      <c r="A1006" s="4" t="s">
        <v>2433</v>
      </c>
      <c r="B1006" s="5">
        <v>3106.0575000000003</v>
      </c>
      <c r="C1006" s="5">
        <f t="shared" si="31"/>
        <v>3106.0575000000003</v>
      </c>
      <c r="D1006" s="4">
        <v>1</v>
      </c>
      <c r="E1006" s="5" t="s">
        <v>59</v>
      </c>
      <c r="F1006" s="4" t="s">
        <v>2432</v>
      </c>
      <c r="G1006" s="4" t="s">
        <v>20</v>
      </c>
      <c r="H1006" s="4" t="s">
        <v>2433</v>
      </c>
      <c r="I1006" s="4" t="s">
        <v>22</v>
      </c>
      <c r="K1006" s="4" t="s">
        <v>87</v>
      </c>
      <c r="M1006">
        <f t="shared" si="32"/>
        <v>2795.4517500000002</v>
      </c>
    </row>
    <row r="1007" spans="1:13" ht="14" x14ac:dyDescent="0.2">
      <c r="A1007" s="4" t="s">
        <v>2434</v>
      </c>
      <c r="B1007" s="5">
        <v>2107.6818750000002</v>
      </c>
      <c r="C1007" s="5">
        <f t="shared" si="31"/>
        <v>2107.6818750000002</v>
      </c>
      <c r="D1007" s="4">
        <v>1</v>
      </c>
      <c r="E1007" s="5" t="s">
        <v>59</v>
      </c>
      <c r="F1007" s="4" t="s">
        <v>2432</v>
      </c>
      <c r="G1007" s="4" t="s">
        <v>20</v>
      </c>
      <c r="H1007" s="4" t="s">
        <v>2434</v>
      </c>
      <c r="I1007" s="4" t="s">
        <v>22</v>
      </c>
      <c r="K1007" s="4" t="s">
        <v>87</v>
      </c>
      <c r="M1007">
        <f t="shared" si="32"/>
        <v>1896.9136875000002</v>
      </c>
    </row>
    <row r="1008" spans="1:13" ht="14" x14ac:dyDescent="0.2">
      <c r="A1008" s="4" t="s">
        <v>2435</v>
      </c>
      <c r="B1008" s="5">
        <v>2329.5431250000001</v>
      </c>
      <c r="C1008" s="5">
        <f t="shared" si="31"/>
        <v>2329.5431250000001</v>
      </c>
      <c r="D1008" s="4">
        <v>1</v>
      </c>
      <c r="E1008" s="5" t="s">
        <v>55</v>
      </c>
      <c r="F1008" s="4" t="s">
        <v>2436</v>
      </c>
      <c r="G1008" s="4" t="s">
        <v>20</v>
      </c>
      <c r="H1008" s="4" t="s">
        <v>2436</v>
      </c>
      <c r="I1008" s="4" t="s">
        <v>22</v>
      </c>
      <c r="J1008" s="6">
        <v>0.01</v>
      </c>
      <c r="K1008" s="4" t="s">
        <v>103</v>
      </c>
      <c r="M1008">
        <f t="shared" si="32"/>
        <v>2096.5888125000001</v>
      </c>
    </row>
    <row r="1009" spans="1:25" ht="14" x14ac:dyDescent="0.2">
      <c r="A1009" s="7" t="s">
        <v>5320</v>
      </c>
      <c r="B1009" s="10">
        <v>5546.5312500000009</v>
      </c>
      <c r="C1009" s="5">
        <f t="shared" si="31"/>
        <v>184.88437500000003</v>
      </c>
      <c r="D1009" s="9">
        <v>30</v>
      </c>
      <c r="E1009" s="10" t="s">
        <v>5193</v>
      </c>
      <c r="F1009" s="7" t="s">
        <v>5321</v>
      </c>
      <c r="H1009" s="7" t="s">
        <v>5322</v>
      </c>
      <c r="J1009" s="7" t="s">
        <v>67</v>
      </c>
      <c r="K1009" s="7" t="s">
        <v>103</v>
      </c>
      <c r="M1009">
        <f t="shared" si="32"/>
        <v>166.39593750000003</v>
      </c>
    </row>
    <row r="1010" spans="1:25" ht="14" x14ac:dyDescent="0.2">
      <c r="A1010" s="4" t="s">
        <v>2437</v>
      </c>
      <c r="B1010" s="5">
        <v>8208.8662500000009</v>
      </c>
      <c r="C1010" s="5">
        <f t="shared" si="31"/>
        <v>410.44331250000005</v>
      </c>
      <c r="D1010" s="4">
        <v>20</v>
      </c>
      <c r="E1010" s="5" t="s">
        <v>10</v>
      </c>
      <c r="F1010" s="4" t="s">
        <v>2436</v>
      </c>
      <c r="G1010" s="4" t="s">
        <v>20</v>
      </c>
      <c r="H1010" s="4" t="s">
        <v>2436</v>
      </c>
      <c r="I1010" s="4" t="s">
        <v>22</v>
      </c>
      <c r="J1010" s="4" t="s">
        <v>207</v>
      </c>
      <c r="K1010" s="4" t="s">
        <v>103</v>
      </c>
      <c r="M1010">
        <f t="shared" si="32"/>
        <v>369.39898125000002</v>
      </c>
    </row>
    <row r="1011" spans="1:25" ht="14" x14ac:dyDescent="0.2">
      <c r="A1011" s="4" t="s">
        <v>2438</v>
      </c>
      <c r="B1011" s="5">
        <v>1020.5617500000001</v>
      </c>
      <c r="C1011" s="5">
        <f t="shared" si="31"/>
        <v>1020.5617500000001</v>
      </c>
      <c r="D1011" s="4">
        <v>1</v>
      </c>
      <c r="E1011" s="5" t="s">
        <v>59</v>
      </c>
      <c r="F1011" s="4" t="s">
        <v>2439</v>
      </c>
      <c r="G1011" s="4" t="s">
        <v>20</v>
      </c>
      <c r="H1011" s="4" t="s">
        <v>2440</v>
      </c>
      <c r="I1011" s="4" t="s">
        <v>22</v>
      </c>
      <c r="K1011" s="4" t="s">
        <v>118</v>
      </c>
      <c r="M1011">
        <f t="shared" si="32"/>
        <v>918.50557500000002</v>
      </c>
    </row>
    <row r="1012" spans="1:25" ht="14" x14ac:dyDescent="0.2">
      <c r="A1012" s="7" t="s">
        <v>5323</v>
      </c>
      <c r="B1012" s="10">
        <v>318370.89375000005</v>
      </c>
      <c r="C1012" s="5">
        <f t="shared" si="31"/>
        <v>10612.363125000002</v>
      </c>
      <c r="D1012" s="9">
        <v>30</v>
      </c>
      <c r="E1012" s="10" t="s">
        <v>5193</v>
      </c>
      <c r="F1012" s="7" t="s">
        <v>5324</v>
      </c>
      <c r="G1012" s="7" t="s">
        <v>12</v>
      </c>
      <c r="H1012" s="7" t="s">
        <v>5324</v>
      </c>
      <c r="I1012" s="4" t="s">
        <v>22</v>
      </c>
      <c r="J1012" s="7" t="s">
        <v>273</v>
      </c>
      <c r="K1012" s="7" t="s">
        <v>227</v>
      </c>
      <c r="L1012" s="4"/>
      <c r="M1012">
        <f t="shared" si="32"/>
        <v>9551.1268125000024</v>
      </c>
      <c r="N1012" s="3"/>
      <c r="O1012" s="3"/>
      <c r="P1012" s="3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4" x14ac:dyDescent="0.2">
      <c r="A1013" s="4" t="s">
        <v>2441</v>
      </c>
      <c r="B1013" s="5">
        <v>3882.5718750000005</v>
      </c>
      <c r="C1013" s="5">
        <f t="shared" si="31"/>
        <v>3882.5718750000005</v>
      </c>
      <c r="D1013" s="4">
        <v>1</v>
      </c>
      <c r="E1013" s="5" t="s">
        <v>10</v>
      </c>
      <c r="F1013" s="4" t="s">
        <v>2442</v>
      </c>
      <c r="G1013" s="4" t="s">
        <v>20</v>
      </c>
      <c r="H1013" s="4" t="s">
        <v>2443</v>
      </c>
      <c r="I1013" s="4" t="s">
        <v>14</v>
      </c>
      <c r="K1013" s="4" t="s">
        <v>68</v>
      </c>
      <c r="M1013">
        <f t="shared" si="32"/>
        <v>3494.3146875000002</v>
      </c>
    </row>
    <row r="1014" spans="1:25" ht="14" x14ac:dyDescent="0.2">
      <c r="A1014" s="4" t="s">
        <v>2444</v>
      </c>
      <c r="B1014" s="5">
        <v>12579.532875000001</v>
      </c>
      <c r="C1014" s="5">
        <f t="shared" si="31"/>
        <v>1048.2944062500001</v>
      </c>
      <c r="D1014" s="4">
        <v>12</v>
      </c>
      <c r="E1014" s="5" t="s">
        <v>10</v>
      </c>
      <c r="F1014" s="4" t="s">
        <v>2445</v>
      </c>
      <c r="G1014" s="4" t="s">
        <v>20</v>
      </c>
      <c r="H1014" s="4" t="s">
        <v>2446</v>
      </c>
      <c r="I1014" s="4" t="s">
        <v>14</v>
      </c>
      <c r="K1014" s="4" t="s">
        <v>103</v>
      </c>
      <c r="M1014">
        <f t="shared" si="32"/>
        <v>943.4649656250001</v>
      </c>
    </row>
    <row r="1015" spans="1:25" ht="14" x14ac:dyDescent="0.2">
      <c r="A1015" s="4" t="s">
        <v>2447</v>
      </c>
      <c r="B1015" s="5">
        <v>12579.532875000001</v>
      </c>
      <c r="C1015" s="5">
        <f t="shared" si="31"/>
        <v>2096.5888125000001</v>
      </c>
      <c r="D1015" s="4">
        <v>6</v>
      </c>
      <c r="E1015" s="5" t="s">
        <v>10</v>
      </c>
      <c r="F1015" s="4" t="s">
        <v>2445</v>
      </c>
      <c r="G1015" s="4" t="s">
        <v>20</v>
      </c>
      <c r="H1015" s="4" t="s">
        <v>2446</v>
      </c>
      <c r="I1015" s="4" t="s">
        <v>14</v>
      </c>
      <c r="K1015" s="4" t="s">
        <v>103</v>
      </c>
      <c r="M1015">
        <f t="shared" si="32"/>
        <v>1886.9299312500002</v>
      </c>
    </row>
    <row r="1016" spans="1:25" ht="14" x14ac:dyDescent="0.2">
      <c r="A1016" s="4" t="s">
        <v>2448</v>
      </c>
      <c r="B1016" s="5">
        <v>8065.7657437500002</v>
      </c>
      <c r="C1016" s="5">
        <f t="shared" si="31"/>
        <v>2688.5885812500001</v>
      </c>
      <c r="D1016" s="4">
        <v>3</v>
      </c>
      <c r="E1016" s="5" t="s">
        <v>10</v>
      </c>
      <c r="F1016" s="4" t="s">
        <v>1530</v>
      </c>
      <c r="G1016" s="4" t="s">
        <v>20</v>
      </c>
      <c r="H1016" s="4" t="s">
        <v>2449</v>
      </c>
      <c r="I1016" s="4" t="s">
        <v>14</v>
      </c>
      <c r="J1016" s="4" t="s">
        <v>52</v>
      </c>
      <c r="K1016" s="4" t="s">
        <v>103</v>
      </c>
      <c r="M1016">
        <f t="shared" si="32"/>
        <v>2419.729723125</v>
      </c>
    </row>
    <row r="1017" spans="1:25" ht="14" x14ac:dyDescent="0.2">
      <c r="A1017" s="4" t="s">
        <v>2450</v>
      </c>
      <c r="B1017" s="5">
        <v>5768.3925000000008</v>
      </c>
      <c r="C1017" s="5">
        <f t="shared" si="31"/>
        <v>5768.3925000000008</v>
      </c>
      <c r="D1017" s="4">
        <v>1</v>
      </c>
      <c r="E1017" s="5" t="s">
        <v>55</v>
      </c>
      <c r="F1017" s="4" t="s">
        <v>1530</v>
      </c>
      <c r="G1017" s="4" t="s">
        <v>20</v>
      </c>
      <c r="H1017" s="4" t="s">
        <v>2451</v>
      </c>
      <c r="I1017" s="4" t="s">
        <v>14</v>
      </c>
      <c r="K1017" s="4" t="s">
        <v>103</v>
      </c>
      <c r="M1017">
        <f t="shared" si="32"/>
        <v>5191.5532500000008</v>
      </c>
    </row>
    <row r="1018" spans="1:25" ht="14" x14ac:dyDescent="0.2">
      <c r="A1018" s="4" t="s">
        <v>2452</v>
      </c>
      <c r="B1018" s="5">
        <v>6165.5241375000005</v>
      </c>
      <c r="C1018" s="5">
        <f t="shared" si="31"/>
        <v>2055.1747125000002</v>
      </c>
      <c r="D1018" s="4">
        <v>3</v>
      </c>
      <c r="E1018" s="5" t="s">
        <v>10</v>
      </c>
      <c r="F1018" s="4" t="s">
        <v>1530</v>
      </c>
      <c r="G1018" s="4" t="s">
        <v>20</v>
      </c>
      <c r="H1018" s="4" t="s">
        <v>2449</v>
      </c>
      <c r="I1018" s="4" t="s">
        <v>14</v>
      </c>
      <c r="J1018" s="4" t="s">
        <v>52</v>
      </c>
      <c r="K1018" s="4" t="s">
        <v>103</v>
      </c>
      <c r="M1018">
        <f t="shared" si="32"/>
        <v>1849.6572412500002</v>
      </c>
    </row>
    <row r="1019" spans="1:25" ht="14" x14ac:dyDescent="0.2">
      <c r="A1019" s="4" t="s">
        <v>2453</v>
      </c>
      <c r="B1019" s="5">
        <v>3660.7106250000002</v>
      </c>
      <c r="C1019" s="5">
        <f t="shared" si="31"/>
        <v>122.02368750000001</v>
      </c>
      <c r="D1019" s="4">
        <v>30</v>
      </c>
      <c r="E1019" s="5" t="s">
        <v>30</v>
      </c>
      <c r="F1019" s="4" t="s">
        <v>2454</v>
      </c>
      <c r="G1019" s="4" t="s">
        <v>20</v>
      </c>
      <c r="H1019" s="4" t="s">
        <v>2455</v>
      </c>
      <c r="I1019" s="4" t="s">
        <v>14</v>
      </c>
      <c r="K1019" s="4" t="s">
        <v>34</v>
      </c>
      <c r="M1019">
        <f t="shared" si="32"/>
        <v>109.82131875</v>
      </c>
    </row>
    <row r="1020" spans="1:25" ht="14" x14ac:dyDescent="0.2">
      <c r="A1020" s="4" t="s">
        <v>2456</v>
      </c>
      <c r="B1020" s="5">
        <v>4991.8781250000002</v>
      </c>
      <c r="C1020" s="5">
        <f t="shared" si="31"/>
        <v>4991.8781250000002</v>
      </c>
      <c r="D1020" s="4">
        <v>1</v>
      </c>
      <c r="E1020" s="5" t="s">
        <v>59</v>
      </c>
      <c r="F1020" s="4" t="s">
        <v>2454</v>
      </c>
      <c r="G1020" s="4" t="s">
        <v>20</v>
      </c>
      <c r="H1020" s="4" t="s">
        <v>2456</v>
      </c>
      <c r="I1020" s="4" t="s">
        <v>14</v>
      </c>
      <c r="K1020" s="4" t="s">
        <v>34</v>
      </c>
      <c r="M1020">
        <f t="shared" si="32"/>
        <v>4492.6903124999999</v>
      </c>
    </row>
    <row r="1021" spans="1:25" ht="14" x14ac:dyDescent="0.2">
      <c r="A1021" s="4" t="s">
        <v>2457</v>
      </c>
      <c r="B1021" s="5">
        <v>14088.189375000002</v>
      </c>
      <c r="C1021" s="5">
        <f t="shared" si="31"/>
        <v>469.60631250000006</v>
      </c>
      <c r="D1021" s="4">
        <v>30</v>
      </c>
      <c r="E1021" s="5" t="s">
        <v>10</v>
      </c>
      <c r="F1021" s="4" t="s">
        <v>2458</v>
      </c>
      <c r="G1021" s="4" t="s">
        <v>20</v>
      </c>
      <c r="H1021" s="4" t="s">
        <v>2459</v>
      </c>
      <c r="I1021" s="4" t="s">
        <v>14</v>
      </c>
      <c r="K1021" s="4" t="s">
        <v>34</v>
      </c>
      <c r="M1021">
        <f t="shared" si="32"/>
        <v>422.64568125000005</v>
      </c>
    </row>
    <row r="1022" spans="1:25" ht="14" x14ac:dyDescent="0.2">
      <c r="A1022" s="4" t="s">
        <v>2460</v>
      </c>
      <c r="B1022" s="5">
        <v>10316.548125000001</v>
      </c>
      <c r="C1022" s="5">
        <f t="shared" si="31"/>
        <v>515.82740625000008</v>
      </c>
      <c r="D1022" s="4">
        <v>20</v>
      </c>
      <c r="E1022" s="5" t="s">
        <v>10</v>
      </c>
      <c r="F1022" s="4" t="s">
        <v>2461</v>
      </c>
      <c r="G1022" s="4" t="s">
        <v>20</v>
      </c>
      <c r="H1022" s="4" t="s">
        <v>2462</v>
      </c>
      <c r="I1022" s="4" t="s">
        <v>14</v>
      </c>
      <c r="J1022" s="4" t="s">
        <v>351</v>
      </c>
      <c r="K1022" s="4" t="s">
        <v>34</v>
      </c>
      <c r="M1022">
        <f t="shared" si="32"/>
        <v>464.24466562500004</v>
      </c>
    </row>
    <row r="1023" spans="1:25" ht="14" x14ac:dyDescent="0.2">
      <c r="A1023" s="4" t="s">
        <v>2463</v>
      </c>
      <c r="B1023" s="5">
        <v>4991.8781250000002</v>
      </c>
      <c r="C1023" s="5">
        <f t="shared" si="31"/>
        <v>166.3959375</v>
      </c>
      <c r="D1023" s="4">
        <v>30</v>
      </c>
      <c r="E1023" s="5" t="s">
        <v>10</v>
      </c>
      <c r="F1023" s="4" t="s">
        <v>2463</v>
      </c>
      <c r="G1023" s="4" t="s">
        <v>12</v>
      </c>
      <c r="H1023" s="4" t="s">
        <v>2464</v>
      </c>
      <c r="I1023" s="4" t="s">
        <v>22</v>
      </c>
      <c r="J1023" s="4" t="s">
        <v>1696</v>
      </c>
      <c r="K1023" s="4" t="s">
        <v>227</v>
      </c>
      <c r="M1023">
        <f t="shared" si="32"/>
        <v>149.75634375000001</v>
      </c>
    </row>
    <row r="1024" spans="1:25" ht="14" x14ac:dyDescent="0.2">
      <c r="A1024" s="4" t="s">
        <v>2465</v>
      </c>
      <c r="B1024" s="5">
        <v>2440.4737500000001</v>
      </c>
      <c r="C1024" s="5">
        <f t="shared" si="31"/>
        <v>81.349125000000001</v>
      </c>
      <c r="D1024" s="4">
        <v>30</v>
      </c>
      <c r="E1024" s="5" t="s">
        <v>10</v>
      </c>
      <c r="F1024" s="4" t="s">
        <v>2465</v>
      </c>
      <c r="G1024" s="4" t="s">
        <v>12</v>
      </c>
      <c r="H1024" s="4" t="s">
        <v>2464</v>
      </c>
      <c r="I1024" s="4" t="s">
        <v>22</v>
      </c>
      <c r="J1024" s="4" t="s">
        <v>405</v>
      </c>
      <c r="K1024" s="4" t="s">
        <v>227</v>
      </c>
      <c r="M1024">
        <f t="shared" si="32"/>
        <v>73.214212500000002</v>
      </c>
    </row>
    <row r="1025" spans="1:25" ht="14" x14ac:dyDescent="0.2">
      <c r="A1025" s="4" t="s">
        <v>2466</v>
      </c>
      <c r="B1025" s="5">
        <v>6433.9762500000006</v>
      </c>
      <c r="C1025" s="5">
        <f t="shared" si="31"/>
        <v>214.46587500000001</v>
      </c>
      <c r="D1025" s="4">
        <v>30</v>
      </c>
      <c r="E1025" s="5" t="s">
        <v>30</v>
      </c>
      <c r="F1025" s="4" t="s">
        <v>2467</v>
      </c>
      <c r="G1025" s="4" t="s">
        <v>20</v>
      </c>
      <c r="H1025" s="4" t="s">
        <v>2468</v>
      </c>
      <c r="I1025" s="4" t="s">
        <v>14</v>
      </c>
      <c r="K1025" s="4" t="s">
        <v>34</v>
      </c>
      <c r="M1025">
        <f t="shared" si="32"/>
        <v>193.01928750000002</v>
      </c>
    </row>
    <row r="1026" spans="1:25" ht="14" x14ac:dyDescent="0.2">
      <c r="A1026" s="4" t="s">
        <v>2469</v>
      </c>
      <c r="B1026" s="5">
        <v>2995.1268750000004</v>
      </c>
      <c r="C1026" s="5">
        <f t="shared" si="31"/>
        <v>2995.1268750000004</v>
      </c>
      <c r="D1026" s="4">
        <v>1</v>
      </c>
      <c r="E1026" s="5" t="s">
        <v>55</v>
      </c>
      <c r="F1026" s="4" t="s">
        <v>2470</v>
      </c>
      <c r="G1026" s="4" t="s">
        <v>20</v>
      </c>
      <c r="H1026" s="4" t="s">
        <v>2471</v>
      </c>
      <c r="I1026" s="4" t="s">
        <v>22</v>
      </c>
      <c r="K1026" s="4" t="s">
        <v>68</v>
      </c>
      <c r="M1026">
        <f t="shared" si="32"/>
        <v>2695.6141875000003</v>
      </c>
    </row>
    <row r="1027" spans="1:25" ht="14" x14ac:dyDescent="0.2">
      <c r="A1027" s="7" t="s">
        <v>5325</v>
      </c>
      <c r="B1027" s="10">
        <v>147537.73125000001</v>
      </c>
      <c r="C1027" s="5">
        <f t="shared" ref="C1027:C1090" si="33">(B1027/D1027)</f>
        <v>73768.865625000006</v>
      </c>
      <c r="D1027" s="9">
        <v>2</v>
      </c>
      <c r="E1027" s="10" t="s">
        <v>5185</v>
      </c>
      <c r="F1027" s="7" t="s">
        <v>5326</v>
      </c>
      <c r="G1027" s="7" t="s">
        <v>12</v>
      </c>
      <c r="H1027" s="7" t="s">
        <v>5326</v>
      </c>
      <c r="I1027" s="4" t="s">
        <v>22</v>
      </c>
      <c r="J1027" s="7">
        <v>5000</v>
      </c>
      <c r="K1027" s="7" t="s">
        <v>68</v>
      </c>
      <c r="L1027" s="4"/>
      <c r="M1027">
        <f t="shared" si="32"/>
        <v>66391.979062500002</v>
      </c>
      <c r="N1027" s="3"/>
      <c r="O1027" s="3"/>
      <c r="P1027" s="3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14" x14ac:dyDescent="0.2">
      <c r="A1028" s="4" t="s">
        <v>2472</v>
      </c>
      <c r="B1028" s="5">
        <v>6352.9968937500007</v>
      </c>
      <c r="C1028" s="5">
        <f t="shared" si="33"/>
        <v>6352.9968937500007</v>
      </c>
      <c r="D1028" s="4">
        <v>1</v>
      </c>
      <c r="E1028" s="5" t="s">
        <v>18</v>
      </c>
      <c r="F1028" s="4" t="s">
        <v>2473</v>
      </c>
      <c r="G1028" s="4" t="s">
        <v>20</v>
      </c>
      <c r="H1028" s="4" t="s">
        <v>2474</v>
      </c>
      <c r="I1028" s="4" t="s">
        <v>14</v>
      </c>
      <c r="K1028" s="4" t="s">
        <v>406</v>
      </c>
      <c r="M1028">
        <f t="shared" si="32"/>
        <v>5717.6972043750011</v>
      </c>
    </row>
    <row r="1029" spans="1:25" ht="14" x14ac:dyDescent="0.2">
      <c r="A1029" s="4" t="s">
        <v>2475</v>
      </c>
      <c r="B1029" s="5">
        <v>7210.4906250000004</v>
      </c>
      <c r="C1029" s="5">
        <f t="shared" si="33"/>
        <v>7210.4906250000004</v>
      </c>
      <c r="D1029" s="4">
        <v>1</v>
      </c>
      <c r="E1029" s="5" t="s">
        <v>257</v>
      </c>
      <c r="F1029" s="4" t="s">
        <v>2476</v>
      </c>
      <c r="G1029" s="4" t="s">
        <v>20</v>
      </c>
      <c r="H1029" s="4" t="s">
        <v>2474</v>
      </c>
      <c r="I1029" s="4" t="s">
        <v>14</v>
      </c>
      <c r="K1029" s="4" t="s">
        <v>406</v>
      </c>
      <c r="M1029">
        <f t="shared" si="32"/>
        <v>6489.4415625000001</v>
      </c>
    </row>
    <row r="1030" spans="1:25" ht="14" x14ac:dyDescent="0.2">
      <c r="A1030" s="4" t="s">
        <v>2477</v>
      </c>
      <c r="B1030" s="5">
        <v>39380.371875000004</v>
      </c>
      <c r="C1030" s="5">
        <f t="shared" si="33"/>
        <v>19690.185937500002</v>
      </c>
      <c r="D1030" s="4">
        <v>2</v>
      </c>
      <c r="E1030" s="4" t="s">
        <v>2478</v>
      </c>
      <c r="F1030" s="4" t="s">
        <v>2477</v>
      </c>
      <c r="G1030" s="4" t="s">
        <v>12</v>
      </c>
      <c r="H1030" s="4" t="s">
        <v>2477</v>
      </c>
      <c r="I1030" s="4"/>
      <c r="J1030" s="4" t="s">
        <v>2479</v>
      </c>
      <c r="K1030" s="4" t="s">
        <v>2478</v>
      </c>
      <c r="M1030">
        <f t="shared" si="32"/>
        <v>17721.167343750003</v>
      </c>
    </row>
    <row r="1031" spans="1:25" ht="14" x14ac:dyDescent="0.2">
      <c r="A1031" s="4" t="s">
        <v>2480</v>
      </c>
      <c r="B1031" s="5">
        <v>4104.4331250000005</v>
      </c>
      <c r="C1031" s="5">
        <f t="shared" si="33"/>
        <v>4104.4331250000005</v>
      </c>
      <c r="D1031" s="4">
        <v>1</v>
      </c>
      <c r="E1031" s="5" t="s">
        <v>25</v>
      </c>
      <c r="F1031" s="4" t="s">
        <v>2481</v>
      </c>
      <c r="G1031" s="4" t="s">
        <v>20</v>
      </c>
      <c r="H1031" s="4" t="s">
        <v>2482</v>
      </c>
      <c r="I1031" s="4" t="s">
        <v>22</v>
      </c>
      <c r="K1031" s="4" t="s">
        <v>28</v>
      </c>
      <c r="M1031">
        <f t="shared" si="32"/>
        <v>3693.9898125000004</v>
      </c>
    </row>
    <row r="1032" spans="1:25" ht="14" x14ac:dyDescent="0.2">
      <c r="A1032" s="4" t="s">
        <v>2483</v>
      </c>
      <c r="B1032" s="5">
        <v>14199.12</v>
      </c>
      <c r="C1032" s="5">
        <f t="shared" si="33"/>
        <v>3549.78</v>
      </c>
      <c r="D1032" s="4">
        <v>4</v>
      </c>
      <c r="E1032" s="4" t="s">
        <v>10</v>
      </c>
      <c r="F1032" s="4" t="s">
        <v>2483</v>
      </c>
      <c r="G1032" s="4" t="s">
        <v>12</v>
      </c>
      <c r="H1032" s="4" t="s">
        <v>2484</v>
      </c>
      <c r="I1032" s="4"/>
      <c r="J1032" s="4" t="s">
        <v>146</v>
      </c>
      <c r="K1032" s="4" t="s">
        <v>850</v>
      </c>
      <c r="M1032">
        <f t="shared" si="32"/>
        <v>3194.8020000000001</v>
      </c>
    </row>
    <row r="1033" spans="1:25" ht="14" x14ac:dyDescent="0.2">
      <c r="A1033" s="4" t="s">
        <v>2485</v>
      </c>
      <c r="B1033" s="5">
        <v>4991.8781250000002</v>
      </c>
      <c r="C1033" s="5">
        <f t="shared" si="33"/>
        <v>4991.8781250000002</v>
      </c>
      <c r="D1033" s="4">
        <v>1</v>
      </c>
      <c r="E1033" s="5" t="s">
        <v>1212</v>
      </c>
      <c r="F1033" s="4" t="s">
        <v>2486</v>
      </c>
      <c r="G1033" s="4" t="s">
        <v>20</v>
      </c>
      <c r="H1033" s="4" t="s">
        <v>2487</v>
      </c>
      <c r="I1033" s="4" t="s">
        <v>22</v>
      </c>
      <c r="J1033" s="6">
        <v>0.01</v>
      </c>
      <c r="K1033" s="4" t="s">
        <v>227</v>
      </c>
      <c r="M1033">
        <f t="shared" si="32"/>
        <v>4492.6903124999999</v>
      </c>
    </row>
    <row r="1034" spans="1:25" ht="14" x14ac:dyDescent="0.2">
      <c r="A1034" s="4" t="s">
        <v>2488</v>
      </c>
      <c r="B1034" s="5">
        <v>2218.6125000000002</v>
      </c>
      <c r="C1034" s="5">
        <f t="shared" si="33"/>
        <v>2218.6125000000002</v>
      </c>
      <c r="D1034" s="4">
        <v>1</v>
      </c>
      <c r="E1034" s="4" t="s">
        <v>59</v>
      </c>
      <c r="F1034" s="4" t="s">
        <v>2488</v>
      </c>
      <c r="G1034" s="4" t="s">
        <v>20</v>
      </c>
      <c r="H1034" s="4" t="s">
        <v>2489</v>
      </c>
      <c r="I1034" s="4"/>
      <c r="J1034" s="4" t="s">
        <v>1125</v>
      </c>
      <c r="K1034" s="4" t="s">
        <v>850</v>
      </c>
      <c r="M1034">
        <f t="shared" si="32"/>
        <v>1996.7512500000003</v>
      </c>
    </row>
    <row r="1035" spans="1:25" ht="14" x14ac:dyDescent="0.2">
      <c r="A1035" s="4" t="s">
        <v>2490</v>
      </c>
      <c r="B1035" s="5">
        <v>2739.9864375000006</v>
      </c>
      <c r="C1035" s="5">
        <f t="shared" si="33"/>
        <v>2739.9864375000006</v>
      </c>
      <c r="D1035" s="4">
        <v>1</v>
      </c>
      <c r="E1035" s="5" t="s">
        <v>10</v>
      </c>
      <c r="F1035" s="4" t="s">
        <v>2491</v>
      </c>
      <c r="G1035" s="4" t="s">
        <v>20</v>
      </c>
      <c r="H1035" s="4" t="s">
        <v>2492</v>
      </c>
      <c r="I1035" s="4" t="s">
        <v>22</v>
      </c>
      <c r="K1035" s="4" t="s">
        <v>34</v>
      </c>
      <c r="M1035">
        <f t="shared" si="32"/>
        <v>2465.9877937500005</v>
      </c>
    </row>
    <row r="1036" spans="1:25" ht="14" x14ac:dyDescent="0.2">
      <c r="A1036" s="4" t="s">
        <v>2493</v>
      </c>
      <c r="B1036" s="5">
        <v>5535.4381875000008</v>
      </c>
      <c r="C1036" s="5">
        <f t="shared" si="33"/>
        <v>1383.8595468750002</v>
      </c>
      <c r="D1036" s="4">
        <v>4</v>
      </c>
      <c r="E1036" s="5" t="s">
        <v>10</v>
      </c>
      <c r="F1036" s="4" t="s">
        <v>449</v>
      </c>
      <c r="G1036" s="4" t="s">
        <v>20</v>
      </c>
      <c r="H1036" s="4" t="s">
        <v>2494</v>
      </c>
      <c r="I1036" s="4" t="s">
        <v>22</v>
      </c>
      <c r="J1036" s="4" t="s">
        <v>148</v>
      </c>
      <c r="K1036" s="4" t="s">
        <v>155</v>
      </c>
      <c r="M1036">
        <f t="shared" si="32"/>
        <v>1245.4735921875001</v>
      </c>
    </row>
    <row r="1037" spans="1:25" ht="14" x14ac:dyDescent="0.2">
      <c r="A1037" s="4" t="s">
        <v>2495</v>
      </c>
      <c r="B1037" s="5">
        <v>4437.2250000000004</v>
      </c>
      <c r="C1037" s="5">
        <f t="shared" si="33"/>
        <v>147.9075</v>
      </c>
      <c r="D1037" s="4">
        <v>30</v>
      </c>
      <c r="E1037" s="5" t="s">
        <v>30</v>
      </c>
      <c r="F1037" s="4" t="s">
        <v>2496</v>
      </c>
      <c r="G1037" s="4" t="s">
        <v>12</v>
      </c>
      <c r="H1037" s="4" t="s">
        <v>2497</v>
      </c>
      <c r="I1037" s="4" t="s">
        <v>22</v>
      </c>
      <c r="J1037" s="4" t="s">
        <v>200</v>
      </c>
      <c r="K1037" s="4" t="s">
        <v>90</v>
      </c>
      <c r="M1037">
        <f t="shared" si="32"/>
        <v>133.11675</v>
      </c>
    </row>
    <row r="1038" spans="1:25" ht="14" x14ac:dyDescent="0.2">
      <c r="A1038" s="4" t="s">
        <v>2498</v>
      </c>
      <c r="B1038" s="5">
        <v>4406.1644250000008</v>
      </c>
      <c r="C1038" s="5">
        <f t="shared" si="33"/>
        <v>146.87214750000004</v>
      </c>
      <c r="D1038" s="4">
        <v>30</v>
      </c>
      <c r="E1038" s="5" t="s">
        <v>30</v>
      </c>
      <c r="F1038" s="4" t="s">
        <v>2499</v>
      </c>
      <c r="G1038" s="4" t="s">
        <v>12</v>
      </c>
      <c r="H1038" s="4" t="s">
        <v>2500</v>
      </c>
      <c r="I1038" s="4" t="s">
        <v>22</v>
      </c>
      <c r="J1038" s="4" t="s">
        <v>2501</v>
      </c>
      <c r="K1038" s="4" t="s">
        <v>90</v>
      </c>
      <c r="M1038">
        <f t="shared" si="32"/>
        <v>132.18493275000003</v>
      </c>
    </row>
    <row r="1039" spans="1:25" ht="14" x14ac:dyDescent="0.2">
      <c r="A1039" s="4" t="s">
        <v>2502</v>
      </c>
      <c r="B1039" s="5">
        <v>4991.8781250000002</v>
      </c>
      <c r="C1039" s="5">
        <f t="shared" si="33"/>
        <v>4991.8781250000002</v>
      </c>
      <c r="D1039" s="4">
        <v>1</v>
      </c>
      <c r="E1039" s="5" t="s">
        <v>181</v>
      </c>
      <c r="F1039" s="4" t="s">
        <v>2503</v>
      </c>
      <c r="G1039" s="4" t="s">
        <v>20</v>
      </c>
      <c r="H1039" s="4" t="s">
        <v>2502</v>
      </c>
      <c r="I1039" s="4" t="s">
        <v>14</v>
      </c>
      <c r="K1039" s="4" t="s">
        <v>34</v>
      </c>
      <c r="M1039">
        <f t="shared" si="32"/>
        <v>4492.6903124999999</v>
      </c>
    </row>
    <row r="1040" spans="1:25" ht="14" x14ac:dyDescent="0.2">
      <c r="A1040" s="4" t="s">
        <v>2504</v>
      </c>
      <c r="B1040" s="5">
        <v>153084.26250000001</v>
      </c>
      <c r="C1040" s="5">
        <f t="shared" si="33"/>
        <v>30616.852500000001</v>
      </c>
      <c r="D1040" s="4">
        <v>5</v>
      </c>
      <c r="E1040" s="5" t="s">
        <v>124</v>
      </c>
      <c r="F1040" s="4" t="s">
        <v>2505</v>
      </c>
      <c r="G1040" s="4" t="s">
        <v>12</v>
      </c>
      <c r="H1040" s="4" t="s">
        <v>2506</v>
      </c>
      <c r="I1040" s="4" t="s">
        <v>14</v>
      </c>
      <c r="K1040" s="4" t="s">
        <v>16</v>
      </c>
      <c r="M1040">
        <f t="shared" si="32"/>
        <v>27555.167249999999</v>
      </c>
    </row>
    <row r="1041" spans="1:13" ht="14" x14ac:dyDescent="0.2">
      <c r="A1041" s="4" t="s">
        <v>5327</v>
      </c>
      <c r="B1041" s="5">
        <v>30838.713750000003</v>
      </c>
      <c r="C1041" s="5">
        <f t="shared" si="33"/>
        <v>30838.713750000003</v>
      </c>
      <c r="D1041" s="4">
        <v>1</v>
      </c>
      <c r="E1041" s="5" t="s">
        <v>124</v>
      </c>
      <c r="F1041" s="4" t="s">
        <v>2505</v>
      </c>
      <c r="G1041" s="4" t="s">
        <v>12</v>
      </c>
      <c r="H1041" s="4" t="s">
        <v>2506</v>
      </c>
      <c r="I1041" s="4" t="s">
        <v>14</v>
      </c>
      <c r="K1041" s="4" t="s">
        <v>16</v>
      </c>
      <c r="M1041">
        <f t="shared" si="32"/>
        <v>27754.842375</v>
      </c>
    </row>
    <row r="1042" spans="1:13" ht="14" x14ac:dyDescent="0.2">
      <c r="A1042" s="4" t="s">
        <v>2507</v>
      </c>
      <c r="B1042" s="5">
        <v>177489.00000000003</v>
      </c>
      <c r="C1042" s="5">
        <f t="shared" si="33"/>
        <v>177489.00000000003</v>
      </c>
      <c r="D1042" s="4">
        <v>1</v>
      </c>
      <c r="E1042" s="5" t="s">
        <v>296</v>
      </c>
      <c r="F1042" s="4" t="s">
        <v>2507</v>
      </c>
      <c r="G1042" s="4" t="s">
        <v>12</v>
      </c>
      <c r="H1042" s="4" t="s">
        <v>2508</v>
      </c>
      <c r="I1042" s="4" t="s">
        <v>14</v>
      </c>
      <c r="J1042" s="6">
        <v>0.2</v>
      </c>
      <c r="K1042" s="4" t="s">
        <v>1555</v>
      </c>
      <c r="M1042">
        <f t="shared" si="32"/>
        <v>159740.10000000003</v>
      </c>
    </row>
    <row r="1043" spans="1:13" ht="14" x14ac:dyDescent="0.2">
      <c r="A1043" s="4" t="s">
        <v>2509</v>
      </c>
      <c r="B1043" s="5">
        <v>201893.73750000002</v>
      </c>
      <c r="C1043" s="5">
        <f t="shared" si="33"/>
        <v>201893.73750000002</v>
      </c>
      <c r="D1043" s="4">
        <v>1</v>
      </c>
      <c r="E1043" s="4" t="s">
        <v>2478</v>
      </c>
      <c r="F1043" s="4" t="s">
        <v>2509</v>
      </c>
      <c r="G1043" s="4" t="s">
        <v>20</v>
      </c>
      <c r="H1043" s="4" t="s">
        <v>2510</v>
      </c>
      <c r="I1043" s="4"/>
      <c r="J1043" s="4" t="s">
        <v>2511</v>
      </c>
      <c r="K1043" s="4" t="s">
        <v>2478</v>
      </c>
      <c r="M1043">
        <f t="shared" si="32"/>
        <v>181704.36375000002</v>
      </c>
    </row>
    <row r="1044" spans="1:13" ht="14" x14ac:dyDescent="0.2">
      <c r="A1044" s="4" t="s">
        <v>2512</v>
      </c>
      <c r="B1044" s="5">
        <v>32946.395625000005</v>
      </c>
      <c r="C1044" s="5">
        <f t="shared" si="33"/>
        <v>32946.395625000005</v>
      </c>
      <c r="D1044" s="4">
        <v>1</v>
      </c>
      <c r="E1044" s="5" t="s">
        <v>2513</v>
      </c>
      <c r="F1044" s="4" t="s">
        <v>2505</v>
      </c>
      <c r="G1044" s="4" t="s">
        <v>12</v>
      </c>
      <c r="H1044" s="4" t="s">
        <v>2514</v>
      </c>
      <c r="I1044" s="4" t="s">
        <v>14</v>
      </c>
      <c r="J1044" s="4" t="s">
        <v>1995</v>
      </c>
      <c r="K1044" s="4" t="s">
        <v>16</v>
      </c>
      <c r="M1044">
        <f t="shared" si="32"/>
        <v>29651.756062500004</v>
      </c>
    </row>
    <row r="1045" spans="1:13" ht="14" x14ac:dyDescent="0.2">
      <c r="A1045" s="4" t="s">
        <v>2515</v>
      </c>
      <c r="B1045" s="5">
        <v>32605.838606250003</v>
      </c>
      <c r="C1045" s="5">
        <f t="shared" si="33"/>
        <v>582.2471179687501</v>
      </c>
      <c r="D1045" s="4">
        <v>56</v>
      </c>
      <c r="E1045" s="5" t="s">
        <v>10</v>
      </c>
      <c r="F1045" s="4" t="s">
        <v>2516</v>
      </c>
      <c r="G1045" s="4" t="s">
        <v>12</v>
      </c>
      <c r="H1045" s="4" t="s">
        <v>2516</v>
      </c>
      <c r="I1045" s="4" t="s">
        <v>14</v>
      </c>
      <c r="J1045" s="4" t="s">
        <v>78</v>
      </c>
      <c r="K1045" s="4" t="s">
        <v>90</v>
      </c>
      <c r="M1045">
        <f t="shared" si="32"/>
        <v>524.0224061718751</v>
      </c>
    </row>
    <row r="1046" spans="1:13" ht="14" x14ac:dyDescent="0.2">
      <c r="A1046" s="4" t="s">
        <v>2517</v>
      </c>
      <c r="B1046" s="5">
        <v>21908.798437500001</v>
      </c>
      <c r="C1046" s="5">
        <f t="shared" si="33"/>
        <v>391.22854352678576</v>
      </c>
      <c r="D1046" s="4">
        <v>56</v>
      </c>
      <c r="E1046" s="5" t="s">
        <v>957</v>
      </c>
      <c r="F1046" s="4" t="s">
        <v>2517</v>
      </c>
      <c r="G1046" s="4" t="s">
        <v>12</v>
      </c>
      <c r="H1046" s="4" t="s">
        <v>2518</v>
      </c>
      <c r="I1046" s="4" t="s">
        <v>22</v>
      </c>
      <c r="J1046" s="4" t="s">
        <v>2519</v>
      </c>
      <c r="K1046" s="4" t="s">
        <v>1316</v>
      </c>
      <c r="M1046">
        <f t="shared" si="32"/>
        <v>352.10568917410717</v>
      </c>
    </row>
    <row r="1047" spans="1:13" ht="14" x14ac:dyDescent="0.2">
      <c r="A1047" s="4" t="s">
        <v>2520</v>
      </c>
      <c r="B1047" s="5">
        <v>3216.9881250000003</v>
      </c>
      <c r="C1047" s="5">
        <f t="shared" si="33"/>
        <v>3216.9881250000003</v>
      </c>
      <c r="D1047" s="4">
        <v>1</v>
      </c>
      <c r="E1047" s="5" t="s">
        <v>124</v>
      </c>
      <c r="F1047" s="4" t="s">
        <v>2516</v>
      </c>
      <c r="G1047" s="4" t="s">
        <v>12</v>
      </c>
      <c r="H1047" s="4" t="s">
        <v>2516</v>
      </c>
      <c r="I1047" s="4" t="s">
        <v>14</v>
      </c>
      <c r="J1047" s="4" t="s">
        <v>148</v>
      </c>
      <c r="K1047" s="4" t="s">
        <v>90</v>
      </c>
      <c r="M1047">
        <f t="shared" si="32"/>
        <v>2895.2893125000001</v>
      </c>
    </row>
    <row r="1048" spans="1:13" ht="14" x14ac:dyDescent="0.2">
      <c r="A1048" s="4" t="s">
        <v>2521</v>
      </c>
      <c r="B1048" s="5">
        <v>16330.09730625</v>
      </c>
      <c r="C1048" s="5">
        <f t="shared" si="33"/>
        <v>291.60888046874999</v>
      </c>
      <c r="D1048" s="4">
        <v>56</v>
      </c>
      <c r="E1048" s="5" t="s">
        <v>10</v>
      </c>
      <c r="F1048" s="4" t="s">
        <v>2516</v>
      </c>
      <c r="G1048" s="4" t="s">
        <v>12</v>
      </c>
      <c r="H1048" s="4" t="s">
        <v>2516</v>
      </c>
      <c r="I1048" s="4" t="s">
        <v>14</v>
      </c>
      <c r="J1048" s="4" t="s">
        <v>15</v>
      </c>
      <c r="K1048" s="4" t="s">
        <v>90</v>
      </c>
      <c r="M1048">
        <f t="shared" si="32"/>
        <v>262.44799242187497</v>
      </c>
    </row>
    <row r="1049" spans="1:13" ht="14" x14ac:dyDescent="0.2">
      <c r="A1049" s="4" t="s">
        <v>2522</v>
      </c>
      <c r="B1049" s="5">
        <v>63230.456250000003</v>
      </c>
      <c r="C1049" s="5">
        <f t="shared" si="33"/>
        <v>632.30456249999997</v>
      </c>
      <c r="D1049" s="4">
        <v>100</v>
      </c>
      <c r="E1049" s="5" t="s">
        <v>30</v>
      </c>
      <c r="F1049" s="4" t="s">
        <v>2523</v>
      </c>
      <c r="G1049" s="4" t="s">
        <v>12</v>
      </c>
      <c r="H1049" s="4" t="s">
        <v>2524</v>
      </c>
      <c r="I1049" s="4" t="s">
        <v>22</v>
      </c>
      <c r="J1049" s="4" t="s">
        <v>207</v>
      </c>
      <c r="K1049" s="4" t="s">
        <v>219</v>
      </c>
      <c r="M1049">
        <f t="shared" si="32"/>
        <v>569.07410625</v>
      </c>
    </row>
    <row r="1050" spans="1:13" ht="14" x14ac:dyDescent="0.2">
      <c r="A1050" s="4" t="s">
        <v>2525</v>
      </c>
      <c r="B1050" s="5">
        <v>4104.4331250000005</v>
      </c>
      <c r="C1050" s="5">
        <f t="shared" si="33"/>
        <v>41.044331250000006</v>
      </c>
      <c r="D1050" s="4">
        <v>100</v>
      </c>
      <c r="E1050" s="5" t="s">
        <v>10</v>
      </c>
      <c r="F1050" s="4" t="s">
        <v>2526</v>
      </c>
      <c r="G1050" s="4" t="s">
        <v>12</v>
      </c>
      <c r="H1050" s="4" t="s">
        <v>2527</v>
      </c>
      <c r="I1050" s="4" t="s">
        <v>22</v>
      </c>
      <c r="J1050" s="4" t="s">
        <v>15</v>
      </c>
      <c r="K1050" s="4" t="s">
        <v>90</v>
      </c>
      <c r="M1050">
        <f t="shared" si="32"/>
        <v>36.939898125000006</v>
      </c>
    </row>
    <row r="1051" spans="1:13" ht="14" x14ac:dyDescent="0.2">
      <c r="A1051" s="4" t="s">
        <v>2528</v>
      </c>
      <c r="B1051" s="5">
        <v>37716.412500000006</v>
      </c>
      <c r="C1051" s="5">
        <f t="shared" si="33"/>
        <v>377.16412500000007</v>
      </c>
      <c r="D1051" s="4">
        <v>100</v>
      </c>
      <c r="E1051" s="5" t="s">
        <v>30</v>
      </c>
      <c r="F1051" s="4" t="s">
        <v>2523</v>
      </c>
      <c r="G1051" s="4" t="s">
        <v>12</v>
      </c>
      <c r="H1051" s="4" t="s">
        <v>2523</v>
      </c>
      <c r="I1051" s="4" t="s">
        <v>14</v>
      </c>
      <c r="J1051" s="4" t="s">
        <v>207</v>
      </c>
      <c r="K1051" s="4" t="s">
        <v>511</v>
      </c>
      <c r="M1051">
        <f t="shared" si="32"/>
        <v>339.44771250000008</v>
      </c>
    </row>
    <row r="1052" spans="1:13" ht="14" x14ac:dyDescent="0.2">
      <c r="A1052" s="4" t="s">
        <v>2529</v>
      </c>
      <c r="B1052" s="5">
        <v>221.86125000000001</v>
      </c>
      <c r="C1052" s="5">
        <f t="shared" si="33"/>
        <v>22.186125000000001</v>
      </c>
      <c r="D1052" s="4">
        <v>10</v>
      </c>
      <c r="E1052" s="5" t="s">
        <v>10</v>
      </c>
      <c r="F1052" s="4" t="s">
        <v>2526</v>
      </c>
      <c r="G1052" s="4" t="s">
        <v>12</v>
      </c>
      <c r="H1052" s="4" t="s">
        <v>2526</v>
      </c>
      <c r="I1052" s="4" t="s">
        <v>22</v>
      </c>
      <c r="J1052" s="4" t="s">
        <v>15</v>
      </c>
      <c r="K1052" s="4" t="s">
        <v>312</v>
      </c>
      <c r="M1052">
        <f t="shared" si="32"/>
        <v>19.967512500000002</v>
      </c>
    </row>
    <row r="1053" spans="1:13" ht="14" x14ac:dyDescent="0.2">
      <c r="A1053" s="4" t="s">
        <v>2530</v>
      </c>
      <c r="B1053" s="5">
        <v>721.0490625000001</v>
      </c>
      <c r="C1053" s="5">
        <f t="shared" si="33"/>
        <v>721.0490625000001</v>
      </c>
      <c r="D1053" s="4">
        <v>1</v>
      </c>
      <c r="E1053" s="5" t="s">
        <v>124</v>
      </c>
      <c r="F1053" s="4" t="s">
        <v>2470</v>
      </c>
      <c r="G1053" s="4" t="s">
        <v>20</v>
      </c>
      <c r="H1053" s="4" t="s">
        <v>2470</v>
      </c>
      <c r="I1053" s="4" t="s">
        <v>22</v>
      </c>
      <c r="J1053" s="4" t="s">
        <v>140</v>
      </c>
      <c r="K1053" s="4" t="s">
        <v>87</v>
      </c>
      <c r="M1053">
        <f t="shared" ref="M1053:M1116" si="34">C1053-(C1053* 10%)</f>
        <v>648.94415625000011</v>
      </c>
    </row>
    <row r="1054" spans="1:13" ht="14" x14ac:dyDescent="0.2">
      <c r="A1054" s="4" t="s">
        <v>2531</v>
      </c>
      <c r="B1054" s="5">
        <v>2107.6818750000002</v>
      </c>
      <c r="C1054" s="5">
        <f t="shared" si="33"/>
        <v>2107.6818750000002</v>
      </c>
      <c r="D1054" s="4">
        <v>1</v>
      </c>
      <c r="E1054" s="5" t="s">
        <v>55</v>
      </c>
      <c r="F1054" s="4" t="s">
        <v>2470</v>
      </c>
      <c r="G1054" s="4" t="s">
        <v>20</v>
      </c>
      <c r="H1054" s="4" t="s">
        <v>2470</v>
      </c>
      <c r="I1054" s="4" t="s">
        <v>22</v>
      </c>
      <c r="J1054" s="6">
        <v>0.01</v>
      </c>
      <c r="K1054" s="4" t="s">
        <v>1575</v>
      </c>
      <c r="M1054">
        <f t="shared" si="34"/>
        <v>1896.9136875000002</v>
      </c>
    </row>
    <row r="1055" spans="1:13" ht="14" x14ac:dyDescent="0.2">
      <c r="A1055" s="4" t="s">
        <v>2532</v>
      </c>
      <c r="B1055" s="5">
        <v>3882.5718750000005</v>
      </c>
      <c r="C1055" s="5">
        <f t="shared" si="33"/>
        <v>3882.5718750000005</v>
      </c>
      <c r="D1055" s="4">
        <v>1</v>
      </c>
      <c r="E1055" s="5" t="s">
        <v>55</v>
      </c>
      <c r="F1055" s="4" t="s">
        <v>2470</v>
      </c>
      <c r="G1055" s="4" t="s">
        <v>20</v>
      </c>
      <c r="H1055" s="4" t="s">
        <v>2533</v>
      </c>
      <c r="I1055" s="4" t="s">
        <v>22</v>
      </c>
      <c r="K1055" s="4" t="s">
        <v>68</v>
      </c>
      <c r="M1055">
        <f t="shared" si="34"/>
        <v>3494.3146875000002</v>
      </c>
    </row>
    <row r="1056" spans="1:13" ht="14" x14ac:dyDescent="0.2">
      <c r="A1056" s="4" t="s">
        <v>2534</v>
      </c>
      <c r="B1056" s="5">
        <v>1663.9593750000001</v>
      </c>
      <c r="C1056" s="5">
        <f t="shared" si="33"/>
        <v>1663.9593750000001</v>
      </c>
      <c r="D1056" s="4">
        <v>1</v>
      </c>
      <c r="E1056" s="5" t="s">
        <v>55</v>
      </c>
      <c r="F1056" s="4" t="s">
        <v>2470</v>
      </c>
      <c r="G1056" s="4" t="s">
        <v>20</v>
      </c>
      <c r="H1056" s="4" t="s">
        <v>2535</v>
      </c>
      <c r="I1056" s="4" t="s">
        <v>22</v>
      </c>
      <c r="K1056" s="4" t="s">
        <v>68</v>
      </c>
      <c r="M1056">
        <f t="shared" si="34"/>
        <v>1497.5634375000002</v>
      </c>
    </row>
    <row r="1057" spans="1:25" ht="14" x14ac:dyDescent="0.2">
      <c r="A1057" s="4" t="s">
        <v>2536</v>
      </c>
      <c r="B1057" s="5">
        <v>47145.515625000007</v>
      </c>
      <c r="C1057" s="5">
        <f t="shared" si="33"/>
        <v>523.83906250000007</v>
      </c>
      <c r="D1057" s="4">
        <v>90</v>
      </c>
      <c r="E1057" s="4" t="s">
        <v>10</v>
      </c>
      <c r="F1057" s="4" t="s">
        <v>2536</v>
      </c>
      <c r="G1057" s="4" t="s">
        <v>12</v>
      </c>
      <c r="H1057" s="4" t="s">
        <v>2537</v>
      </c>
      <c r="I1057" s="4" t="s">
        <v>22</v>
      </c>
      <c r="J1057" s="4" t="s">
        <v>146</v>
      </c>
      <c r="K1057" s="4" t="s">
        <v>786</v>
      </c>
      <c r="M1057">
        <f t="shared" si="34"/>
        <v>471.45515625000007</v>
      </c>
    </row>
    <row r="1058" spans="1:25" ht="14" x14ac:dyDescent="0.2">
      <c r="A1058" s="7" t="s">
        <v>5328</v>
      </c>
      <c r="B1058" s="10">
        <v>1331.1675</v>
      </c>
      <c r="C1058" s="5">
        <f t="shared" si="33"/>
        <v>1331.1675</v>
      </c>
      <c r="D1058" s="9">
        <v>1</v>
      </c>
      <c r="E1058" s="10" t="s">
        <v>5329</v>
      </c>
      <c r="F1058" s="7" t="s">
        <v>5330</v>
      </c>
      <c r="G1058" s="7" t="s">
        <v>20</v>
      </c>
      <c r="H1058" s="7" t="s">
        <v>5330</v>
      </c>
      <c r="I1058" s="4" t="s">
        <v>22</v>
      </c>
      <c r="J1058" s="7" t="s">
        <v>2315</v>
      </c>
      <c r="K1058" s="7" t="s">
        <v>219</v>
      </c>
      <c r="L1058" s="4"/>
      <c r="M1058">
        <f t="shared" si="34"/>
        <v>1198.0507500000001</v>
      </c>
      <c r="N1058" s="3"/>
      <c r="O1058" s="3"/>
      <c r="P1058" s="3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 ht="14" x14ac:dyDescent="0.2">
      <c r="A1059" s="4" t="s">
        <v>5331</v>
      </c>
      <c r="B1059" s="5">
        <v>21589.318237500003</v>
      </c>
      <c r="C1059" s="5">
        <f t="shared" si="33"/>
        <v>21589.318237500003</v>
      </c>
      <c r="D1059" s="4">
        <v>1</v>
      </c>
      <c r="E1059" s="5" t="s">
        <v>124</v>
      </c>
      <c r="F1059" s="4" t="s">
        <v>2538</v>
      </c>
      <c r="G1059" s="4" t="s">
        <v>20</v>
      </c>
      <c r="H1059" s="4" t="s">
        <v>2539</v>
      </c>
      <c r="I1059" s="4" t="s">
        <v>22</v>
      </c>
      <c r="K1059" s="4" t="s">
        <v>34</v>
      </c>
      <c r="M1059">
        <f t="shared" si="34"/>
        <v>19430.386413750002</v>
      </c>
    </row>
    <row r="1060" spans="1:25" ht="14" x14ac:dyDescent="0.2">
      <c r="A1060" s="4" t="s">
        <v>2540</v>
      </c>
      <c r="B1060" s="5">
        <v>7943.742056250001</v>
      </c>
      <c r="C1060" s="5">
        <f t="shared" si="33"/>
        <v>794.37420562500006</v>
      </c>
      <c r="D1060" s="4">
        <v>10</v>
      </c>
      <c r="E1060" s="5" t="s">
        <v>10</v>
      </c>
      <c r="F1060" s="4" t="s">
        <v>2541</v>
      </c>
      <c r="G1060" s="4" t="s">
        <v>20</v>
      </c>
      <c r="H1060" s="4" t="s">
        <v>2541</v>
      </c>
      <c r="I1060" s="4" t="s">
        <v>22</v>
      </c>
      <c r="J1060" s="4" t="s">
        <v>95</v>
      </c>
      <c r="K1060" s="4" t="s">
        <v>108</v>
      </c>
      <c r="M1060">
        <f t="shared" si="34"/>
        <v>714.93678506250001</v>
      </c>
    </row>
    <row r="1061" spans="1:25" ht="14" x14ac:dyDescent="0.2">
      <c r="A1061" s="4" t="s">
        <v>2542</v>
      </c>
      <c r="B1061" s="5">
        <v>19135.532812500001</v>
      </c>
      <c r="C1061" s="5">
        <f t="shared" si="33"/>
        <v>637.85109375000002</v>
      </c>
      <c r="D1061" s="4">
        <v>30</v>
      </c>
      <c r="E1061" s="5" t="s">
        <v>973</v>
      </c>
      <c r="F1061" s="4" t="s">
        <v>2542</v>
      </c>
      <c r="G1061" s="4" t="s">
        <v>12</v>
      </c>
      <c r="H1061" s="4" t="s">
        <v>2524</v>
      </c>
      <c r="I1061" s="4" t="s">
        <v>22</v>
      </c>
      <c r="J1061" s="4" t="s">
        <v>89</v>
      </c>
      <c r="K1061" s="4" t="s">
        <v>2543</v>
      </c>
      <c r="M1061">
        <f t="shared" si="34"/>
        <v>574.06598437499997</v>
      </c>
    </row>
    <row r="1062" spans="1:25" ht="14" x14ac:dyDescent="0.2">
      <c r="A1062" s="4" t="s">
        <v>2544</v>
      </c>
      <c r="B1062" s="5">
        <v>71550.253125000003</v>
      </c>
      <c r="C1062" s="5">
        <f t="shared" si="33"/>
        <v>715.50253125000006</v>
      </c>
      <c r="D1062" s="4">
        <v>100</v>
      </c>
      <c r="E1062" s="4" t="s">
        <v>973</v>
      </c>
      <c r="F1062" s="4" t="s">
        <v>2544</v>
      </c>
      <c r="G1062" s="4" t="s">
        <v>12</v>
      </c>
      <c r="H1062" s="4" t="s">
        <v>2524</v>
      </c>
      <c r="I1062" s="4"/>
      <c r="J1062" s="4" t="s">
        <v>207</v>
      </c>
      <c r="K1062" s="4" t="s">
        <v>511</v>
      </c>
      <c r="M1062">
        <f t="shared" si="34"/>
        <v>643.95227812500002</v>
      </c>
    </row>
    <row r="1063" spans="1:25" ht="14" x14ac:dyDescent="0.2">
      <c r="A1063" s="4" t="s">
        <v>2545</v>
      </c>
      <c r="B1063" s="5">
        <v>10871.20125</v>
      </c>
      <c r="C1063" s="5">
        <f t="shared" si="33"/>
        <v>362.37337500000001</v>
      </c>
      <c r="D1063" s="4">
        <v>30</v>
      </c>
      <c r="E1063" s="5" t="s">
        <v>10</v>
      </c>
      <c r="F1063" s="4" t="s">
        <v>2523</v>
      </c>
      <c r="G1063" s="4" t="s">
        <v>12</v>
      </c>
      <c r="H1063" s="4" t="s">
        <v>2523</v>
      </c>
      <c r="I1063" s="4" t="s">
        <v>22</v>
      </c>
      <c r="J1063" s="4" t="s">
        <v>207</v>
      </c>
      <c r="K1063" s="4" t="s">
        <v>219</v>
      </c>
      <c r="M1063">
        <f t="shared" si="34"/>
        <v>326.13603749999999</v>
      </c>
    </row>
    <row r="1064" spans="1:25" ht="14" x14ac:dyDescent="0.2">
      <c r="A1064" s="7" t="s">
        <v>5332</v>
      </c>
      <c r="B1064" s="10">
        <v>4437.2250000000004</v>
      </c>
      <c r="C1064" s="5">
        <f t="shared" si="33"/>
        <v>147.9075</v>
      </c>
      <c r="D1064" s="9">
        <v>30</v>
      </c>
      <c r="E1064" s="10" t="s">
        <v>5193</v>
      </c>
      <c r="F1064" s="7" t="s">
        <v>2523</v>
      </c>
      <c r="H1064" s="7" t="s">
        <v>2523</v>
      </c>
      <c r="J1064" s="7" t="s">
        <v>89</v>
      </c>
      <c r="K1064" s="7" t="s">
        <v>511</v>
      </c>
      <c r="M1064">
        <f t="shared" si="34"/>
        <v>133.11675</v>
      </c>
    </row>
    <row r="1065" spans="1:25" ht="14" x14ac:dyDescent="0.2">
      <c r="A1065" s="4" t="s">
        <v>2546</v>
      </c>
      <c r="B1065" s="5">
        <v>2773.2656250000005</v>
      </c>
      <c r="C1065" s="5">
        <f t="shared" si="33"/>
        <v>277.32656250000002</v>
      </c>
      <c r="D1065" s="4">
        <v>10</v>
      </c>
      <c r="E1065" s="5" t="s">
        <v>10</v>
      </c>
      <c r="F1065" s="4" t="s">
        <v>2547</v>
      </c>
      <c r="G1065" s="4" t="s">
        <v>20</v>
      </c>
      <c r="H1065" s="4" t="s">
        <v>2548</v>
      </c>
      <c r="I1065" s="4" t="s">
        <v>22</v>
      </c>
      <c r="J1065" s="4" t="s">
        <v>146</v>
      </c>
      <c r="K1065" s="4" t="s">
        <v>87</v>
      </c>
      <c r="M1065">
        <f t="shared" si="34"/>
        <v>249.59390625000003</v>
      </c>
    </row>
    <row r="1066" spans="1:25" ht="14" x14ac:dyDescent="0.2">
      <c r="A1066" s="4" t="s">
        <v>2549</v>
      </c>
      <c r="B1066" s="5">
        <v>554.65312500000005</v>
      </c>
      <c r="C1066" s="5">
        <f t="shared" si="33"/>
        <v>55.465312500000003</v>
      </c>
      <c r="D1066" s="4">
        <v>10</v>
      </c>
      <c r="E1066" s="5" t="s">
        <v>10</v>
      </c>
      <c r="F1066" s="4" t="s">
        <v>2547</v>
      </c>
      <c r="G1066" s="4" t="s">
        <v>20</v>
      </c>
      <c r="H1066" s="4" t="s">
        <v>2547</v>
      </c>
      <c r="I1066" s="4" t="s">
        <v>22</v>
      </c>
      <c r="K1066" s="4" t="s">
        <v>227</v>
      </c>
      <c r="M1066">
        <f t="shared" si="34"/>
        <v>49.918781250000002</v>
      </c>
    </row>
    <row r="1067" spans="1:25" ht="14" x14ac:dyDescent="0.2">
      <c r="A1067" s="4" t="s">
        <v>2550</v>
      </c>
      <c r="B1067" s="5">
        <v>5402.3214375000007</v>
      </c>
      <c r="C1067" s="5">
        <f t="shared" si="33"/>
        <v>5402.3214375000007</v>
      </c>
      <c r="D1067" s="4">
        <v>1</v>
      </c>
      <c r="E1067" s="5" t="s">
        <v>175</v>
      </c>
      <c r="F1067" s="4" t="s">
        <v>2551</v>
      </c>
      <c r="G1067" s="4" t="s">
        <v>20</v>
      </c>
      <c r="H1067" s="4" t="s">
        <v>2551</v>
      </c>
      <c r="I1067" s="4" t="s">
        <v>22</v>
      </c>
      <c r="K1067" s="4" t="s">
        <v>23</v>
      </c>
      <c r="M1067">
        <f t="shared" si="34"/>
        <v>4862.0892937500003</v>
      </c>
    </row>
    <row r="1068" spans="1:25" ht="14" x14ac:dyDescent="0.2">
      <c r="A1068" s="4" t="s">
        <v>2552</v>
      </c>
      <c r="B1068" s="5">
        <v>5435.600625</v>
      </c>
      <c r="C1068" s="5">
        <f t="shared" si="33"/>
        <v>5435.600625</v>
      </c>
      <c r="D1068" s="4">
        <v>1</v>
      </c>
      <c r="E1068" s="5" t="s">
        <v>1212</v>
      </c>
      <c r="F1068" s="4" t="s">
        <v>2552</v>
      </c>
      <c r="G1068" s="4" t="s">
        <v>20</v>
      </c>
      <c r="H1068" s="4" t="s">
        <v>2552</v>
      </c>
      <c r="I1068" s="4" t="s">
        <v>22</v>
      </c>
      <c r="J1068" s="8">
        <v>3.0000000000000001E-3</v>
      </c>
      <c r="K1068" s="4" t="s">
        <v>244</v>
      </c>
      <c r="M1068">
        <f t="shared" si="34"/>
        <v>4892.0405625000003</v>
      </c>
    </row>
    <row r="1069" spans="1:25" ht="14" x14ac:dyDescent="0.2">
      <c r="A1069" s="4" t="s">
        <v>2553</v>
      </c>
      <c r="B1069" s="5">
        <v>6433.9762500000006</v>
      </c>
      <c r="C1069" s="5">
        <f t="shared" si="33"/>
        <v>6433.9762500000006</v>
      </c>
      <c r="D1069" s="4">
        <v>1</v>
      </c>
      <c r="E1069" s="5" t="s">
        <v>175</v>
      </c>
      <c r="F1069" s="4" t="s">
        <v>2553</v>
      </c>
      <c r="G1069" s="4" t="s">
        <v>20</v>
      </c>
      <c r="H1069" s="4" t="s">
        <v>2553</v>
      </c>
      <c r="I1069" s="4" t="s">
        <v>22</v>
      </c>
      <c r="K1069" s="4" t="s">
        <v>23</v>
      </c>
      <c r="M1069">
        <f t="shared" si="34"/>
        <v>5790.5786250000001</v>
      </c>
    </row>
    <row r="1070" spans="1:25" ht="14" x14ac:dyDescent="0.2">
      <c r="A1070" s="4" t="s">
        <v>2554</v>
      </c>
      <c r="B1070" s="5">
        <v>8652.5887500000008</v>
      </c>
      <c r="C1070" s="5">
        <f t="shared" si="33"/>
        <v>432.62943750000005</v>
      </c>
      <c r="D1070" s="4">
        <v>20</v>
      </c>
      <c r="E1070" s="5" t="s">
        <v>10</v>
      </c>
      <c r="F1070" s="4" t="s">
        <v>2554</v>
      </c>
      <c r="G1070" s="4" t="s">
        <v>12</v>
      </c>
      <c r="H1070" s="4" t="s">
        <v>2555</v>
      </c>
      <c r="I1070" s="4" t="s">
        <v>22</v>
      </c>
      <c r="J1070" s="4" t="s">
        <v>25</v>
      </c>
      <c r="K1070" s="4" t="s">
        <v>219</v>
      </c>
      <c r="M1070">
        <f t="shared" si="34"/>
        <v>389.36649375000002</v>
      </c>
    </row>
    <row r="1071" spans="1:25" ht="14" x14ac:dyDescent="0.2">
      <c r="A1071" s="4" t="s">
        <v>2557</v>
      </c>
      <c r="B1071" s="5">
        <v>28841.962500000005</v>
      </c>
      <c r="C1071" s="5">
        <f t="shared" si="33"/>
        <v>80.116562500000015</v>
      </c>
      <c r="D1071" s="4">
        <v>360</v>
      </c>
      <c r="E1071" s="5" t="s">
        <v>10</v>
      </c>
      <c r="F1071" s="4" t="s">
        <v>2558</v>
      </c>
      <c r="G1071" s="4" t="s">
        <v>291</v>
      </c>
      <c r="H1071" s="4" t="s">
        <v>2559</v>
      </c>
      <c r="I1071" s="4" t="s">
        <v>22</v>
      </c>
      <c r="J1071" s="4" t="s">
        <v>25</v>
      </c>
      <c r="K1071" s="4" t="s">
        <v>34</v>
      </c>
      <c r="M1071">
        <f t="shared" si="34"/>
        <v>72.104906250000013</v>
      </c>
    </row>
    <row r="1072" spans="1:25" ht="14" x14ac:dyDescent="0.2">
      <c r="A1072" s="4" t="s">
        <v>2560</v>
      </c>
      <c r="B1072" s="5">
        <v>3505.4077500000003</v>
      </c>
      <c r="C1072" s="5">
        <f t="shared" si="33"/>
        <v>3505.4077500000003</v>
      </c>
      <c r="D1072" s="4">
        <v>1</v>
      </c>
      <c r="E1072" s="5" t="s">
        <v>25</v>
      </c>
      <c r="F1072" s="4" t="s">
        <v>2560</v>
      </c>
      <c r="G1072" s="4" t="s">
        <v>20</v>
      </c>
      <c r="H1072" s="4" t="s">
        <v>2560</v>
      </c>
      <c r="I1072" s="4" t="s">
        <v>22</v>
      </c>
      <c r="J1072" s="4" t="s">
        <v>2561</v>
      </c>
      <c r="K1072" s="4" t="s">
        <v>23</v>
      </c>
      <c r="M1072">
        <f t="shared" si="34"/>
        <v>3154.8669750000004</v>
      </c>
    </row>
    <row r="1073" spans="1:13" ht="14" x14ac:dyDescent="0.2">
      <c r="A1073" s="4" t="s">
        <v>5333</v>
      </c>
      <c r="B1073" s="5">
        <v>5990.2537500000008</v>
      </c>
      <c r="C1073" s="5">
        <f t="shared" si="33"/>
        <v>5990.2537500000008</v>
      </c>
      <c r="D1073" s="4">
        <v>1</v>
      </c>
      <c r="E1073" s="5" t="s">
        <v>175</v>
      </c>
      <c r="F1073" s="4" t="s">
        <v>2018</v>
      </c>
      <c r="G1073" s="4" t="s">
        <v>20</v>
      </c>
      <c r="H1073" s="4" t="s">
        <v>2562</v>
      </c>
      <c r="I1073" s="4" t="s">
        <v>14</v>
      </c>
      <c r="K1073" s="4" t="s">
        <v>244</v>
      </c>
      <c r="M1073">
        <f t="shared" si="34"/>
        <v>5391.2283750000006</v>
      </c>
    </row>
    <row r="1074" spans="1:13" ht="14" x14ac:dyDescent="0.2">
      <c r="A1074" s="4" t="s">
        <v>2563</v>
      </c>
      <c r="B1074" s="5">
        <v>4193.1776250000003</v>
      </c>
      <c r="C1074" s="5">
        <f t="shared" si="33"/>
        <v>139.77258750000001</v>
      </c>
      <c r="D1074" s="4">
        <v>30</v>
      </c>
      <c r="E1074" s="5" t="s">
        <v>30</v>
      </c>
      <c r="F1074" s="4" t="s">
        <v>2564</v>
      </c>
      <c r="G1074" s="4" t="s">
        <v>20</v>
      </c>
      <c r="H1074" s="4" t="s">
        <v>2565</v>
      </c>
      <c r="I1074" s="4" t="s">
        <v>14</v>
      </c>
      <c r="J1074" s="4" t="s">
        <v>2566</v>
      </c>
      <c r="K1074" s="4" t="s">
        <v>34</v>
      </c>
      <c r="M1074">
        <f t="shared" si="34"/>
        <v>125.79532875000001</v>
      </c>
    </row>
    <row r="1075" spans="1:13" ht="14" x14ac:dyDescent="0.2">
      <c r="A1075" s="4" t="s">
        <v>2567</v>
      </c>
      <c r="B1075" s="5">
        <v>1996.7512500000003</v>
      </c>
      <c r="C1075" s="5">
        <f t="shared" si="33"/>
        <v>199.67512500000004</v>
      </c>
      <c r="D1075" s="4">
        <v>10</v>
      </c>
      <c r="E1075" s="5" t="s">
        <v>30</v>
      </c>
      <c r="F1075" s="4" t="s">
        <v>2568</v>
      </c>
      <c r="G1075" s="4" t="s">
        <v>20</v>
      </c>
      <c r="H1075" s="4" t="s">
        <v>2569</v>
      </c>
      <c r="I1075" s="4" t="s">
        <v>22</v>
      </c>
      <c r="J1075" s="4" t="s">
        <v>2570</v>
      </c>
      <c r="K1075" s="4" t="s">
        <v>87</v>
      </c>
      <c r="M1075">
        <f t="shared" si="34"/>
        <v>179.70761250000004</v>
      </c>
    </row>
    <row r="1076" spans="1:13" ht="14" x14ac:dyDescent="0.2">
      <c r="A1076" s="4" t="s">
        <v>2571</v>
      </c>
      <c r="B1076" s="5">
        <v>16084.940625000001</v>
      </c>
      <c r="C1076" s="5">
        <f t="shared" si="33"/>
        <v>160.84940625000002</v>
      </c>
      <c r="D1076" s="4">
        <v>100</v>
      </c>
      <c r="E1076" s="5" t="s">
        <v>30</v>
      </c>
      <c r="F1076" s="4" t="s">
        <v>2572</v>
      </c>
      <c r="G1076" s="4" t="s">
        <v>20</v>
      </c>
      <c r="H1076" s="4" t="s">
        <v>2573</v>
      </c>
      <c r="I1076" s="4" t="s">
        <v>22</v>
      </c>
      <c r="J1076" s="4" t="s">
        <v>95</v>
      </c>
      <c r="K1076" s="4" t="s">
        <v>87</v>
      </c>
      <c r="M1076">
        <f t="shared" si="34"/>
        <v>144.76446562500001</v>
      </c>
    </row>
    <row r="1077" spans="1:13" ht="14" x14ac:dyDescent="0.2">
      <c r="A1077" s="4" t="s">
        <v>2574</v>
      </c>
      <c r="B1077" s="5">
        <v>887.44500000000005</v>
      </c>
      <c r="C1077" s="5">
        <f t="shared" si="33"/>
        <v>73.953749999999999</v>
      </c>
      <c r="D1077" s="4">
        <v>12</v>
      </c>
      <c r="E1077" s="5" t="s">
        <v>10</v>
      </c>
      <c r="F1077" s="4" t="s">
        <v>182</v>
      </c>
      <c r="G1077" s="4" t="s">
        <v>20</v>
      </c>
      <c r="H1077" s="4" t="s">
        <v>2575</v>
      </c>
      <c r="I1077" s="4" t="s">
        <v>22</v>
      </c>
      <c r="J1077" s="4" t="s">
        <v>95</v>
      </c>
      <c r="K1077" s="4" t="s">
        <v>87</v>
      </c>
      <c r="M1077">
        <f t="shared" si="34"/>
        <v>66.558374999999998</v>
      </c>
    </row>
    <row r="1078" spans="1:13" ht="14" x14ac:dyDescent="0.2">
      <c r="A1078" s="4" t="s">
        <v>2576</v>
      </c>
      <c r="B1078" s="5">
        <v>1677.2710500000001</v>
      </c>
      <c r="C1078" s="5">
        <f t="shared" si="33"/>
        <v>104.829440625</v>
      </c>
      <c r="D1078" s="4">
        <v>16</v>
      </c>
      <c r="E1078" s="5" t="s">
        <v>10</v>
      </c>
      <c r="F1078" s="4" t="s">
        <v>182</v>
      </c>
      <c r="G1078" s="4" t="s">
        <v>20</v>
      </c>
      <c r="H1078" s="4" t="s">
        <v>182</v>
      </c>
      <c r="I1078" s="4" t="s">
        <v>22</v>
      </c>
      <c r="J1078" s="4" t="s">
        <v>95</v>
      </c>
      <c r="K1078" s="4" t="s">
        <v>87</v>
      </c>
      <c r="M1078">
        <f t="shared" si="34"/>
        <v>94.346496562500008</v>
      </c>
    </row>
    <row r="1079" spans="1:13" ht="14" x14ac:dyDescent="0.2">
      <c r="A1079" s="4" t="s">
        <v>2577</v>
      </c>
      <c r="B1079" s="5">
        <v>1053.8409375000001</v>
      </c>
      <c r="C1079" s="5">
        <f t="shared" si="33"/>
        <v>105.38409375000001</v>
      </c>
      <c r="D1079" s="4">
        <v>10</v>
      </c>
      <c r="E1079" s="5" t="s">
        <v>10</v>
      </c>
      <c r="F1079" s="4" t="s">
        <v>2577</v>
      </c>
      <c r="G1079" s="4" t="s">
        <v>20</v>
      </c>
      <c r="H1079" s="4" t="s">
        <v>908</v>
      </c>
      <c r="I1079" s="4" t="s">
        <v>22</v>
      </c>
      <c r="J1079" s="4" t="s">
        <v>2578</v>
      </c>
      <c r="K1079" s="4" t="s">
        <v>87</v>
      </c>
      <c r="M1079">
        <f t="shared" si="34"/>
        <v>94.845684375000005</v>
      </c>
    </row>
    <row r="1080" spans="1:13" ht="14" x14ac:dyDescent="0.2">
      <c r="A1080" s="4" t="s">
        <v>2579</v>
      </c>
      <c r="B1080" s="5">
        <v>898.53806250000002</v>
      </c>
      <c r="C1080" s="5">
        <f t="shared" si="33"/>
        <v>898.53806250000002</v>
      </c>
      <c r="D1080" s="4">
        <v>1</v>
      </c>
      <c r="E1080" s="5" t="s">
        <v>181</v>
      </c>
      <c r="F1080" s="4" t="s">
        <v>2580</v>
      </c>
      <c r="G1080" s="4" t="s">
        <v>20</v>
      </c>
      <c r="H1080" s="4" t="s">
        <v>2580</v>
      </c>
      <c r="I1080" s="4" t="s">
        <v>22</v>
      </c>
      <c r="J1080" s="4" t="s">
        <v>184</v>
      </c>
      <c r="K1080" s="4" t="s">
        <v>87</v>
      </c>
      <c r="M1080">
        <f t="shared" si="34"/>
        <v>808.68425624999998</v>
      </c>
    </row>
    <row r="1081" spans="1:13" ht="14" x14ac:dyDescent="0.2">
      <c r="A1081" s="4" t="s">
        <v>2581</v>
      </c>
      <c r="B1081" s="5">
        <v>21589.318237500003</v>
      </c>
      <c r="C1081" s="5">
        <f t="shared" si="33"/>
        <v>359.82197062500006</v>
      </c>
      <c r="D1081" s="4">
        <v>60</v>
      </c>
      <c r="E1081" s="5" t="s">
        <v>10</v>
      </c>
      <c r="F1081" s="4" t="s">
        <v>2582</v>
      </c>
      <c r="G1081" s="4" t="s">
        <v>12</v>
      </c>
      <c r="H1081" s="4" t="s">
        <v>2583</v>
      </c>
      <c r="I1081" s="4" t="s">
        <v>14</v>
      </c>
      <c r="J1081" s="4" t="s">
        <v>148</v>
      </c>
      <c r="K1081" s="4" t="s">
        <v>312</v>
      </c>
      <c r="M1081">
        <f t="shared" si="34"/>
        <v>323.83977356250006</v>
      </c>
    </row>
    <row r="1082" spans="1:13" ht="14" x14ac:dyDescent="0.2">
      <c r="A1082" s="4" t="s">
        <v>2584</v>
      </c>
      <c r="B1082" s="5">
        <v>5990.2537500000008</v>
      </c>
      <c r="C1082" s="5">
        <f t="shared" si="33"/>
        <v>213.93763392857144</v>
      </c>
      <c r="D1082" s="4">
        <v>28</v>
      </c>
      <c r="E1082" s="5" t="s">
        <v>10</v>
      </c>
      <c r="F1082" s="4" t="s">
        <v>2585</v>
      </c>
      <c r="G1082" s="4" t="s">
        <v>12</v>
      </c>
      <c r="H1082" s="4" t="s">
        <v>2585</v>
      </c>
      <c r="I1082" s="4" t="s">
        <v>22</v>
      </c>
      <c r="J1082" s="4" t="s">
        <v>15</v>
      </c>
      <c r="K1082" s="4" t="s">
        <v>227</v>
      </c>
      <c r="M1082">
        <f t="shared" si="34"/>
        <v>192.54387053571429</v>
      </c>
    </row>
    <row r="1083" spans="1:13" ht="14" x14ac:dyDescent="0.2">
      <c r="A1083" s="4" t="s">
        <v>2586</v>
      </c>
      <c r="B1083" s="5">
        <v>100392.21562500001</v>
      </c>
      <c r="C1083" s="5">
        <f t="shared" si="33"/>
        <v>100392.21562500001</v>
      </c>
      <c r="D1083" s="4">
        <v>1</v>
      </c>
      <c r="E1083" s="5" t="s">
        <v>55</v>
      </c>
      <c r="F1083" s="4" t="s">
        <v>2587</v>
      </c>
      <c r="G1083" s="4" t="s">
        <v>20</v>
      </c>
      <c r="H1083" s="4" t="s">
        <v>2588</v>
      </c>
      <c r="I1083" s="4" t="s">
        <v>14</v>
      </c>
      <c r="J1083" s="6">
        <v>0.05</v>
      </c>
      <c r="K1083" s="4" t="s">
        <v>23</v>
      </c>
      <c r="M1083">
        <f t="shared" si="34"/>
        <v>90352.994062500016</v>
      </c>
    </row>
    <row r="1084" spans="1:13" ht="14" x14ac:dyDescent="0.2">
      <c r="A1084" s="4" t="s">
        <v>2589</v>
      </c>
      <c r="B1084" s="5">
        <v>10649.34</v>
      </c>
      <c r="C1084" s="5">
        <f t="shared" si="33"/>
        <v>354.97800000000001</v>
      </c>
      <c r="D1084" s="4">
        <v>30</v>
      </c>
      <c r="E1084" s="5" t="s">
        <v>30</v>
      </c>
      <c r="F1084" s="4" t="s">
        <v>2590</v>
      </c>
      <c r="G1084" s="4" t="s">
        <v>20</v>
      </c>
      <c r="H1084" s="4" t="s">
        <v>2591</v>
      </c>
      <c r="I1084" s="4" t="s">
        <v>14</v>
      </c>
      <c r="K1084" s="4" t="s">
        <v>34</v>
      </c>
      <c r="M1084">
        <f t="shared" si="34"/>
        <v>319.48020000000002</v>
      </c>
    </row>
    <row r="1085" spans="1:13" ht="14" x14ac:dyDescent="0.2">
      <c r="A1085" s="4" t="s">
        <v>2592</v>
      </c>
      <c r="B1085" s="5">
        <v>12091.438125000001</v>
      </c>
      <c r="C1085" s="5">
        <f t="shared" si="33"/>
        <v>403.04793750000005</v>
      </c>
      <c r="D1085" s="4">
        <v>30</v>
      </c>
      <c r="E1085" s="5" t="s">
        <v>10</v>
      </c>
      <c r="F1085" s="4" t="s">
        <v>2590</v>
      </c>
      <c r="G1085" s="4" t="s">
        <v>20</v>
      </c>
      <c r="H1085" s="4" t="s">
        <v>2593</v>
      </c>
      <c r="I1085" s="4" t="s">
        <v>14</v>
      </c>
      <c r="K1085" s="4" t="s">
        <v>34</v>
      </c>
      <c r="M1085">
        <f t="shared" si="34"/>
        <v>362.74314375000006</v>
      </c>
    </row>
    <row r="1086" spans="1:13" ht="14" x14ac:dyDescent="0.2">
      <c r="A1086" s="4" t="s">
        <v>2594</v>
      </c>
      <c r="B1086" s="5">
        <v>4659.0862500000003</v>
      </c>
      <c r="C1086" s="5">
        <f t="shared" si="33"/>
        <v>232.95431250000001</v>
      </c>
      <c r="D1086" s="4">
        <v>20</v>
      </c>
      <c r="E1086" s="5" t="s">
        <v>10</v>
      </c>
      <c r="F1086" s="4" t="s">
        <v>2595</v>
      </c>
      <c r="G1086" s="4" t="s">
        <v>20</v>
      </c>
      <c r="H1086" s="4" t="s">
        <v>2596</v>
      </c>
      <c r="I1086" s="4" t="s">
        <v>14</v>
      </c>
      <c r="J1086" s="4" t="s">
        <v>351</v>
      </c>
      <c r="K1086" s="4" t="s">
        <v>34</v>
      </c>
      <c r="M1086">
        <f t="shared" si="34"/>
        <v>209.65888125000001</v>
      </c>
    </row>
    <row r="1087" spans="1:13" ht="14" x14ac:dyDescent="0.2">
      <c r="A1087" s="4" t="s">
        <v>2597</v>
      </c>
      <c r="B1087" s="5">
        <v>86525.887500000012</v>
      </c>
      <c r="C1087" s="5">
        <f t="shared" si="33"/>
        <v>86525.887500000012</v>
      </c>
      <c r="D1087" s="4">
        <v>1</v>
      </c>
      <c r="E1087" s="5" t="s">
        <v>124</v>
      </c>
      <c r="F1087" s="4" t="s">
        <v>2597</v>
      </c>
      <c r="G1087" s="4" t="s">
        <v>12</v>
      </c>
      <c r="H1087" s="4" t="s">
        <v>2597</v>
      </c>
      <c r="I1087" s="4" t="s">
        <v>22</v>
      </c>
      <c r="J1087" s="4" t="s">
        <v>2561</v>
      </c>
      <c r="K1087" s="4" t="s">
        <v>2598</v>
      </c>
      <c r="M1087">
        <f t="shared" si="34"/>
        <v>77873.298750000016</v>
      </c>
    </row>
    <row r="1088" spans="1:13" ht="14" x14ac:dyDescent="0.2">
      <c r="A1088" s="4" t="s">
        <v>2599</v>
      </c>
      <c r="B1088" s="5">
        <v>4991.8781250000002</v>
      </c>
      <c r="C1088" s="5">
        <f t="shared" si="33"/>
        <v>831.97968750000007</v>
      </c>
      <c r="D1088" s="4">
        <v>6</v>
      </c>
      <c r="E1088" s="5" t="s">
        <v>10</v>
      </c>
      <c r="F1088" s="4" t="s">
        <v>2600</v>
      </c>
      <c r="G1088" s="4" t="s">
        <v>20</v>
      </c>
      <c r="H1088" s="4" t="s">
        <v>2601</v>
      </c>
      <c r="I1088" s="4" t="s">
        <v>22</v>
      </c>
      <c r="J1088" s="4" t="s">
        <v>994</v>
      </c>
      <c r="K1088" s="4" t="s">
        <v>406</v>
      </c>
      <c r="M1088">
        <f t="shared" si="34"/>
        <v>748.7817187500001</v>
      </c>
    </row>
    <row r="1089" spans="1:13" ht="14" x14ac:dyDescent="0.2">
      <c r="A1089" s="4" t="s">
        <v>2602</v>
      </c>
      <c r="B1089" s="5">
        <v>5511.0334499999999</v>
      </c>
      <c r="C1089" s="5">
        <f t="shared" si="33"/>
        <v>5511.0334499999999</v>
      </c>
      <c r="D1089" s="4">
        <v>1</v>
      </c>
      <c r="E1089" s="5" t="s">
        <v>701</v>
      </c>
      <c r="F1089" s="4" t="s">
        <v>2603</v>
      </c>
      <c r="G1089" s="4" t="s">
        <v>20</v>
      </c>
      <c r="H1089" s="4" t="s">
        <v>2602</v>
      </c>
      <c r="I1089" s="4" t="s">
        <v>14</v>
      </c>
      <c r="J1089" s="4" t="s">
        <v>2604</v>
      </c>
      <c r="K1089" s="4" t="s">
        <v>406</v>
      </c>
      <c r="M1089">
        <f t="shared" si="34"/>
        <v>4959.9301049999995</v>
      </c>
    </row>
    <row r="1090" spans="1:13" ht="14" x14ac:dyDescent="0.2">
      <c r="A1090" s="4" t="s">
        <v>2605</v>
      </c>
      <c r="B1090" s="5">
        <v>4770.0168750000003</v>
      </c>
      <c r="C1090" s="5">
        <f t="shared" si="33"/>
        <v>477.0016875</v>
      </c>
      <c r="D1090" s="4">
        <v>10</v>
      </c>
      <c r="E1090" s="5" t="s">
        <v>10</v>
      </c>
      <c r="F1090" s="4" t="s">
        <v>2605</v>
      </c>
      <c r="G1090" s="4" t="s">
        <v>12</v>
      </c>
      <c r="H1090" s="4" t="s">
        <v>2606</v>
      </c>
      <c r="I1090" s="4" t="s">
        <v>22</v>
      </c>
      <c r="J1090" s="4" t="s">
        <v>2607</v>
      </c>
      <c r="K1090" s="4" t="s">
        <v>90</v>
      </c>
      <c r="M1090">
        <f t="shared" si="34"/>
        <v>429.30151875000001</v>
      </c>
    </row>
    <row r="1091" spans="1:13" ht="14" x14ac:dyDescent="0.2">
      <c r="A1091" s="4" t="s">
        <v>5334</v>
      </c>
      <c r="B1091" s="5">
        <v>11314.923750000002</v>
      </c>
      <c r="C1091" s="5">
        <f t="shared" ref="C1091:C1154" si="35">(B1091/D1091)</f>
        <v>404.10441964285718</v>
      </c>
      <c r="D1091" s="4">
        <v>28</v>
      </c>
      <c r="E1091" s="5" t="s">
        <v>10</v>
      </c>
      <c r="F1091" s="4" t="s">
        <v>3432</v>
      </c>
      <c r="G1091" s="4" t="s">
        <v>12</v>
      </c>
      <c r="H1091" s="4" t="s">
        <v>3432</v>
      </c>
      <c r="I1091" s="4" t="s">
        <v>22</v>
      </c>
      <c r="J1091" s="4" t="s">
        <v>603</v>
      </c>
      <c r="K1091" s="4" t="s">
        <v>90</v>
      </c>
      <c r="M1091">
        <f t="shared" si="34"/>
        <v>363.69397767857146</v>
      </c>
    </row>
    <row r="1092" spans="1:13" ht="14" x14ac:dyDescent="0.2">
      <c r="A1092" s="4" t="s">
        <v>2609</v>
      </c>
      <c r="B1092" s="5">
        <v>5213.7393750000001</v>
      </c>
      <c r="C1092" s="5">
        <f t="shared" si="35"/>
        <v>52.137393750000001</v>
      </c>
      <c r="D1092" s="4">
        <v>100</v>
      </c>
      <c r="E1092" s="5" t="s">
        <v>30</v>
      </c>
      <c r="F1092" s="4" t="s">
        <v>2608</v>
      </c>
      <c r="G1092" s="4" t="s">
        <v>20</v>
      </c>
      <c r="H1092" s="4" t="s">
        <v>2608</v>
      </c>
      <c r="I1092" s="4" t="s">
        <v>22</v>
      </c>
      <c r="J1092" s="4" t="s">
        <v>15</v>
      </c>
      <c r="K1092" s="4" t="s">
        <v>87</v>
      </c>
      <c r="M1092">
        <f t="shared" si="34"/>
        <v>46.923654374999998</v>
      </c>
    </row>
    <row r="1093" spans="1:13" ht="14" x14ac:dyDescent="0.2">
      <c r="A1093" s="4" t="s">
        <v>2610</v>
      </c>
      <c r="B1093" s="5">
        <v>6461.7089062500008</v>
      </c>
      <c r="C1093" s="5">
        <f t="shared" si="35"/>
        <v>6461.7089062500008</v>
      </c>
      <c r="D1093" s="4">
        <v>1</v>
      </c>
      <c r="E1093" s="5" t="s">
        <v>59</v>
      </c>
      <c r="F1093" s="4" t="s">
        <v>2611</v>
      </c>
      <c r="G1093" s="4" t="s">
        <v>20</v>
      </c>
      <c r="H1093" s="4" t="s">
        <v>2612</v>
      </c>
      <c r="I1093" s="4" t="s">
        <v>14</v>
      </c>
      <c r="J1093" s="4" t="s">
        <v>2613</v>
      </c>
      <c r="K1093" s="4" t="s">
        <v>406</v>
      </c>
      <c r="M1093">
        <f t="shared" si="34"/>
        <v>5815.5380156250012</v>
      </c>
    </row>
    <row r="1094" spans="1:13" ht="14" x14ac:dyDescent="0.2">
      <c r="A1094" s="4" t="s">
        <v>2614</v>
      </c>
      <c r="B1094" s="5">
        <v>20965.888125000001</v>
      </c>
      <c r="C1094" s="5">
        <f t="shared" si="35"/>
        <v>20965.888125000001</v>
      </c>
      <c r="D1094" s="4">
        <v>1</v>
      </c>
      <c r="E1094" s="5" t="s">
        <v>25</v>
      </c>
      <c r="F1094" s="4" t="s">
        <v>2615</v>
      </c>
      <c r="G1094" s="4" t="s">
        <v>20</v>
      </c>
      <c r="H1094" s="4" t="s">
        <v>2615</v>
      </c>
      <c r="I1094" s="4" t="s">
        <v>22</v>
      </c>
      <c r="K1094" s="4" t="s">
        <v>28</v>
      </c>
      <c r="M1094">
        <f t="shared" si="34"/>
        <v>18869.299312499999</v>
      </c>
    </row>
    <row r="1095" spans="1:13" ht="14" x14ac:dyDescent="0.2">
      <c r="A1095" s="4" t="s">
        <v>2616</v>
      </c>
      <c r="B1095" s="5">
        <v>332.791875</v>
      </c>
      <c r="C1095" s="5">
        <f t="shared" si="35"/>
        <v>332.791875</v>
      </c>
      <c r="D1095" s="4">
        <v>1</v>
      </c>
      <c r="E1095" s="5" t="s">
        <v>124</v>
      </c>
      <c r="F1095" s="4" t="s">
        <v>258</v>
      </c>
      <c r="G1095" s="4" t="s">
        <v>20</v>
      </c>
      <c r="H1095" s="4" t="s">
        <v>258</v>
      </c>
      <c r="I1095" s="4" t="s">
        <v>22</v>
      </c>
      <c r="J1095" s="4" t="s">
        <v>47</v>
      </c>
      <c r="K1095" s="4" t="s">
        <v>87</v>
      </c>
      <c r="M1095">
        <f t="shared" si="34"/>
        <v>299.51268750000003</v>
      </c>
    </row>
    <row r="1096" spans="1:13" ht="14" x14ac:dyDescent="0.2">
      <c r="A1096" s="4" t="s">
        <v>2617</v>
      </c>
      <c r="B1096" s="5">
        <v>2773.2656250000005</v>
      </c>
      <c r="C1096" s="5">
        <f t="shared" si="35"/>
        <v>277.32656250000002</v>
      </c>
      <c r="D1096" s="4">
        <v>10</v>
      </c>
      <c r="E1096" s="5" t="s">
        <v>124</v>
      </c>
      <c r="F1096" s="4" t="s">
        <v>2618</v>
      </c>
      <c r="G1096" s="4" t="s">
        <v>20</v>
      </c>
      <c r="H1096" s="4" t="s">
        <v>2619</v>
      </c>
      <c r="I1096" s="4" t="s">
        <v>22</v>
      </c>
      <c r="J1096" s="4" t="s">
        <v>2620</v>
      </c>
      <c r="K1096" s="4" t="s">
        <v>2478</v>
      </c>
      <c r="M1096">
        <f t="shared" si="34"/>
        <v>249.59390625000003</v>
      </c>
    </row>
    <row r="1097" spans="1:13" ht="14" x14ac:dyDescent="0.2">
      <c r="A1097" s="4" t="s">
        <v>2621</v>
      </c>
      <c r="B1097" s="5">
        <v>22740.778125000001</v>
      </c>
      <c r="C1097" s="5">
        <f t="shared" si="35"/>
        <v>22740.778125000001</v>
      </c>
      <c r="D1097" s="4">
        <v>1</v>
      </c>
      <c r="E1097" s="5" t="s">
        <v>124</v>
      </c>
      <c r="F1097" s="4" t="s">
        <v>125</v>
      </c>
      <c r="G1097" s="4" t="s">
        <v>12</v>
      </c>
      <c r="H1097" s="4" t="s">
        <v>2622</v>
      </c>
      <c r="I1097" s="4" t="s">
        <v>14</v>
      </c>
      <c r="K1097" s="4" t="s">
        <v>16</v>
      </c>
      <c r="M1097">
        <f t="shared" si="34"/>
        <v>20466.700312500001</v>
      </c>
    </row>
    <row r="1098" spans="1:13" ht="14" x14ac:dyDescent="0.2">
      <c r="A1098" s="4" t="s">
        <v>2623</v>
      </c>
      <c r="B1098" s="5">
        <v>299.51268750000003</v>
      </c>
      <c r="C1098" s="5">
        <f t="shared" si="35"/>
        <v>299.51268750000003</v>
      </c>
      <c r="D1098" s="4">
        <v>1</v>
      </c>
      <c r="E1098" s="5" t="s">
        <v>25</v>
      </c>
      <c r="F1098" s="4" t="s">
        <v>2623</v>
      </c>
      <c r="G1098" s="4" t="s">
        <v>12</v>
      </c>
      <c r="H1098" s="4" t="s">
        <v>2623</v>
      </c>
      <c r="I1098" s="4" t="s">
        <v>22</v>
      </c>
      <c r="K1098" s="4" t="s">
        <v>28</v>
      </c>
      <c r="M1098">
        <f t="shared" si="34"/>
        <v>269.56141875000003</v>
      </c>
    </row>
    <row r="1099" spans="1:13" ht="14" x14ac:dyDescent="0.2">
      <c r="A1099" s="4" t="s">
        <v>2624</v>
      </c>
      <c r="B1099" s="5">
        <v>33279.1875</v>
      </c>
      <c r="C1099" s="5">
        <f t="shared" si="35"/>
        <v>3327.9187499999998</v>
      </c>
      <c r="D1099" s="4">
        <v>10</v>
      </c>
      <c r="E1099" s="5" t="s">
        <v>2625</v>
      </c>
      <c r="F1099" s="4" t="s">
        <v>2624</v>
      </c>
      <c r="G1099" s="4" t="s">
        <v>12</v>
      </c>
      <c r="H1099" s="4" t="s">
        <v>2624</v>
      </c>
      <c r="I1099" s="4" t="s">
        <v>22</v>
      </c>
      <c r="J1099" s="4" t="s">
        <v>2626</v>
      </c>
      <c r="K1099" s="4" t="s">
        <v>74</v>
      </c>
      <c r="M1099">
        <f t="shared" si="34"/>
        <v>2995.1268749999999</v>
      </c>
    </row>
    <row r="1100" spans="1:13" ht="14" x14ac:dyDescent="0.2">
      <c r="A1100" s="4" t="s">
        <v>2627</v>
      </c>
      <c r="B1100" s="5">
        <v>16972.385625000003</v>
      </c>
      <c r="C1100" s="5">
        <f t="shared" si="35"/>
        <v>606.15662946428586</v>
      </c>
      <c r="D1100" s="4">
        <v>28</v>
      </c>
      <c r="E1100" s="5" t="s">
        <v>10</v>
      </c>
      <c r="F1100" s="4" t="s">
        <v>479</v>
      </c>
      <c r="G1100" s="4" t="s">
        <v>12</v>
      </c>
      <c r="H1100" s="4" t="s">
        <v>479</v>
      </c>
      <c r="I1100" s="4" t="s">
        <v>22</v>
      </c>
      <c r="J1100" s="4" t="s">
        <v>481</v>
      </c>
      <c r="K1100" s="4" t="s">
        <v>90</v>
      </c>
      <c r="M1100">
        <f t="shared" si="34"/>
        <v>545.54096651785721</v>
      </c>
    </row>
    <row r="1101" spans="1:13" ht="14" x14ac:dyDescent="0.2">
      <c r="A1101" s="4" t="s">
        <v>2628</v>
      </c>
      <c r="B1101" s="5">
        <v>12080.345062500002</v>
      </c>
      <c r="C1101" s="5">
        <f t="shared" si="35"/>
        <v>402.67816875000005</v>
      </c>
      <c r="D1101" s="4">
        <v>30</v>
      </c>
      <c r="E1101" s="5" t="s">
        <v>10</v>
      </c>
      <c r="F1101" s="4" t="s">
        <v>2628</v>
      </c>
      <c r="G1101" s="4" t="s">
        <v>12</v>
      </c>
      <c r="H1101" s="4" t="s">
        <v>2628</v>
      </c>
      <c r="I1101" s="4" t="s">
        <v>22</v>
      </c>
      <c r="J1101" s="4" t="s">
        <v>1261</v>
      </c>
      <c r="K1101" s="4" t="s">
        <v>2629</v>
      </c>
      <c r="M1101">
        <f t="shared" si="34"/>
        <v>362.41035187500006</v>
      </c>
    </row>
    <row r="1102" spans="1:13" ht="14" x14ac:dyDescent="0.2">
      <c r="A1102" s="4" t="s">
        <v>2630</v>
      </c>
      <c r="B1102" s="5">
        <v>3171.50656875</v>
      </c>
      <c r="C1102" s="5">
        <f t="shared" si="35"/>
        <v>3171.50656875</v>
      </c>
      <c r="D1102" s="4">
        <v>1</v>
      </c>
      <c r="E1102" s="5" t="s">
        <v>124</v>
      </c>
      <c r="F1102" s="4" t="s">
        <v>2631</v>
      </c>
      <c r="G1102" s="4" t="s">
        <v>20</v>
      </c>
      <c r="H1102" s="4" t="s">
        <v>2631</v>
      </c>
      <c r="I1102" s="4" t="s">
        <v>22</v>
      </c>
      <c r="J1102" s="6">
        <v>0.1</v>
      </c>
      <c r="K1102" s="4" t="s">
        <v>34</v>
      </c>
      <c r="M1102">
        <f t="shared" si="34"/>
        <v>2854.3559118749999</v>
      </c>
    </row>
    <row r="1103" spans="1:13" ht="14" x14ac:dyDescent="0.2">
      <c r="A1103" s="4" t="s">
        <v>2632</v>
      </c>
      <c r="B1103" s="5">
        <v>20588.724000000002</v>
      </c>
      <c r="C1103" s="5">
        <f t="shared" si="35"/>
        <v>4117.7448000000004</v>
      </c>
      <c r="D1103" s="4">
        <v>5</v>
      </c>
      <c r="E1103" s="5" t="s">
        <v>124</v>
      </c>
      <c r="F1103" s="4" t="s">
        <v>2632</v>
      </c>
      <c r="G1103" s="4" t="s">
        <v>20</v>
      </c>
      <c r="H1103" s="4" t="s">
        <v>2632</v>
      </c>
      <c r="I1103" s="4" t="s">
        <v>22</v>
      </c>
      <c r="J1103" s="4" t="s">
        <v>2633</v>
      </c>
      <c r="K1103" s="4" t="s">
        <v>34</v>
      </c>
      <c r="M1103">
        <f t="shared" si="34"/>
        <v>3705.9703200000004</v>
      </c>
    </row>
    <row r="1104" spans="1:13" ht="14" x14ac:dyDescent="0.2">
      <c r="A1104" s="4" t="s">
        <v>2634</v>
      </c>
      <c r="B1104" s="5">
        <v>19854.363262500003</v>
      </c>
      <c r="C1104" s="5">
        <f t="shared" si="35"/>
        <v>354.54220111607145</v>
      </c>
      <c r="D1104" s="4">
        <v>56</v>
      </c>
      <c r="E1104" s="5" t="s">
        <v>10</v>
      </c>
      <c r="F1104" s="4" t="s">
        <v>2635</v>
      </c>
      <c r="G1104" s="4" t="s">
        <v>12</v>
      </c>
      <c r="H1104" s="4" t="s">
        <v>2635</v>
      </c>
      <c r="I1104" s="4" t="s">
        <v>22</v>
      </c>
      <c r="J1104" s="4" t="s">
        <v>146</v>
      </c>
      <c r="K1104" s="4" t="s">
        <v>312</v>
      </c>
      <c r="M1104">
        <f t="shared" si="34"/>
        <v>319.08798100446432</v>
      </c>
    </row>
    <row r="1105" spans="1:13" ht="14" x14ac:dyDescent="0.2">
      <c r="A1105" s="4" t="s">
        <v>2636</v>
      </c>
      <c r="B1105" s="5">
        <v>20882.690156250002</v>
      </c>
      <c r="C1105" s="5">
        <f t="shared" si="35"/>
        <v>372.90518136160716</v>
      </c>
      <c r="D1105" s="4">
        <v>56</v>
      </c>
      <c r="E1105" s="5" t="s">
        <v>10</v>
      </c>
      <c r="F1105" s="4" t="s">
        <v>2635</v>
      </c>
      <c r="G1105" s="4" t="s">
        <v>12</v>
      </c>
      <c r="H1105" s="4" t="s">
        <v>2635</v>
      </c>
      <c r="I1105" s="4" t="s">
        <v>22</v>
      </c>
      <c r="J1105" s="4" t="s">
        <v>148</v>
      </c>
      <c r="K1105" s="4" t="s">
        <v>312</v>
      </c>
      <c r="M1105">
        <f t="shared" si="34"/>
        <v>335.61466322544646</v>
      </c>
    </row>
    <row r="1106" spans="1:13" ht="14" x14ac:dyDescent="0.2">
      <c r="A1106" s="4" t="s">
        <v>2637</v>
      </c>
      <c r="B1106" s="5">
        <v>18053.959218750002</v>
      </c>
      <c r="C1106" s="5">
        <f t="shared" si="35"/>
        <v>644.78425781250007</v>
      </c>
      <c r="D1106" s="4">
        <v>28</v>
      </c>
      <c r="E1106" s="5" t="s">
        <v>10</v>
      </c>
      <c r="F1106" s="4" t="s">
        <v>2638</v>
      </c>
      <c r="G1106" s="4" t="s">
        <v>12</v>
      </c>
      <c r="H1106" s="4" t="s">
        <v>2639</v>
      </c>
      <c r="I1106" s="4" t="s">
        <v>22</v>
      </c>
      <c r="J1106" s="4" t="s">
        <v>148</v>
      </c>
      <c r="K1106" s="4" t="s">
        <v>23</v>
      </c>
      <c r="M1106">
        <f t="shared" si="34"/>
        <v>580.30583203125002</v>
      </c>
    </row>
    <row r="1107" spans="1:13" ht="14" x14ac:dyDescent="0.2">
      <c r="A1107" s="4" t="s">
        <v>2640</v>
      </c>
      <c r="B1107" s="5">
        <v>29799.293793750003</v>
      </c>
      <c r="C1107" s="5">
        <f t="shared" si="35"/>
        <v>1064.2604926339286</v>
      </c>
      <c r="D1107" s="4">
        <v>28</v>
      </c>
      <c r="E1107" s="5" t="s">
        <v>10</v>
      </c>
      <c r="F1107" s="4" t="s">
        <v>2641</v>
      </c>
      <c r="G1107" s="4" t="s">
        <v>12</v>
      </c>
      <c r="H1107" s="4" t="s">
        <v>2642</v>
      </c>
      <c r="I1107" s="4" t="s">
        <v>22</v>
      </c>
      <c r="J1107" s="4" t="s">
        <v>550</v>
      </c>
      <c r="K1107" s="4" t="s">
        <v>312</v>
      </c>
      <c r="M1107">
        <f t="shared" si="34"/>
        <v>957.83444337053572</v>
      </c>
    </row>
    <row r="1108" spans="1:13" ht="14" x14ac:dyDescent="0.2">
      <c r="A1108" s="4" t="s">
        <v>2643</v>
      </c>
      <c r="B1108" s="5">
        <v>13833.0489375</v>
      </c>
      <c r="C1108" s="5">
        <f t="shared" si="35"/>
        <v>494.0374620535714</v>
      </c>
      <c r="D1108" s="4">
        <v>28</v>
      </c>
      <c r="E1108" s="5" t="s">
        <v>10</v>
      </c>
      <c r="F1108" s="4" t="s">
        <v>2641</v>
      </c>
      <c r="G1108" s="4" t="s">
        <v>12</v>
      </c>
      <c r="H1108" s="4" t="s">
        <v>2639</v>
      </c>
      <c r="I1108" s="4" t="s">
        <v>22</v>
      </c>
      <c r="J1108" s="4" t="s">
        <v>550</v>
      </c>
      <c r="K1108" s="4" t="s">
        <v>312</v>
      </c>
      <c r="M1108">
        <f t="shared" si="34"/>
        <v>444.63371584821425</v>
      </c>
    </row>
    <row r="1109" spans="1:13" ht="14" x14ac:dyDescent="0.2">
      <c r="A1109" s="4" t="s">
        <v>2644</v>
      </c>
      <c r="B1109" s="5">
        <v>13810.862812500001</v>
      </c>
      <c r="C1109" s="5">
        <f t="shared" si="35"/>
        <v>13810.862812500001</v>
      </c>
      <c r="D1109" s="4">
        <v>1</v>
      </c>
      <c r="E1109" s="5" t="s">
        <v>874</v>
      </c>
      <c r="F1109" s="4" t="s">
        <v>2638</v>
      </c>
      <c r="G1109" s="4" t="s">
        <v>12</v>
      </c>
      <c r="H1109" s="4" t="s">
        <v>2644</v>
      </c>
      <c r="I1109" s="4" t="s">
        <v>22</v>
      </c>
      <c r="J1109" s="8">
        <v>5.0000000000000001E-4</v>
      </c>
      <c r="K1109" s="4" t="s">
        <v>23</v>
      </c>
      <c r="M1109">
        <f t="shared" si="34"/>
        <v>12429.776531250001</v>
      </c>
    </row>
    <row r="1110" spans="1:13" ht="14" x14ac:dyDescent="0.2">
      <c r="A1110" s="4" t="s">
        <v>2645</v>
      </c>
      <c r="B1110" s="5">
        <v>5768.3925000000008</v>
      </c>
      <c r="C1110" s="5">
        <f t="shared" si="35"/>
        <v>384.55950000000007</v>
      </c>
      <c r="D1110" s="4">
        <v>15</v>
      </c>
      <c r="E1110" s="5" t="s">
        <v>30</v>
      </c>
      <c r="F1110" s="4" t="s">
        <v>2646</v>
      </c>
      <c r="G1110" s="4" t="s">
        <v>20</v>
      </c>
      <c r="H1110" s="4" t="s">
        <v>2647</v>
      </c>
      <c r="I1110" s="4" t="s">
        <v>22</v>
      </c>
      <c r="J1110" s="4" t="s">
        <v>140</v>
      </c>
      <c r="K1110" s="4" t="s">
        <v>103</v>
      </c>
      <c r="M1110">
        <f t="shared" si="34"/>
        <v>346.10355000000004</v>
      </c>
    </row>
    <row r="1111" spans="1:13" ht="14" x14ac:dyDescent="0.2">
      <c r="A1111" s="4" t="s">
        <v>2648</v>
      </c>
      <c r="B1111" s="5">
        <v>4652.4304125000017</v>
      </c>
      <c r="C1111" s="5">
        <f t="shared" si="35"/>
        <v>1163.1076031250004</v>
      </c>
      <c r="D1111" s="4">
        <v>4</v>
      </c>
      <c r="E1111" s="5" t="s">
        <v>30</v>
      </c>
      <c r="F1111" s="4" t="s">
        <v>2646</v>
      </c>
      <c r="G1111" s="4" t="s">
        <v>20</v>
      </c>
      <c r="H1111" s="4" t="s">
        <v>2649</v>
      </c>
      <c r="I1111" s="4" t="s">
        <v>22</v>
      </c>
      <c r="J1111" s="4" t="s">
        <v>140</v>
      </c>
      <c r="K1111" s="4" t="s">
        <v>103</v>
      </c>
      <c r="M1111">
        <f t="shared" si="34"/>
        <v>1046.7968428125005</v>
      </c>
    </row>
    <row r="1112" spans="1:13" ht="14" x14ac:dyDescent="0.2">
      <c r="A1112" s="4" t="s">
        <v>2650</v>
      </c>
      <c r="B1112" s="5">
        <v>7210.4906250000004</v>
      </c>
      <c r="C1112" s="5">
        <f t="shared" si="35"/>
        <v>1201.7484375000001</v>
      </c>
      <c r="D1112" s="4">
        <v>6</v>
      </c>
      <c r="E1112" s="4" t="s">
        <v>124</v>
      </c>
      <c r="F1112" s="4" t="s">
        <v>2650</v>
      </c>
      <c r="G1112" s="4" t="s">
        <v>20</v>
      </c>
      <c r="H1112" s="4" t="s">
        <v>2651</v>
      </c>
      <c r="I1112" s="4"/>
      <c r="J1112" s="4" t="s">
        <v>1208</v>
      </c>
      <c r="K1112" s="4" t="s">
        <v>53</v>
      </c>
      <c r="M1112">
        <f t="shared" si="34"/>
        <v>1081.5735937500001</v>
      </c>
    </row>
    <row r="1113" spans="1:13" ht="14" x14ac:dyDescent="0.2">
      <c r="A1113" s="4" t="s">
        <v>2652</v>
      </c>
      <c r="B1113" s="5">
        <v>98728.256250000006</v>
      </c>
      <c r="C1113" s="5">
        <f t="shared" si="35"/>
        <v>9872.8256250000013</v>
      </c>
      <c r="D1113" s="4">
        <v>10</v>
      </c>
      <c r="E1113" s="5" t="s">
        <v>124</v>
      </c>
      <c r="F1113" s="4" t="s">
        <v>2653</v>
      </c>
      <c r="G1113" s="4" t="s">
        <v>20</v>
      </c>
      <c r="H1113" s="4" t="s">
        <v>2654</v>
      </c>
      <c r="I1113" s="4" t="s">
        <v>22</v>
      </c>
      <c r="J1113" s="4" t="s">
        <v>351</v>
      </c>
      <c r="K1113" s="4" t="s">
        <v>53</v>
      </c>
      <c r="M1113">
        <f t="shared" si="34"/>
        <v>8885.5430625000008</v>
      </c>
    </row>
    <row r="1114" spans="1:13" ht="14" x14ac:dyDescent="0.2">
      <c r="A1114" s="4" t="s">
        <v>2655</v>
      </c>
      <c r="B1114" s="5">
        <v>25292.182500000003</v>
      </c>
      <c r="C1114" s="5">
        <f t="shared" si="35"/>
        <v>421.53637500000002</v>
      </c>
      <c r="D1114" s="4">
        <v>60</v>
      </c>
      <c r="E1114" s="5" t="s">
        <v>124</v>
      </c>
      <c r="F1114" s="4" t="s">
        <v>2655</v>
      </c>
      <c r="G1114" s="4" t="s">
        <v>12</v>
      </c>
      <c r="H1114" s="4" t="s">
        <v>2656</v>
      </c>
      <c r="I1114" s="4" t="s">
        <v>22</v>
      </c>
      <c r="J1114" s="4" t="s">
        <v>405</v>
      </c>
      <c r="K1114" s="4" t="s">
        <v>312</v>
      </c>
      <c r="M1114">
        <f t="shared" si="34"/>
        <v>379.38273750000002</v>
      </c>
    </row>
    <row r="1115" spans="1:13" ht="14" x14ac:dyDescent="0.2">
      <c r="A1115" s="7" t="s">
        <v>5335</v>
      </c>
      <c r="B1115" s="10">
        <v>2329.5431250000001</v>
      </c>
      <c r="C1115" s="5">
        <f t="shared" si="35"/>
        <v>582.38578125000004</v>
      </c>
      <c r="D1115" s="9">
        <v>4</v>
      </c>
      <c r="E1115" s="10" t="s">
        <v>5193</v>
      </c>
      <c r="F1115" s="7" t="s">
        <v>5336</v>
      </c>
      <c r="H1115" s="7" t="s">
        <v>5336</v>
      </c>
      <c r="I1115" s="4" t="s">
        <v>22</v>
      </c>
      <c r="J1115" s="7" t="s">
        <v>5337</v>
      </c>
      <c r="K1115" s="7" t="s">
        <v>103</v>
      </c>
      <c r="M1115">
        <f t="shared" si="34"/>
        <v>524.14720312500003</v>
      </c>
    </row>
    <row r="1116" spans="1:13" ht="14" x14ac:dyDescent="0.2">
      <c r="A1116" s="4" t="s">
        <v>2657</v>
      </c>
      <c r="B1116" s="5">
        <v>3106.0575000000003</v>
      </c>
      <c r="C1116" s="5">
        <f t="shared" si="35"/>
        <v>3106.0575000000003</v>
      </c>
      <c r="D1116" s="4">
        <v>1</v>
      </c>
      <c r="E1116" s="5" t="s">
        <v>175</v>
      </c>
      <c r="F1116" s="4" t="s">
        <v>516</v>
      </c>
      <c r="G1116" s="4" t="s">
        <v>20</v>
      </c>
      <c r="H1116" s="4" t="s">
        <v>2658</v>
      </c>
      <c r="I1116" s="4" t="s">
        <v>22</v>
      </c>
      <c r="J1116" s="4" t="s">
        <v>2659</v>
      </c>
      <c r="K1116" s="4" t="s">
        <v>786</v>
      </c>
      <c r="M1116">
        <f t="shared" si="34"/>
        <v>2795.4517500000002</v>
      </c>
    </row>
    <row r="1117" spans="1:13" ht="14" x14ac:dyDescent="0.2">
      <c r="A1117" s="4" t="s">
        <v>2660</v>
      </c>
      <c r="B1117" s="5">
        <v>3993.5025000000005</v>
      </c>
      <c r="C1117" s="5">
        <f t="shared" si="35"/>
        <v>3993.5025000000005</v>
      </c>
      <c r="D1117" s="4">
        <v>1</v>
      </c>
      <c r="E1117" s="5" t="s">
        <v>175</v>
      </c>
      <c r="F1117" s="4" t="s">
        <v>521</v>
      </c>
      <c r="G1117" s="4" t="s">
        <v>20</v>
      </c>
      <c r="H1117" s="4" t="s">
        <v>2661</v>
      </c>
      <c r="I1117" s="4" t="s">
        <v>22</v>
      </c>
      <c r="J1117" s="6">
        <v>0.02</v>
      </c>
      <c r="K1117" s="4" t="s">
        <v>179</v>
      </c>
      <c r="M1117">
        <f t="shared" ref="M1117:M1180" si="36">C1117-(C1117* 10%)</f>
        <v>3594.1522500000005</v>
      </c>
    </row>
    <row r="1118" spans="1:13" ht="14" x14ac:dyDescent="0.2">
      <c r="A1118" s="4" t="s">
        <v>2662</v>
      </c>
      <c r="B1118" s="5">
        <v>3083.8713750000002</v>
      </c>
      <c r="C1118" s="5">
        <f t="shared" si="35"/>
        <v>3083.8713750000002</v>
      </c>
      <c r="D1118" s="4">
        <v>1</v>
      </c>
      <c r="E1118" s="5" t="s">
        <v>175</v>
      </c>
      <c r="F1118" s="4" t="s">
        <v>2663</v>
      </c>
      <c r="G1118" s="4" t="s">
        <v>20</v>
      </c>
      <c r="H1118" s="4" t="s">
        <v>2664</v>
      </c>
      <c r="I1118" s="4" t="s">
        <v>22</v>
      </c>
      <c r="J1118" s="4" t="s">
        <v>2167</v>
      </c>
      <c r="K1118" s="4" t="s">
        <v>786</v>
      </c>
      <c r="M1118">
        <f t="shared" si="36"/>
        <v>2775.4842375000003</v>
      </c>
    </row>
    <row r="1119" spans="1:13" ht="14" x14ac:dyDescent="0.2">
      <c r="A1119" s="7" t="s">
        <v>5338</v>
      </c>
      <c r="B1119" s="10">
        <v>3882.5718750000005</v>
      </c>
      <c r="C1119" s="5">
        <f t="shared" si="35"/>
        <v>3882.5718750000005</v>
      </c>
      <c r="D1119" s="9">
        <v>1</v>
      </c>
      <c r="E1119" s="10" t="s">
        <v>5217</v>
      </c>
      <c r="F1119" s="7" t="s">
        <v>5339</v>
      </c>
      <c r="H1119" s="7" t="s">
        <v>5340</v>
      </c>
      <c r="J1119" s="7" t="s">
        <v>5179</v>
      </c>
      <c r="K1119" s="7" t="s">
        <v>5243</v>
      </c>
      <c r="M1119">
        <f t="shared" si="36"/>
        <v>3494.3146875000002</v>
      </c>
    </row>
    <row r="1120" spans="1:13" ht="14" x14ac:dyDescent="0.2">
      <c r="A1120" s="7" t="s">
        <v>5341</v>
      </c>
      <c r="B1120" s="10">
        <v>4437.2250000000004</v>
      </c>
      <c r="C1120" s="5">
        <f t="shared" si="35"/>
        <v>4437.2250000000004</v>
      </c>
      <c r="D1120" s="9">
        <v>1</v>
      </c>
      <c r="E1120" s="10" t="s">
        <v>5217</v>
      </c>
      <c r="F1120" s="16" t="s">
        <v>5342</v>
      </c>
      <c r="G1120" s="16"/>
      <c r="H1120" s="7" t="s">
        <v>5343</v>
      </c>
      <c r="J1120" s="11">
        <v>5.0000000000000001E-3</v>
      </c>
      <c r="K1120" s="7" t="s">
        <v>244</v>
      </c>
      <c r="M1120">
        <f t="shared" si="36"/>
        <v>3993.5025000000005</v>
      </c>
    </row>
    <row r="1121" spans="1:13" ht="14" x14ac:dyDescent="0.2">
      <c r="A1121" s="4" t="s">
        <v>2665</v>
      </c>
      <c r="B1121" s="5">
        <v>3094.9644375000003</v>
      </c>
      <c r="C1121" s="5">
        <f t="shared" si="35"/>
        <v>3094.9644375000003</v>
      </c>
      <c r="D1121" s="4">
        <v>1</v>
      </c>
      <c r="E1121" s="5" t="s">
        <v>175</v>
      </c>
      <c r="F1121" s="4" t="s">
        <v>1489</v>
      </c>
      <c r="G1121" s="4" t="s">
        <v>20</v>
      </c>
      <c r="H1121" s="4" t="s">
        <v>2666</v>
      </c>
      <c r="I1121" s="4" t="s">
        <v>22</v>
      </c>
      <c r="J1121" s="8">
        <v>5.0000000000000001E-3</v>
      </c>
      <c r="K1121" s="4" t="s">
        <v>244</v>
      </c>
      <c r="M1121">
        <f t="shared" si="36"/>
        <v>2785.4679937500005</v>
      </c>
    </row>
    <row r="1122" spans="1:13" ht="14" x14ac:dyDescent="0.2">
      <c r="A1122" s="4" t="s">
        <v>2667</v>
      </c>
      <c r="B1122" s="5">
        <v>2385.0084375000001</v>
      </c>
      <c r="C1122" s="5">
        <f t="shared" si="35"/>
        <v>2385.0084375000001</v>
      </c>
      <c r="D1122" s="4">
        <v>1</v>
      </c>
      <c r="E1122" s="5" t="s">
        <v>175</v>
      </c>
      <c r="F1122" s="4" t="s">
        <v>804</v>
      </c>
      <c r="G1122" s="4" t="s">
        <v>20</v>
      </c>
      <c r="H1122" s="4" t="s">
        <v>2668</v>
      </c>
      <c r="I1122" s="4" t="s">
        <v>22</v>
      </c>
      <c r="J1122" s="8">
        <v>5.0000000000000001E-3</v>
      </c>
      <c r="K1122" s="4" t="s">
        <v>244</v>
      </c>
      <c r="M1122">
        <f t="shared" si="36"/>
        <v>2146.5075937500001</v>
      </c>
    </row>
    <row r="1123" spans="1:13" ht="14" x14ac:dyDescent="0.2">
      <c r="A1123" s="4" t="s">
        <v>2669</v>
      </c>
      <c r="B1123" s="5">
        <v>2350.6199437499999</v>
      </c>
      <c r="C1123" s="5">
        <f t="shared" si="35"/>
        <v>2350.6199437499999</v>
      </c>
      <c r="D1123" s="4">
        <v>1</v>
      </c>
      <c r="E1123" s="5" t="s">
        <v>175</v>
      </c>
      <c r="F1123" s="4" t="s">
        <v>2670</v>
      </c>
      <c r="G1123" s="4" t="s">
        <v>20</v>
      </c>
      <c r="H1123" s="4" t="s">
        <v>2671</v>
      </c>
      <c r="I1123" s="4" t="s">
        <v>22</v>
      </c>
      <c r="J1123" s="4" t="s">
        <v>2672</v>
      </c>
      <c r="K1123" s="4" t="s">
        <v>179</v>
      </c>
      <c r="M1123">
        <f t="shared" si="36"/>
        <v>2115.5579493750001</v>
      </c>
    </row>
    <row r="1124" spans="1:13" ht="14" x14ac:dyDescent="0.2">
      <c r="A1124" s="4" t="s">
        <v>2673</v>
      </c>
      <c r="B1124" s="5">
        <v>2329.5431250000001</v>
      </c>
      <c r="C1124" s="5">
        <f t="shared" si="35"/>
        <v>2329.5431250000001</v>
      </c>
      <c r="D1124" s="4">
        <v>1</v>
      </c>
      <c r="E1124" s="5" t="s">
        <v>175</v>
      </c>
      <c r="F1124" s="4" t="s">
        <v>1110</v>
      </c>
      <c r="G1124" s="4" t="s">
        <v>20</v>
      </c>
      <c r="H1124" s="4" t="s">
        <v>2674</v>
      </c>
      <c r="I1124" s="4" t="s">
        <v>22</v>
      </c>
      <c r="J1124" s="8">
        <v>3.0000000000000001E-3</v>
      </c>
      <c r="K1124" s="4" t="s">
        <v>53</v>
      </c>
      <c r="M1124">
        <f t="shared" si="36"/>
        <v>2096.5888125000001</v>
      </c>
    </row>
    <row r="1125" spans="1:13" ht="14" x14ac:dyDescent="0.2">
      <c r="A1125" s="4" t="s">
        <v>2675</v>
      </c>
      <c r="B1125" s="5">
        <v>4770.0168750000003</v>
      </c>
      <c r="C1125" s="5">
        <f t="shared" si="35"/>
        <v>795.0028125</v>
      </c>
      <c r="D1125" s="4">
        <v>6</v>
      </c>
      <c r="E1125" s="5" t="s">
        <v>10</v>
      </c>
      <c r="F1125" s="4" t="s">
        <v>840</v>
      </c>
      <c r="G1125" s="4" t="s">
        <v>20</v>
      </c>
      <c r="H1125" s="4" t="s">
        <v>2676</v>
      </c>
      <c r="I1125" s="4" t="s">
        <v>22</v>
      </c>
      <c r="J1125" s="4" t="s">
        <v>52</v>
      </c>
      <c r="K1125" s="4" t="s">
        <v>53</v>
      </c>
      <c r="M1125">
        <f t="shared" si="36"/>
        <v>715.50253124999995</v>
      </c>
    </row>
    <row r="1126" spans="1:13" ht="14" x14ac:dyDescent="0.2">
      <c r="A1126" s="4" t="s">
        <v>2677</v>
      </c>
      <c r="B1126" s="5">
        <v>2662.335</v>
      </c>
      <c r="C1126" s="5">
        <f t="shared" si="35"/>
        <v>2662.335</v>
      </c>
      <c r="D1126" s="4">
        <v>1</v>
      </c>
      <c r="E1126" s="5" t="s">
        <v>181</v>
      </c>
      <c r="F1126" s="4" t="s">
        <v>840</v>
      </c>
      <c r="G1126" s="4" t="s">
        <v>20</v>
      </c>
      <c r="H1126" s="4" t="s">
        <v>2676</v>
      </c>
      <c r="I1126" s="4" t="s">
        <v>22</v>
      </c>
      <c r="J1126" s="4" t="s">
        <v>1848</v>
      </c>
      <c r="K1126" s="4" t="s">
        <v>53</v>
      </c>
      <c r="M1126">
        <f t="shared" si="36"/>
        <v>2396.1015000000002</v>
      </c>
    </row>
    <row r="1127" spans="1:13" ht="14" x14ac:dyDescent="0.2">
      <c r="A1127" s="4" t="s">
        <v>2678</v>
      </c>
      <c r="B1127" s="5">
        <v>12938.948100000001</v>
      </c>
      <c r="C1127" s="5">
        <f t="shared" si="35"/>
        <v>462.10528928571432</v>
      </c>
      <c r="D1127" s="4">
        <v>28</v>
      </c>
      <c r="E1127" s="5" t="s">
        <v>30</v>
      </c>
      <c r="F1127" s="4" t="s">
        <v>2646</v>
      </c>
      <c r="G1127" s="4" t="s">
        <v>20</v>
      </c>
      <c r="H1127" s="4" t="s">
        <v>2679</v>
      </c>
      <c r="I1127" s="4" t="s">
        <v>22</v>
      </c>
      <c r="J1127" s="4" t="s">
        <v>140</v>
      </c>
      <c r="K1127" s="4" t="s">
        <v>103</v>
      </c>
      <c r="M1127">
        <f t="shared" si="36"/>
        <v>415.8947603571429</v>
      </c>
    </row>
    <row r="1128" spans="1:13" ht="14" x14ac:dyDescent="0.2">
      <c r="A1128" s="4" t="s">
        <v>2680</v>
      </c>
      <c r="B1128" s="5">
        <v>17748.900000000001</v>
      </c>
      <c r="C1128" s="5">
        <f t="shared" si="35"/>
        <v>17748.900000000001</v>
      </c>
      <c r="D1128" s="4">
        <v>1</v>
      </c>
      <c r="E1128" s="4" t="s">
        <v>219</v>
      </c>
      <c r="F1128" s="4" t="s">
        <v>2680</v>
      </c>
      <c r="G1128" s="4" t="s">
        <v>12</v>
      </c>
      <c r="H1128" s="4" t="s">
        <v>2681</v>
      </c>
      <c r="I1128" s="4"/>
      <c r="J1128" s="4" t="s">
        <v>2682</v>
      </c>
      <c r="K1128" s="4" t="s">
        <v>68</v>
      </c>
      <c r="M1128">
        <f t="shared" si="36"/>
        <v>15974.010000000002</v>
      </c>
    </row>
    <row r="1129" spans="1:13" ht="14" x14ac:dyDescent="0.2">
      <c r="A1129" s="4" t="s">
        <v>2683</v>
      </c>
      <c r="B1129" s="5">
        <v>41044.331250000003</v>
      </c>
      <c r="C1129" s="5">
        <f t="shared" si="35"/>
        <v>1368.1443750000001</v>
      </c>
      <c r="D1129" s="4">
        <v>30</v>
      </c>
      <c r="E1129" s="4" t="s">
        <v>10</v>
      </c>
      <c r="F1129" s="4" t="s">
        <v>2683</v>
      </c>
      <c r="G1129" s="4" t="s">
        <v>12</v>
      </c>
      <c r="H1129" s="4" t="s">
        <v>2684</v>
      </c>
      <c r="I1129" s="4"/>
      <c r="J1129" s="4" t="s">
        <v>2685</v>
      </c>
      <c r="K1129" s="4" t="s">
        <v>2398</v>
      </c>
      <c r="M1129">
        <f t="shared" si="36"/>
        <v>1231.3299375000001</v>
      </c>
    </row>
    <row r="1130" spans="1:13" ht="14" x14ac:dyDescent="0.2">
      <c r="A1130" s="4" t="s">
        <v>2686</v>
      </c>
      <c r="B1130" s="5">
        <v>63619.822743750003</v>
      </c>
      <c r="C1130" s="5">
        <f t="shared" si="35"/>
        <v>1136.06826328125</v>
      </c>
      <c r="D1130" s="4">
        <v>56</v>
      </c>
      <c r="E1130" s="5" t="s">
        <v>10</v>
      </c>
      <c r="F1130" s="4" t="s">
        <v>2687</v>
      </c>
      <c r="G1130" s="4" t="s">
        <v>12</v>
      </c>
      <c r="H1130" s="4" t="s">
        <v>2688</v>
      </c>
      <c r="I1130" s="4" t="s">
        <v>14</v>
      </c>
      <c r="J1130" s="4" t="s">
        <v>2277</v>
      </c>
      <c r="K1130" s="4" t="s">
        <v>16</v>
      </c>
      <c r="M1130">
        <f t="shared" si="36"/>
        <v>1022.461436953125</v>
      </c>
    </row>
    <row r="1131" spans="1:13" ht="14" x14ac:dyDescent="0.2">
      <c r="A1131" s="4" t="s">
        <v>5344</v>
      </c>
      <c r="B1131" s="5">
        <v>72104.90625</v>
      </c>
      <c r="C1131" s="5">
        <f t="shared" si="35"/>
        <v>2403.4968749999998</v>
      </c>
      <c r="D1131" s="4">
        <v>30</v>
      </c>
      <c r="E1131" s="5" t="s">
        <v>10</v>
      </c>
      <c r="F1131" s="4" t="s">
        <v>11</v>
      </c>
      <c r="G1131" s="4" t="s">
        <v>12</v>
      </c>
      <c r="H1131" s="4" t="s">
        <v>13</v>
      </c>
      <c r="I1131" s="4" t="s">
        <v>14</v>
      </c>
      <c r="J1131" s="4" t="s">
        <v>15</v>
      </c>
      <c r="K1131" s="4" t="s">
        <v>16</v>
      </c>
      <c r="M1131">
        <f t="shared" si="36"/>
        <v>2163.1471874999997</v>
      </c>
    </row>
    <row r="1132" spans="1:13" ht="14" x14ac:dyDescent="0.2">
      <c r="A1132" s="4" t="s">
        <v>2689</v>
      </c>
      <c r="B1132" s="5">
        <v>1053.8409375000001</v>
      </c>
      <c r="C1132" s="5">
        <f t="shared" si="35"/>
        <v>1053.8409375000001</v>
      </c>
      <c r="D1132" s="4">
        <v>1</v>
      </c>
      <c r="E1132" s="5" t="s">
        <v>181</v>
      </c>
      <c r="F1132" s="4" t="s">
        <v>2690</v>
      </c>
      <c r="G1132" s="4" t="s">
        <v>20</v>
      </c>
      <c r="H1132" s="4" t="s">
        <v>2691</v>
      </c>
      <c r="I1132" s="4" t="s">
        <v>22</v>
      </c>
      <c r="J1132" s="4" t="s">
        <v>1859</v>
      </c>
      <c r="K1132" s="4" t="s">
        <v>53</v>
      </c>
      <c r="M1132">
        <f t="shared" si="36"/>
        <v>948.45684375000008</v>
      </c>
    </row>
    <row r="1133" spans="1:13" ht="14" x14ac:dyDescent="0.2">
      <c r="A1133" s="4" t="s">
        <v>2692</v>
      </c>
      <c r="B1133" s="5">
        <v>1087.1201250000001</v>
      </c>
      <c r="C1133" s="5">
        <f t="shared" si="35"/>
        <v>1087.1201250000001</v>
      </c>
      <c r="D1133" s="4">
        <v>1</v>
      </c>
      <c r="E1133" s="5" t="s">
        <v>59</v>
      </c>
      <c r="F1133" s="4" t="s">
        <v>381</v>
      </c>
      <c r="G1133" s="4" t="s">
        <v>20</v>
      </c>
      <c r="H1133" s="4" t="s">
        <v>2693</v>
      </c>
      <c r="I1133" s="4" t="s">
        <v>22</v>
      </c>
      <c r="J1133" s="4" t="s">
        <v>1094</v>
      </c>
      <c r="K1133" s="4" t="s">
        <v>53</v>
      </c>
      <c r="M1133">
        <f t="shared" si="36"/>
        <v>978.40811250000013</v>
      </c>
    </row>
    <row r="1134" spans="1:13" ht="14" x14ac:dyDescent="0.2">
      <c r="A1134" s="4" t="s">
        <v>2694</v>
      </c>
      <c r="B1134" s="5">
        <v>7987.005000000001</v>
      </c>
      <c r="C1134" s="5">
        <f t="shared" si="35"/>
        <v>66.558375000000012</v>
      </c>
      <c r="D1134" s="4">
        <v>120</v>
      </c>
      <c r="E1134" s="5" t="s">
        <v>30</v>
      </c>
      <c r="F1134" s="4" t="s">
        <v>2695</v>
      </c>
      <c r="G1134" s="4" t="s">
        <v>20</v>
      </c>
      <c r="H1134" s="4" t="s">
        <v>2696</v>
      </c>
      <c r="I1134" s="4" t="s">
        <v>22</v>
      </c>
      <c r="J1134" s="4" t="s">
        <v>67</v>
      </c>
      <c r="K1134" s="4" t="s">
        <v>34</v>
      </c>
      <c r="M1134">
        <f t="shared" si="36"/>
        <v>59.902537500000008</v>
      </c>
    </row>
    <row r="1135" spans="1:13" ht="14" x14ac:dyDescent="0.2">
      <c r="A1135" s="4" t="s">
        <v>2697</v>
      </c>
      <c r="B1135" s="5">
        <v>2884.1962500000004</v>
      </c>
      <c r="C1135" s="5">
        <f t="shared" si="35"/>
        <v>2884.1962500000004</v>
      </c>
      <c r="D1135" s="4">
        <v>1</v>
      </c>
      <c r="E1135" s="5" t="s">
        <v>59</v>
      </c>
      <c r="F1135" s="4" t="s">
        <v>2695</v>
      </c>
      <c r="G1135" s="4" t="s">
        <v>20</v>
      </c>
      <c r="H1135" s="4" t="s">
        <v>2697</v>
      </c>
      <c r="I1135" s="4" t="s">
        <v>22</v>
      </c>
      <c r="J1135" s="4" t="s">
        <v>1859</v>
      </c>
      <c r="K1135" s="4" t="s">
        <v>34</v>
      </c>
      <c r="M1135">
        <f t="shared" si="36"/>
        <v>2595.7766250000004</v>
      </c>
    </row>
    <row r="1136" spans="1:13" ht="14" x14ac:dyDescent="0.2">
      <c r="A1136" s="4" t="s">
        <v>2698</v>
      </c>
      <c r="B1136" s="5">
        <v>9872.8256250000013</v>
      </c>
      <c r="C1136" s="5">
        <f t="shared" si="35"/>
        <v>98.728256250000015</v>
      </c>
      <c r="D1136" s="4">
        <v>100</v>
      </c>
      <c r="E1136" s="5" t="s">
        <v>30</v>
      </c>
      <c r="F1136" s="4" t="s">
        <v>2699</v>
      </c>
      <c r="G1136" s="4" t="s">
        <v>20</v>
      </c>
      <c r="H1136" s="4" t="s">
        <v>2700</v>
      </c>
      <c r="I1136" s="4" t="s">
        <v>14</v>
      </c>
      <c r="K1136" s="4" t="s">
        <v>34</v>
      </c>
      <c r="M1136">
        <f t="shared" si="36"/>
        <v>88.855430625000011</v>
      </c>
    </row>
    <row r="1137" spans="1:13" ht="14" x14ac:dyDescent="0.2">
      <c r="A1137" s="4" t="s">
        <v>2701</v>
      </c>
      <c r="B1137" s="5">
        <v>2938.5522562500005</v>
      </c>
      <c r="C1137" s="5">
        <f t="shared" si="35"/>
        <v>97.95174187500001</v>
      </c>
      <c r="D1137" s="4">
        <v>30</v>
      </c>
      <c r="E1137" s="5" t="s">
        <v>30</v>
      </c>
      <c r="F1137" s="4" t="s">
        <v>2699</v>
      </c>
      <c r="G1137" s="4" t="s">
        <v>20</v>
      </c>
      <c r="H1137" s="4" t="s">
        <v>2700</v>
      </c>
      <c r="I1137" s="4" t="s">
        <v>14</v>
      </c>
      <c r="K1137" s="4" t="s">
        <v>34</v>
      </c>
      <c r="M1137">
        <f t="shared" si="36"/>
        <v>88.156567687500001</v>
      </c>
    </row>
    <row r="1138" spans="1:13" ht="14" x14ac:dyDescent="0.2">
      <c r="A1138" s="4" t="s">
        <v>2702</v>
      </c>
      <c r="B1138" s="5">
        <v>4659.0862500000003</v>
      </c>
      <c r="C1138" s="5">
        <f t="shared" si="35"/>
        <v>4659.0862500000003</v>
      </c>
      <c r="D1138" s="4">
        <v>1</v>
      </c>
      <c r="E1138" s="5" t="s">
        <v>59</v>
      </c>
      <c r="F1138" s="4" t="s">
        <v>2703</v>
      </c>
      <c r="G1138" s="4" t="s">
        <v>20</v>
      </c>
      <c r="H1138" s="4" t="s">
        <v>2700</v>
      </c>
      <c r="I1138" s="4" t="s">
        <v>14</v>
      </c>
      <c r="J1138" s="4" t="s">
        <v>2315</v>
      </c>
      <c r="K1138" s="4" t="s">
        <v>34</v>
      </c>
      <c r="M1138">
        <f t="shared" si="36"/>
        <v>4193.1776250000003</v>
      </c>
    </row>
    <row r="1139" spans="1:13" ht="14" x14ac:dyDescent="0.2">
      <c r="A1139" s="4" t="s">
        <v>2704</v>
      </c>
      <c r="B1139" s="5">
        <v>15308.426250000002</v>
      </c>
      <c r="C1139" s="5">
        <f t="shared" si="35"/>
        <v>510.28087500000009</v>
      </c>
      <c r="D1139" s="4">
        <v>30</v>
      </c>
      <c r="E1139" s="5" t="s">
        <v>10</v>
      </c>
      <c r="F1139" s="4" t="s">
        <v>2705</v>
      </c>
      <c r="G1139" s="4" t="s">
        <v>20</v>
      </c>
      <c r="H1139" s="4" t="s">
        <v>2706</v>
      </c>
      <c r="I1139" s="4" t="s">
        <v>14</v>
      </c>
      <c r="J1139" s="4" t="s">
        <v>95</v>
      </c>
      <c r="K1139" s="4" t="s">
        <v>34</v>
      </c>
      <c r="M1139">
        <f t="shared" si="36"/>
        <v>459.25278750000007</v>
      </c>
    </row>
    <row r="1140" spans="1:13" ht="14" x14ac:dyDescent="0.2">
      <c r="A1140" s="4" t="s">
        <v>2707</v>
      </c>
      <c r="B1140" s="5">
        <v>14642.842500000001</v>
      </c>
      <c r="C1140" s="5">
        <f t="shared" si="35"/>
        <v>488.09475000000003</v>
      </c>
      <c r="D1140" s="4">
        <v>30</v>
      </c>
      <c r="E1140" s="5" t="s">
        <v>10</v>
      </c>
      <c r="F1140" s="4" t="s">
        <v>2708</v>
      </c>
      <c r="G1140" s="4" t="s">
        <v>20</v>
      </c>
      <c r="H1140" s="4" t="s">
        <v>2709</v>
      </c>
      <c r="I1140" s="4" t="s">
        <v>14</v>
      </c>
      <c r="J1140" s="4" t="s">
        <v>95</v>
      </c>
      <c r="K1140" s="4" t="s">
        <v>34</v>
      </c>
      <c r="M1140">
        <f t="shared" si="36"/>
        <v>439.28527500000001</v>
      </c>
    </row>
    <row r="1141" spans="1:13" ht="14" x14ac:dyDescent="0.2">
      <c r="A1141" s="4" t="s">
        <v>2710</v>
      </c>
      <c r="B1141" s="5">
        <v>12091.438125000001</v>
      </c>
      <c r="C1141" s="5">
        <f t="shared" si="35"/>
        <v>403.04793750000005</v>
      </c>
      <c r="D1141" s="4">
        <v>30</v>
      </c>
      <c r="E1141" s="5" t="s">
        <v>10</v>
      </c>
      <c r="F1141" s="4" t="s">
        <v>1684</v>
      </c>
      <c r="G1141" s="4" t="s">
        <v>12</v>
      </c>
      <c r="H1141" s="4" t="s">
        <v>2711</v>
      </c>
      <c r="I1141" s="4" t="s">
        <v>22</v>
      </c>
      <c r="J1141" s="4" t="s">
        <v>1370</v>
      </c>
      <c r="K1141" s="4" t="s">
        <v>90</v>
      </c>
      <c r="M1141">
        <f t="shared" si="36"/>
        <v>362.74314375000006</v>
      </c>
    </row>
    <row r="1142" spans="1:13" ht="14" x14ac:dyDescent="0.2">
      <c r="A1142" s="4" t="s">
        <v>2712</v>
      </c>
      <c r="B1142" s="5">
        <v>11758.646250000002</v>
      </c>
      <c r="C1142" s="5">
        <f t="shared" si="35"/>
        <v>391.95487500000007</v>
      </c>
      <c r="D1142" s="4">
        <v>30</v>
      </c>
      <c r="E1142" s="5" t="s">
        <v>10</v>
      </c>
      <c r="F1142" s="4" t="s">
        <v>1684</v>
      </c>
      <c r="G1142" s="4" t="s">
        <v>12</v>
      </c>
      <c r="H1142" s="4" t="s">
        <v>2711</v>
      </c>
      <c r="I1142" s="4" t="s">
        <v>22</v>
      </c>
      <c r="J1142" s="4" t="s">
        <v>497</v>
      </c>
      <c r="K1142" s="4" t="s">
        <v>90</v>
      </c>
      <c r="M1142">
        <f t="shared" si="36"/>
        <v>352.75938750000006</v>
      </c>
    </row>
    <row r="1143" spans="1:13" ht="14" x14ac:dyDescent="0.2">
      <c r="A1143" s="4" t="s">
        <v>2713</v>
      </c>
      <c r="B1143" s="5">
        <v>16528.663125000003</v>
      </c>
      <c r="C1143" s="5">
        <f t="shared" si="35"/>
        <v>550.95543750000013</v>
      </c>
      <c r="D1143" s="4">
        <v>30</v>
      </c>
      <c r="E1143" s="5" t="s">
        <v>10</v>
      </c>
      <c r="F1143" s="4" t="s">
        <v>1333</v>
      </c>
      <c r="G1143" s="4" t="s">
        <v>12</v>
      </c>
      <c r="H1143" s="4" t="s">
        <v>2714</v>
      </c>
      <c r="I1143" s="4" t="s">
        <v>22</v>
      </c>
      <c r="J1143" s="4" t="s">
        <v>1331</v>
      </c>
      <c r="K1143" s="4" t="s">
        <v>90</v>
      </c>
      <c r="M1143">
        <f t="shared" si="36"/>
        <v>495.85989375000008</v>
      </c>
    </row>
    <row r="1144" spans="1:13" ht="14" x14ac:dyDescent="0.2">
      <c r="A1144" s="4" t="s">
        <v>2715</v>
      </c>
      <c r="B1144" s="5">
        <v>16528.663125000003</v>
      </c>
      <c r="C1144" s="5">
        <f t="shared" si="35"/>
        <v>550.95543750000013</v>
      </c>
      <c r="D1144" s="4">
        <v>30</v>
      </c>
      <c r="E1144" s="5" t="s">
        <v>10</v>
      </c>
      <c r="F1144" s="4" t="s">
        <v>1337</v>
      </c>
      <c r="G1144" s="4" t="s">
        <v>12</v>
      </c>
      <c r="H1144" s="4" t="s">
        <v>2714</v>
      </c>
      <c r="I1144" s="4" t="s">
        <v>22</v>
      </c>
      <c r="J1144" s="4" t="s">
        <v>2716</v>
      </c>
      <c r="K1144" s="4" t="s">
        <v>90</v>
      </c>
      <c r="M1144">
        <f t="shared" si="36"/>
        <v>495.85989375000008</v>
      </c>
    </row>
    <row r="1145" spans="1:13" ht="14" x14ac:dyDescent="0.2">
      <c r="A1145" s="4" t="s">
        <v>2717</v>
      </c>
      <c r="B1145" s="5">
        <v>13977.258750000001</v>
      </c>
      <c r="C1145" s="5">
        <f t="shared" si="35"/>
        <v>465.90862500000003</v>
      </c>
      <c r="D1145" s="4">
        <v>30</v>
      </c>
      <c r="E1145" s="5" t="s">
        <v>10</v>
      </c>
      <c r="F1145" s="4" t="s">
        <v>1337</v>
      </c>
      <c r="G1145" s="4" t="s">
        <v>12</v>
      </c>
      <c r="H1145" s="4" t="s">
        <v>2714</v>
      </c>
      <c r="I1145" s="4" t="s">
        <v>22</v>
      </c>
      <c r="J1145" s="4" t="s">
        <v>2718</v>
      </c>
      <c r="K1145" s="4" t="s">
        <v>90</v>
      </c>
      <c r="M1145">
        <f t="shared" si="36"/>
        <v>419.31776250000001</v>
      </c>
    </row>
    <row r="1146" spans="1:13" ht="14" x14ac:dyDescent="0.2">
      <c r="A1146" s="4" t="s">
        <v>2719</v>
      </c>
      <c r="B1146" s="5">
        <v>4326.2943750000004</v>
      </c>
      <c r="C1146" s="5">
        <f t="shared" si="35"/>
        <v>4326.2943750000004</v>
      </c>
      <c r="D1146" s="4">
        <v>1</v>
      </c>
      <c r="E1146" s="5" t="s">
        <v>874</v>
      </c>
      <c r="F1146" s="4" t="s">
        <v>2720</v>
      </c>
      <c r="G1146" s="4" t="s">
        <v>20</v>
      </c>
      <c r="H1146" s="4" t="s">
        <v>2721</v>
      </c>
      <c r="I1146" s="4" t="s">
        <v>22</v>
      </c>
      <c r="K1146" s="4" t="s">
        <v>23</v>
      </c>
      <c r="M1146">
        <f t="shared" si="36"/>
        <v>3893.6649375000002</v>
      </c>
    </row>
    <row r="1147" spans="1:13" ht="14" x14ac:dyDescent="0.2">
      <c r="A1147" s="4" t="s">
        <v>2721</v>
      </c>
      <c r="B1147" s="5">
        <v>5768.3925000000008</v>
      </c>
      <c r="C1147" s="5">
        <f t="shared" si="35"/>
        <v>5768.3925000000008</v>
      </c>
      <c r="D1147" s="4">
        <v>1</v>
      </c>
      <c r="E1147" s="5" t="s">
        <v>874</v>
      </c>
      <c r="F1147" s="4" t="s">
        <v>2722</v>
      </c>
      <c r="G1147" s="4" t="s">
        <v>20</v>
      </c>
      <c r="H1147" s="4" t="s">
        <v>2721</v>
      </c>
      <c r="I1147" s="4" t="s">
        <v>22</v>
      </c>
      <c r="K1147" s="4" t="s">
        <v>23</v>
      </c>
      <c r="M1147">
        <f t="shared" si="36"/>
        <v>5191.5532500000008</v>
      </c>
    </row>
    <row r="1148" spans="1:13" ht="14" x14ac:dyDescent="0.2">
      <c r="A1148" s="4" t="s">
        <v>2723</v>
      </c>
      <c r="B1148" s="5">
        <v>998.37562500000013</v>
      </c>
      <c r="C1148" s="5">
        <f t="shared" si="35"/>
        <v>33.279187500000006</v>
      </c>
      <c r="D1148" s="4">
        <v>30</v>
      </c>
      <c r="E1148" s="5" t="s">
        <v>10</v>
      </c>
      <c r="F1148" s="4" t="s">
        <v>2724</v>
      </c>
      <c r="G1148" s="4" t="s">
        <v>12</v>
      </c>
      <c r="H1148" s="4" t="s">
        <v>2725</v>
      </c>
      <c r="I1148" s="4" t="s">
        <v>22</v>
      </c>
      <c r="J1148" s="4" t="s">
        <v>2718</v>
      </c>
      <c r="K1148" s="4" t="s">
        <v>90</v>
      </c>
      <c r="M1148">
        <f t="shared" si="36"/>
        <v>29.951268750000004</v>
      </c>
    </row>
    <row r="1149" spans="1:13" ht="14" x14ac:dyDescent="0.2">
      <c r="A1149" s="4" t="s">
        <v>2726</v>
      </c>
      <c r="B1149" s="5">
        <v>4170.9915000000001</v>
      </c>
      <c r="C1149" s="5">
        <f t="shared" si="35"/>
        <v>417.09915000000001</v>
      </c>
      <c r="D1149" s="4">
        <v>10</v>
      </c>
      <c r="E1149" s="5" t="s">
        <v>10</v>
      </c>
      <c r="F1149" s="4" t="s">
        <v>2727</v>
      </c>
      <c r="G1149" s="4" t="s">
        <v>20</v>
      </c>
      <c r="H1149" s="4" t="s">
        <v>2728</v>
      </c>
      <c r="I1149" s="4" t="s">
        <v>22</v>
      </c>
      <c r="J1149" s="4" t="s">
        <v>207</v>
      </c>
      <c r="K1149" s="4" t="s">
        <v>53</v>
      </c>
      <c r="M1149">
        <f t="shared" si="36"/>
        <v>375.38923499999999</v>
      </c>
    </row>
    <row r="1150" spans="1:13" ht="14" x14ac:dyDescent="0.2">
      <c r="A1150" s="4" t="s">
        <v>2729</v>
      </c>
      <c r="B1150" s="5">
        <v>3106.0575000000003</v>
      </c>
      <c r="C1150" s="5">
        <f t="shared" si="35"/>
        <v>3106.0575000000003</v>
      </c>
      <c r="D1150" s="4">
        <v>1</v>
      </c>
      <c r="E1150" s="5" t="s">
        <v>181</v>
      </c>
      <c r="F1150" s="4" t="s">
        <v>250</v>
      </c>
      <c r="G1150" s="4" t="s">
        <v>20</v>
      </c>
      <c r="H1150" s="4" t="s">
        <v>2728</v>
      </c>
      <c r="I1150" s="4" t="s">
        <v>22</v>
      </c>
      <c r="J1150" s="4" t="s">
        <v>1094</v>
      </c>
      <c r="K1150" s="4" t="s">
        <v>53</v>
      </c>
      <c r="M1150">
        <f t="shared" si="36"/>
        <v>2795.4517500000002</v>
      </c>
    </row>
    <row r="1151" spans="1:13" ht="14" x14ac:dyDescent="0.2">
      <c r="A1151" s="4" t="s">
        <v>2730</v>
      </c>
      <c r="B1151" s="5">
        <v>5324.67</v>
      </c>
      <c r="C1151" s="5">
        <f t="shared" si="35"/>
        <v>5324.67</v>
      </c>
      <c r="D1151" s="4">
        <v>1</v>
      </c>
      <c r="E1151" s="5" t="s">
        <v>18</v>
      </c>
      <c r="F1151" s="4" t="s">
        <v>2731</v>
      </c>
      <c r="G1151" s="4" t="s">
        <v>20</v>
      </c>
      <c r="H1151" s="4" t="s">
        <v>2731</v>
      </c>
      <c r="I1151" s="4" t="s">
        <v>14</v>
      </c>
      <c r="J1151" s="8">
        <v>2.9999999999999997E-4</v>
      </c>
      <c r="K1151" s="4" t="s">
        <v>1575</v>
      </c>
      <c r="M1151">
        <f t="shared" si="36"/>
        <v>4792.2030000000004</v>
      </c>
    </row>
    <row r="1152" spans="1:13" ht="14" x14ac:dyDescent="0.2">
      <c r="A1152" s="4" t="s">
        <v>2732</v>
      </c>
      <c r="B1152" s="5">
        <v>4104.4331250000005</v>
      </c>
      <c r="C1152" s="5">
        <f t="shared" si="35"/>
        <v>4104.4331250000005</v>
      </c>
      <c r="D1152" s="4">
        <v>1</v>
      </c>
      <c r="E1152" s="5" t="s">
        <v>55</v>
      </c>
      <c r="F1152" s="4" t="s">
        <v>2733</v>
      </c>
      <c r="G1152" s="4" t="s">
        <v>20</v>
      </c>
      <c r="H1152" s="4" t="s">
        <v>2732</v>
      </c>
      <c r="I1152" s="4" t="s">
        <v>14</v>
      </c>
      <c r="J1152" s="8">
        <v>1E-3</v>
      </c>
      <c r="K1152" s="4" t="s">
        <v>786</v>
      </c>
      <c r="M1152">
        <f t="shared" si="36"/>
        <v>3693.9898125000004</v>
      </c>
    </row>
    <row r="1153" spans="1:13" ht="14" x14ac:dyDescent="0.2">
      <c r="A1153" s="4" t="s">
        <v>2734</v>
      </c>
      <c r="B1153" s="5">
        <v>19677.983568750002</v>
      </c>
      <c r="C1153" s="5">
        <f t="shared" si="35"/>
        <v>3935.5967137500002</v>
      </c>
      <c r="D1153" s="4">
        <v>5</v>
      </c>
      <c r="E1153" s="5" t="s">
        <v>10</v>
      </c>
      <c r="F1153" s="4" t="s">
        <v>2733</v>
      </c>
      <c r="G1153" s="4" t="s">
        <v>20</v>
      </c>
      <c r="H1153" s="4" t="s">
        <v>2735</v>
      </c>
      <c r="I1153" s="4" t="s">
        <v>14</v>
      </c>
      <c r="J1153" s="8">
        <v>1E-3</v>
      </c>
      <c r="K1153" s="4" t="s">
        <v>786</v>
      </c>
      <c r="M1153">
        <f t="shared" si="36"/>
        <v>3542.0370423750001</v>
      </c>
    </row>
    <row r="1154" spans="1:13" ht="14" x14ac:dyDescent="0.2">
      <c r="A1154" s="4" t="s">
        <v>2736</v>
      </c>
      <c r="B1154" s="5">
        <v>31060.575000000004</v>
      </c>
      <c r="C1154" s="5">
        <f t="shared" si="35"/>
        <v>31060.575000000004</v>
      </c>
      <c r="D1154" s="4">
        <v>1</v>
      </c>
      <c r="E1154" s="5" t="s">
        <v>59</v>
      </c>
      <c r="F1154" s="4" t="s">
        <v>2737</v>
      </c>
      <c r="G1154" s="4" t="s">
        <v>12</v>
      </c>
      <c r="H1154" s="4" t="s">
        <v>2738</v>
      </c>
      <c r="I1154" s="4" t="s">
        <v>14</v>
      </c>
      <c r="J1154" s="4" t="s">
        <v>1898</v>
      </c>
      <c r="K1154" s="4" t="s">
        <v>227</v>
      </c>
      <c r="M1154">
        <f t="shared" si="36"/>
        <v>27954.517500000002</v>
      </c>
    </row>
    <row r="1155" spans="1:13" ht="14" x14ac:dyDescent="0.2">
      <c r="A1155" s="4" t="s">
        <v>2739</v>
      </c>
      <c r="B1155" s="5">
        <v>6877.6987500000005</v>
      </c>
      <c r="C1155" s="5">
        <f t="shared" ref="C1155:C1218" si="37">(B1155/D1155)</f>
        <v>687.76987500000007</v>
      </c>
      <c r="D1155" s="4">
        <v>10</v>
      </c>
      <c r="E1155" s="5" t="s">
        <v>10</v>
      </c>
      <c r="F1155" s="4" t="s">
        <v>2737</v>
      </c>
      <c r="G1155" s="4" t="s">
        <v>12</v>
      </c>
      <c r="H1155" s="4" t="s">
        <v>2740</v>
      </c>
      <c r="I1155" s="4" t="s">
        <v>14</v>
      </c>
      <c r="J1155" s="4" t="s">
        <v>67</v>
      </c>
      <c r="K1155" s="4" t="s">
        <v>227</v>
      </c>
      <c r="M1155">
        <f t="shared" si="36"/>
        <v>618.99288750000005</v>
      </c>
    </row>
    <row r="1156" spans="1:13" ht="14" x14ac:dyDescent="0.2">
      <c r="A1156" s="4" t="s">
        <v>2741</v>
      </c>
      <c r="B1156" s="5">
        <v>8985.3806250000016</v>
      </c>
      <c r="C1156" s="5">
        <f t="shared" si="37"/>
        <v>898.53806250000014</v>
      </c>
      <c r="D1156" s="4">
        <v>10</v>
      </c>
      <c r="E1156" s="5" t="s">
        <v>10</v>
      </c>
      <c r="F1156" s="4" t="s">
        <v>2742</v>
      </c>
      <c r="G1156" s="4" t="s">
        <v>12</v>
      </c>
      <c r="H1156" s="4" t="s">
        <v>2740</v>
      </c>
      <c r="I1156" s="4" t="s">
        <v>14</v>
      </c>
      <c r="J1156" s="4" t="s">
        <v>351</v>
      </c>
      <c r="K1156" s="4" t="s">
        <v>227</v>
      </c>
      <c r="M1156">
        <f t="shared" si="36"/>
        <v>808.68425625000009</v>
      </c>
    </row>
    <row r="1157" spans="1:13" ht="14" x14ac:dyDescent="0.2">
      <c r="A1157" s="4" t="s">
        <v>2743</v>
      </c>
      <c r="B1157" s="5">
        <v>7754.050687500001</v>
      </c>
      <c r="C1157" s="5">
        <f t="shared" si="37"/>
        <v>775.40506875000005</v>
      </c>
      <c r="D1157" s="4">
        <v>10</v>
      </c>
      <c r="E1157" s="5" t="s">
        <v>10</v>
      </c>
      <c r="F1157" s="4" t="s">
        <v>2742</v>
      </c>
      <c r="G1157" s="4" t="s">
        <v>12</v>
      </c>
      <c r="H1157" s="4" t="s">
        <v>2740</v>
      </c>
      <c r="I1157" s="4" t="s">
        <v>14</v>
      </c>
      <c r="J1157" s="4" t="s">
        <v>207</v>
      </c>
      <c r="K1157" s="4" t="s">
        <v>227</v>
      </c>
      <c r="M1157">
        <f t="shared" si="36"/>
        <v>697.86456187500005</v>
      </c>
    </row>
    <row r="1158" spans="1:13" ht="14" x14ac:dyDescent="0.2">
      <c r="A1158" s="4" t="s">
        <v>2744</v>
      </c>
      <c r="B1158" s="5">
        <v>4415.0388750000002</v>
      </c>
      <c r="C1158" s="5">
        <f t="shared" si="37"/>
        <v>4415.0388750000002</v>
      </c>
      <c r="D1158" s="4">
        <v>1</v>
      </c>
      <c r="E1158" s="5" t="s">
        <v>124</v>
      </c>
      <c r="F1158" s="4" t="s">
        <v>2745</v>
      </c>
      <c r="G1158" s="4" t="s">
        <v>20</v>
      </c>
      <c r="H1158" s="4" t="s">
        <v>2746</v>
      </c>
      <c r="I1158" s="4" t="s">
        <v>22</v>
      </c>
      <c r="J1158" s="4" t="s">
        <v>1898</v>
      </c>
      <c r="K1158" s="4" t="s">
        <v>2747</v>
      </c>
      <c r="M1158">
        <f t="shared" si="36"/>
        <v>3973.5349875000002</v>
      </c>
    </row>
    <row r="1159" spans="1:13" ht="14" x14ac:dyDescent="0.2">
      <c r="A1159" s="4" t="s">
        <v>2748</v>
      </c>
      <c r="B1159" s="5">
        <v>5370.1515562499999</v>
      </c>
      <c r="C1159" s="5">
        <f t="shared" si="37"/>
        <v>268.50757781250002</v>
      </c>
      <c r="D1159" s="4">
        <v>20</v>
      </c>
      <c r="E1159" s="5" t="s">
        <v>10</v>
      </c>
      <c r="F1159" s="4" t="s">
        <v>2749</v>
      </c>
      <c r="G1159" s="4" t="s">
        <v>20</v>
      </c>
      <c r="H1159" s="4" t="s">
        <v>2750</v>
      </c>
      <c r="I1159" s="4" t="s">
        <v>14</v>
      </c>
      <c r="J1159" s="4" t="s">
        <v>15</v>
      </c>
      <c r="K1159" s="4" t="s">
        <v>87</v>
      </c>
      <c r="M1159">
        <f t="shared" si="36"/>
        <v>241.65682003125002</v>
      </c>
    </row>
    <row r="1160" spans="1:13" ht="14" x14ac:dyDescent="0.2">
      <c r="A1160" s="4" t="s">
        <v>2751</v>
      </c>
      <c r="B1160" s="5">
        <v>1841.4483750000002</v>
      </c>
      <c r="C1160" s="5">
        <f t="shared" si="37"/>
        <v>1841.4483750000002</v>
      </c>
      <c r="D1160" s="4">
        <v>1</v>
      </c>
      <c r="E1160" s="5" t="s">
        <v>55</v>
      </c>
      <c r="F1160" s="4" t="s">
        <v>2249</v>
      </c>
      <c r="G1160" s="4" t="s">
        <v>20</v>
      </c>
      <c r="H1160" s="4" t="s">
        <v>2752</v>
      </c>
      <c r="I1160" s="4" t="s">
        <v>14</v>
      </c>
      <c r="K1160" s="4" t="s">
        <v>103</v>
      </c>
      <c r="M1160">
        <f t="shared" si="36"/>
        <v>1657.3035375000002</v>
      </c>
    </row>
    <row r="1161" spans="1:13" ht="14" x14ac:dyDescent="0.2">
      <c r="A1161" s="4" t="s">
        <v>2753</v>
      </c>
      <c r="B1161" s="5">
        <v>2995.1268750000004</v>
      </c>
      <c r="C1161" s="5">
        <f t="shared" si="37"/>
        <v>299.51268750000003</v>
      </c>
      <c r="D1161" s="4">
        <v>10</v>
      </c>
      <c r="E1161" s="5" t="s">
        <v>10</v>
      </c>
      <c r="F1161" s="4" t="s">
        <v>2249</v>
      </c>
      <c r="G1161" s="4" t="s">
        <v>20</v>
      </c>
      <c r="H1161" s="4" t="s">
        <v>2249</v>
      </c>
      <c r="I1161" s="4" t="s">
        <v>22</v>
      </c>
      <c r="J1161" s="4" t="s">
        <v>95</v>
      </c>
      <c r="K1161" s="4" t="s">
        <v>103</v>
      </c>
      <c r="M1161">
        <f t="shared" si="36"/>
        <v>269.56141875000003</v>
      </c>
    </row>
    <row r="1162" spans="1:13" ht="14" x14ac:dyDescent="0.2">
      <c r="A1162" s="4" t="s">
        <v>2754</v>
      </c>
      <c r="B1162" s="5">
        <v>10782.456749999999</v>
      </c>
      <c r="C1162" s="5">
        <f t="shared" si="37"/>
        <v>107.8245675</v>
      </c>
      <c r="D1162" s="4">
        <v>100</v>
      </c>
      <c r="E1162" s="5" t="s">
        <v>10</v>
      </c>
      <c r="F1162" s="4" t="s">
        <v>2249</v>
      </c>
      <c r="G1162" s="4" t="s">
        <v>20</v>
      </c>
      <c r="H1162" s="4" t="s">
        <v>2755</v>
      </c>
      <c r="I1162" s="4" t="s">
        <v>22</v>
      </c>
      <c r="J1162" s="4" t="s">
        <v>95</v>
      </c>
      <c r="K1162" s="4" t="s">
        <v>103</v>
      </c>
      <c r="M1162">
        <f t="shared" si="36"/>
        <v>97.042110750000006</v>
      </c>
    </row>
    <row r="1163" spans="1:13" ht="14" x14ac:dyDescent="0.2">
      <c r="A1163" s="4" t="s">
        <v>2756</v>
      </c>
      <c r="B1163" s="5">
        <v>9347.0144624999994</v>
      </c>
      <c r="C1163" s="5">
        <f t="shared" si="37"/>
        <v>93.470144624999989</v>
      </c>
      <c r="D1163" s="4">
        <v>100</v>
      </c>
      <c r="E1163" s="5" t="s">
        <v>10</v>
      </c>
      <c r="F1163" s="4" t="s">
        <v>2249</v>
      </c>
      <c r="G1163" s="4" t="s">
        <v>20</v>
      </c>
      <c r="H1163" s="4" t="s">
        <v>2249</v>
      </c>
      <c r="I1163" s="4" t="s">
        <v>22</v>
      </c>
      <c r="K1163" s="4" t="s">
        <v>103</v>
      </c>
      <c r="M1163">
        <f t="shared" si="36"/>
        <v>84.12313016249999</v>
      </c>
    </row>
    <row r="1164" spans="1:13" ht="14" x14ac:dyDescent="0.2">
      <c r="A1164" s="4" t="s">
        <v>2757</v>
      </c>
      <c r="B1164" s="5">
        <v>4991.8781250000002</v>
      </c>
      <c r="C1164" s="5">
        <f t="shared" si="37"/>
        <v>4991.8781250000002</v>
      </c>
      <c r="D1164" s="4">
        <v>1</v>
      </c>
      <c r="E1164" s="5" t="s">
        <v>55</v>
      </c>
      <c r="F1164" s="4" t="s">
        <v>2249</v>
      </c>
      <c r="G1164" s="4" t="s">
        <v>20</v>
      </c>
      <c r="H1164" s="4" t="s">
        <v>2758</v>
      </c>
      <c r="I1164" s="4" t="s">
        <v>22</v>
      </c>
      <c r="J1164" s="6">
        <v>0.02</v>
      </c>
      <c r="K1164" s="4" t="s">
        <v>103</v>
      </c>
      <c r="M1164">
        <f t="shared" si="36"/>
        <v>4492.6903124999999</v>
      </c>
    </row>
    <row r="1165" spans="1:13" ht="14" x14ac:dyDescent="0.2">
      <c r="A1165" s="4" t="s">
        <v>2759</v>
      </c>
      <c r="B1165" s="5">
        <v>2975.1593625000005</v>
      </c>
      <c r="C1165" s="5">
        <f t="shared" si="37"/>
        <v>297.51593625000004</v>
      </c>
      <c r="D1165" s="4">
        <v>10</v>
      </c>
      <c r="E1165" s="5" t="s">
        <v>10</v>
      </c>
      <c r="F1165" s="4" t="s">
        <v>2249</v>
      </c>
      <c r="G1165" s="4" t="s">
        <v>20</v>
      </c>
      <c r="H1165" s="4" t="s">
        <v>2758</v>
      </c>
      <c r="I1165" s="4" t="s">
        <v>22</v>
      </c>
      <c r="J1165" s="4" t="s">
        <v>95</v>
      </c>
      <c r="K1165" s="4" t="s">
        <v>53</v>
      </c>
      <c r="M1165">
        <f t="shared" si="36"/>
        <v>267.76434262500004</v>
      </c>
    </row>
    <row r="1166" spans="1:13" ht="14" x14ac:dyDescent="0.2">
      <c r="A1166" s="4" t="s">
        <v>2760</v>
      </c>
      <c r="B1166" s="5">
        <v>4193.1776250000003</v>
      </c>
      <c r="C1166" s="5">
        <f t="shared" si="37"/>
        <v>4193.1776250000003</v>
      </c>
      <c r="D1166" s="4">
        <v>1</v>
      </c>
      <c r="E1166" s="5" t="s">
        <v>874</v>
      </c>
      <c r="F1166" s="4" t="s">
        <v>2760</v>
      </c>
      <c r="G1166" s="4" t="s">
        <v>20</v>
      </c>
      <c r="H1166" s="4" t="s">
        <v>2760</v>
      </c>
      <c r="I1166" s="4" t="s">
        <v>22</v>
      </c>
      <c r="J1166" s="8">
        <v>2.5000000000000001E-2</v>
      </c>
      <c r="K1166" s="4" t="s">
        <v>87</v>
      </c>
      <c r="M1166">
        <f t="shared" si="36"/>
        <v>3773.8598625000004</v>
      </c>
    </row>
    <row r="1167" spans="1:13" ht="14" x14ac:dyDescent="0.2">
      <c r="A1167" s="4" t="s">
        <v>2761</v>
      </c>
      <c r="B1167" s="5">
        <v>3984.6280500000003</v>
      </c>
      <c r="C1167" s="5">
        <f t="shared" si="37"/>
        <v>284.61628928571429</v>
      </c>
      <c r="D1167" s="4">
        <v>14</v>
      </c>
      <c r="E1167" s="5" t="s">
        <v>10</v>
      </c>
      <c r="F1167" s="4" t="s">
        <v>2061</v>
      </c>
      <c r="G1167" s="4" t="s">
        <v>20</v>
      </c>
      <c r="H1167" s="4" t="s">
        <v>2762</v>
      </c>
      <c r="I1167" s="4" t="s">
        <v>14</v>
      </c>
      <c r="J1167" s="4" t="s">
        <v>148</v>
      </c>
      <c r="K1167" s="4" t="s">
        <v>87</v>
      </c>
      <c r="M1167">
        <f t="shared" si="36"/>
        <v>256.15466035714286</v>
      </c>
    </row>
    <row r="1168" spans="1:13" ht="14" x14ac:dyDescent="0.2">
      <c r="A1168" s="4" t="s">
        <v>2763</v>
      </c>
      <c r="B1168" s="5">
        <v>1908.00675</v>
      </c>
      <c r="C1168" s="5">
        <f t="shared" si="37"/>
        <v>1908.00675</v>
      </c>
      <c r="D1168" s="4">
        <v>1</v>
      </c>
      <c r="E1168" s="5" t="s">
        <v>55</v>
      </c>
      <c r="F1168" s="4" t="s">
        <v>2249</v>
      </c>
      <c r="G1168" s="4" t="s">
        <v>20</v>
      </c>
      <c r="H1168" s="4" t="s">
        <v>2764</v>
      </c>
      <c r="I1168" s="4" t="s">
        <v>22</v>
      </c>
      <c r="K1168" s="4" t="s">
        <v>103</v>
      </c>
      <c r="M1168">
        <f t="shared" si="36"/>
        <v>1717.2060750000001</v>
      </c>
    </row>
    <row r="1169" spans="1:25" ht="14" x14ac:dyDescent="0.2">
      <c r="A1169" s="4" t="s">
        <v>2765</v>
      </c>
      <c r="B1169" s="5">
        <v>4437.2250000000004</v>
      </c>
      <c r="C1169" s="5">
        <f t="shared" si="37"/>
        <v>4437.2250000000004</v>
      </c>
      <c r="D1169" s="4">
        <v>1</v>
      </c>
      <c r="E1169" s="5" t="s">
        <v>59</v>
      </c>
      <c r="F1169" s="4" t="s">
        <v>250</v>
      </c>
      <c r="G1169" s="4" t="s">
        <v>20</v>
      </c>
      <c r="H1169" s="4" t="s">
        <v>2766</v>
      </c>
      <c r="I1169" s="4" t="s">
        <v>22</v>
      </c>
      <c r="J1169" s="4" t="s">
        <v>260</v>
      </c>
      <c r="K1169" s="4" t="s">
        <v>53</v>
      </c>
      <c r="M1169">
        <f t="shared" si="36"/>
        <v>3993.5025000000005</v>
      </c>
    </row>
    <row r="1170" spans="1:25" ht="14" x14ac:dyDescent="0.2">
      <c r="A1170" s="4" t="s">
        <v>2767</v>
      </c>
      <c r="B1170" s="5">
        <v>4991.8781250000002</v>
      </c>
      <c r="C1170" s="5">
        <f t="shared" si="37"/>
        <v>499.18781250000001</v>
      </c>
      <c r="D1170" s="4">
        <v>10</v>
      </c>
      <c r="E1170" s="5" t="s">
        <v>10</v>
      </c>
      <c r="F1170" s="4" t="s">
        <v>250</v>
      </c>
      <c r="G1170" s="4" t="s">
        <v>20</v>
      </c>
      <c r="H1170" s="4" t="s">
        <v>2768</v>
      </c>
      <c r="I1170" s="4" t="s">
        <v>22</v>
      </c>
      <c r="J1170" s="4" t="s">
        <v>67</v>
      </c>
      <c r="K1170" s="4" t="s">
        <v>53</v>
      </c>
      <c r="M1170">
        <f t="shared" si="36"/>
        <v>449.26903125000001</v>
      </c>
    </row>
    <row r="1171" spans="1:25" ht="14" x14ac:dyDescent="0.2">
      <c r="A1171" s="4" t="s">
        <v>2769</v>
      </c>
      <c r="B1171" s="5">
        <v>4991.8781250000002</v>
      </c>
      <c r="C1171" s="5">
        <f t="shared" si="37"/>
        <v>499.18781250000001</v>
      </c>
      <c r="D1171" s="4">
        <v>10</v>
      </c>
      <c r="E1171" s="5" t="s">
        <v>10</v>
      </c>
      <c r="F1171" s="4" t="s">
        <v>250</v>
      </c>
      <c r="G1171" s="4" t="s">
        <v>20</v>
      </c>
      <c r="H1171" s="4" t="s">
        <v>2768</v>
      </c>
      <c r="I1171" s="4" t="s">
        <v>22</v>
      </c>
      <c r="J1171" s="4" t="s">
        <v>207</v>
      </c>
      <c r="K1171" s="4" t="s">
        <v>53</v>
      </c>
      <c r="M1171">
        <f t="shared" si="36"/>
        <v>449.26903125000001</v>
      </c>
    </row>
    <row r="1172" spans="1:25" ht="14" x14ac:dyDescent="0.2">
      <c r="A1172" s="7" t="s">
        <v>5345</v>
      </c>
      <c r="B1172" s="10">
        <v>4215.3637500000004</v>
      </c>
      <c r="C1172" s="5">
        <f t="shared" si="37"/>
        <v>4215.3637500000004</v>
      </c>
      <c r="D1172" s="9">
        <v>1</v>
      </c>
      <c r="E1172" s="10" t="s">
        <v>5229</v>
      </c>
      <c r="F1172" s="7" t="s">
        <v>5346</v>
      </c>
      <c r="G1172" s="7" t="s">
        <v>20</v>
      </c>
      <c r="H1172" s="7" t="s">
        <v>5347</v>
      </c>
      <c r="I1172" s="4" t="s">
        <v>22</v>
      </c>
      <c r="J1172" s="7" t="s">
        <v>2315</v>
      </c>
      <c r="K1172" s="7" t="s">
        <v>403</v>
      </c>
      <c r="L1172" s="4"/>
      <c r="M1172">
        <f t="shared" si="36"/>
        <v>3793.8273750000003</v>
      </c>
      <c r="N1172" s="3"/>
      <c r="O1172" s="3"/>
      <c r="P1172" s="3"/>
      <c r="Q1172" s="2"/>
      <c r="R1172" s="2"/>
      <c r="S1172" s="2"/>
      <c r="T1172" s="2"/>
      <c r="U1172" s="2"/>
      <c r="V1172" s="2"/>
      <c r="W1172" s="2"/>
      <c r="X1172" s="2"/>
      <c r="Y1172" s="2"/>
    </row>
    <row r="1173" spans="1:25" ht="14" x14ac:dyDescent="0.2">
      <c r="A1173" s="7" t="s">
        <v>5348</v>
      </c>
      <c r="B1173" s="10">
        <v>4659.0862500000003</v>
      </c>
      <c r="C1173" s="5">
        <f t="shared" si="37"/>
        <v>4659.0862500000003</v>
      </c>
      <c r="D1173" s="9">
        <v>1</v>
      </c>
      <c r="E1173" s="10" t="s">
        <v>5329</v>
      </c>
      <c r="F1173" s="7" t="s">
        <v>1541</v>
      </c>
      <c r="G1173" s="7" t="s">
        <v>20</v>
      </c>
      <c r="H1173" s="7" t="s">
        <v>5349</v>
      </c>
      <c r="I1173" s="4" t="s">
        <v>22</v>
      </c>
      <c r="J1173" s="7" t="s">
        <v>1936</v>
      </c>
      <c r="K1173" s="7" t="s">
        <v>406</v>
      </c>
      <c r="L1173" s="4"/>
      <c r="M1173">
        <f t="shared" si="36"/>
        <v>4193.1776250000003</v>
      </c>
      <c r="N1173" s="3"/>
      <c r="O1173" s="3"/>
      <c r="P1173" s="3"/>
      <c r="Q1173" s="2"/>
      <c r="R1173" s="2"/>
      <c r="S1173" s="2"/>
      <c r="T1173" s="2"/>
      <c r="U1173" s="2"/>
      <c r="V1173" s="2"/>
      <c r="W1173" s="2"/>
      <c r="X1173" s="2"/>
      <c r="Y1173" s="2"/>
    </row>
    <row r="1174" spans="1:25" ht="14" x14ac:dyDescent="0.2">
      <c r="A1174" s="4" t="s">
        <v>2773</v>
      </c>
      <c r="B1174" s="5">
        <v>4215.3637500000004</v>
      </c>
      <c r="C1174" s="5">
        <f t="shared" si="37"/>
        <v>602.19482142857146</v>
      </c>
      <c r="D1174" s="4">
        <v>7</v>
      </c>
      <c r="E1174" s="5" t="s">
        <v>257</v>
      </c>
      <c r="F1174" s="4" t="s">
        <v>2770</v>
      </c>
      <c r="G1174" s="4" t="s">
        <v>20</v>
      </c>
      <c r="H1174" s="4" t="s">
        <v>2771</v>
      </c>
      <c r="I1174" s="4" t="s">
        <v>22</v>
      </c>
      <c r="J1174" s="4" t="s">
        <v>2772</v>
      </c>
      <c r="K1174" s="4" t="s">
        <v>53</v>
      </c>
      <c r="M1174">
        <f t="shared" si="36"/>
        <v>541.97533928571431</v>
      </c>
    </row>
    <row r="1175" spans="1:25" ht="14" x14ac:dyDescent="0.2">
      <c r="A1175" s="4" t="s">
        <v>2774</v>
      </c>
      <c r="B1175" s="5">
        <v>6101.1843750000007</v>
      </c>
      <c r="C1175" s="5">
        <f t="shared" si="37"/>
        <v>1016.8640625000002</v>
      </c>
      <c r="D1175" s="4">
        <v>6</v>
      </c>
      <c r="E1175" s="5" t="s">
        <v>1265</v>
      </c>
      <c r="F1175" s="4" t="s">
        <v>2775</v>
      </c>
      <c r="G1175" s="4" t="s">
        <v>20</v>
      </c>
      <c r="H1175" s="4" t="s">
        <v>2774</v>
      </c>
      <c r="I1175" s="4" t="s">
        <v>14</v>
      </c>
      <c r="J1175" s="4" t="s">
        <v>2776</v>
      </c>
      <c r="K1175" s="4" t="s">
        <v>23</v>
      </c>
      <c r="M1175">
        <f t="shared" si="36"/>
        <v>915.17765625000015</v>
      </c>
    </row>
    <row r="1176" spans="1:25" ht="14" x14ac:dyDescent="0.2">
      <c r="A1176" s="7" t="s">
        <v>5350</v>
      </c>
      <c r="B1176" s="10">
        <v>22075.194375000003</v>
      </c>
      <c r="C1176" s="5">
        <f t="shared" si="37"/>
        <v>22075.194375000003</v>
      </c>
      <c r="D1176" s="9">
        <v>1</v>
      </c>
      <c r="E1176" s="10" t="s">
        <v>25</v>
      </c>
      <c r="F1176" s="7" t="s">
        <v>5351</v>
      </c>
      <c r="H1176" s="7" t="s">
        <v>5351</v>
      </c>
      <c r="J1176" s="7" t="s">
        <v>5352</v>
      </c>
      <c r="K1176" s="7" t="s">
        <v>28</v>
      </c>
      <c r="M1176">
        <f t="shared" si="36"/>
        <v>19867.674937500004</v>
      </c>
    </row>
    <row r="1177" spans="1:25" ht="14" x14ac:dyDescent="0.2">
      <c r="A1177" s="4" t="s">
        <v>2777</v>
      </c>
      <c r="B1177" s="5">
        <v>31060.575000000004</v>
      </c>
      <c r="C1177" s="5">
        <f t="shared" si="37"/>
        <v>517.6762500000001</v>
      </c>
      <c r="D1177" s="4">
        <v>60</v>
      </c>
      <c r="E1177" s="5" t="s">
        <v>10</v>
      </c>
      <c r="F1177" s="4" t="s">
        <v>2778</v>
      </c>
      <c r="G1177" s="4" t="s">
        <v>12</v>
      </c>
      <c r="H1177" s="4" t="s">
        <v>2779</v>
      </c>
      <c r="I1177" s="4" t="s">
        <v>22</v>
      </c>
      <c r="J1177" s="4" t="s">
        <v>2780</v>
      </c>
      <c r="K1177" s="4" t="s">
        <v>16</v>
      </c>
      <c r="M1177">
        <f t="shared" si="36"/>
        <v>465.90862500000009</v>
      </c>
    </row>
    <row r="1178" spans="1:25" ht="14" x14ac:dyDescent="0.2">
      <c r="A1178" s="4" t="s">
        <v>2781</v>
      </c>
      <c r="B1178" s="5">
        <v>29036.091093750001</v>
      </c>
      <c r="C1178" s="5">
        <f t="shared" si="37"/>
        <v>967.869703125</v>
      </c>
      <c r="D1178" s="4">
        <v>30</v>
      </c>
      <c r="E1178" s="5" t="s">
        <v>10</v>
      </c>
      <c r="F1178" s="4" t="s">
        <v>2778</v>
      </c>
      <c r="G1178" s="4" t="s">
        <v>12</v>
      </c>
      <c r="H1178" s="4" t="s">
        <v>2779</v>
      </c>
      <c r="I1178" s="4" t="s">
        <v>22</v>
      </c>
      <c r="J1178" s="4" t="s">
        <v>2782</v>
      </c>
      <c r="K1178" s="4" t="s">
        <v>16</v>
      </c>
      <c r="M1178">
        <f t="shared" si="36"/>
        <v>871.08273281250001</v>
      </c>
    </row>
    <row r="1179" spans="1:25" ht="14" x14ac:dyDescent="0.2">
      <c r="A1179" s="4" t="s">
        <v>2783</v>
      </c>
      <c r="B1179" s="5">
        <v>4134.3843937500005</v>
      </c>
      <c r="C1179" s="5">
        <f t="shared" si="37"/>
        <v>413.43843937500003</v>
      </c>
      <c r="D1179" s="4">
        <v>10</v>
      </c>
      <c r="E1179" s="5" t="s">
        <v>10</v>
      </c>
      <c r="F1179" s="4" t="s">
        <v>2784</v>
      </c>
      <c r="G1179" s="4" t="s">
        <v>20</v>
      </c>
      <c r="H1179" s="4" t="s">
        <v>2785</v>
      </c>
      <c r="I1179" s="4" t="s">
        <v>22</v>
      </c>
      <c r="J1179" s="4"/>
      <c r="K1179" s="4" t="s">
        <v>87</v>
      </c>
      <c r="M1179">
        <f t="shared" si="36"/>
        <v>372.0945954375</v>
      </c>
    </row>
    <row r="1180" spans="1:25" ht="14" x14ac:dyDescent="0.2">
      <c r="A1180" s="4" t="s">
        <v>2786</v>
      </c>
      <c r="B1180" s="5">
        <v>3106.0575000000003</v>
      </c>
      <c r="C1180" s="5">
        <f t="shared" si="37"/>
        <v>310.60575000000006</v>
      </c>
      <c r="D1180" s="4">
        <v>10</v>
      </c>
      <c r="E1180" s="5" t="s">
        <v>10</v>
      </c>
      <c r="F1180" s="4" t="s">
        <v>2651</v>
      </c>
      <c r="G1180" s="4" t="s">
        <v>20</v>
      </c>
      <c r="H1180" s="4" t="s">
        <v>2787</v>
      </c>
      <c r="I1180" s="4" t="s">
        <v>22</v>
      </c>
      <c r="J1180" s="4" t="s">
        <v>207</v>
      </c>
      <c r="K1180" s="4" t="s">
        <v>53</v>
      </c>
      <c r="M1180">
        <f t="shared" si="36"/>
        <v>279.54517500000003</v>
      </c>
    </row>
    <row r="1181" spans="1:25" ht="14" x14ac:dyDescent="0.2">
      <c r="A1181" s="4" t="s">
        <v>2788</v>
      </c>
      <c r="B1181" s="5">
        <v>3771.6412500000001</v>
      </c>
      <c r="C1181" s="5">
        <f t="shared" si="37"/>
        <v>377.16412500000001</v>
      </c>
      <c r="D1181" s="4">
        <v>10</v>
      </c>
      <c r="E1181" s="5" t="s">
        <v>10</v>
      </c>
      <c r="F1181" s="4" t="s">
        <v>2651</v>
      </c>
      <c r="G1181" s="4" t="s">
        <v>20</v>
      </c>
      <c r="H1181" s="4" t="s">
        <v>2787</v>
      </c>
      <c r="I1181" s="4" t="s">
        <v>22</v>
      </c>
      <c r="J1181" s="4" t="s">
        <v>1101</v>
      </c>
      <c r="K1181" s="4" t="s">
        <v>53</v>
      </c>
      <c r="M1181">
        <f t="shared" ref="M1181:M1244" si="38">C1181-(C1181* 10%)</f>
        <v>339.44771250000002</v>
      </c>
    </row>
    <row r="1182" spans="1:25" ht="14" x14ac:dyDescent="0.2">
      <c r="A1182" s="4" t="s">
        <v>2789</v>
      </c>
      <c r="B1182" s="5">
        <v>1497.5634375000002</v>
      </c>
      <c r="C1182" s="5">
        <f t="shared" si="37"/>
        <v>1497.5634375000002</v>
      </c>
      <c r="D1182" s="4">
        <v>1</v>
      </c>
      <c r="E1182" s="5" t="s">
        <v>296</v>
      </c>
      <c r="F1182" s="4" t="s">
        <v>2651</v>
      </c>
      <c r="G1182" s="4" t="s">
        <v>20</v>
      </c>
      <c r="H1182" s="4" t="s">
        <v>2789</v>
      </c>
      <c r="I1182" s="4" t="s">
        <v>22</v>
      </c>
      <c r="K1182" s="4" t="s">
        <v>53</v>
      </c>
      <c r="M1182">
        <f t="shared" si="38"/>
        <v>1347.8070937500001</v>
      </c>
    </row>
    <row r="1183" spans="1:25" ht="14" x14ac:dyDescent="0.2">
      <c r="A1183" s="4" t="s">
        <v>2790</v>
      </c>
      <c r="B1183" s="5">
        <v>18858.206250000003</v>
      </c>
      <c r="C1183" s="5">
        <f t="shared" si="37"/>
        <v>628.60687500000006</v>
      </c>
      <c r="D1183" s="4">
        <v>30</v>
      </c>
      <c r="E1183" s="5" t="s">
        <v>10</v>
      </c>
      <c r="F1183" s="4" t="s">
        <v>2791</v>
      </c>
      <c r="G1183" s="4" t="s">
        <v>12</v>
      </c>
      <c r="H1183" s="4" t="s">
        <v>2792</v>
      </c>
      <c r="I1183" s="4" t="s">
        <v>14</v>
      </c>
      <c r="J1183" s="4" t="s">
        <v>95</v>
      </c>
      <c r="K1183" s="4" t="s">
        <v>90</v>
      </c>
      <c r="M1183">
        <f t="shared" si="38"/>
        <v>565.74618750000002</v>
      </c>
    </row>
    <row r="1184" spans="1:25" ht="14" x14ac:dyDescent="0.2">
      <c r="A1184" s="4" t="s">
        <v>2793</v>
      </c>
      <c r="B1184" s="5">
        <v>32169.881250000002</v>
      </c>
      <c r="C1184" s="5">
        <f t="shared" si="37"/>
        <v>3216.9881250000003</v>
      </c>
      <c r="D1184" s="4">
        <v>10</v>
      </c>
      <c r="E1184" s="5" t="s">
        <v>124</v>
      </c>
      <c r="F1184" s="4" t="s">
        <v>2791</v>
      </c>
      <c r="G1184" s="4" t="s">
        <v>12</v>
      </c>
      <c r="H1184" s="4" t="s">
        <v>2792</v>
      </c>
      <c r="I1184" s="4" t="s">
        <v>14</v>
      </c>
      <c r="J1184" s="4" t="s">
        <v>2794</v>
      </c>
      <c r="K1184" s="4" t="s">
        <v>90</v>
      </c>
      <c r="M1184">
        <f t="shared" si="38"/>
        <v>2895.2893125000001</v>
      </c>
    </row>
    <row r="1185" spans="1:13" ht="14" x14ac:dyDescent="0.2">
      <c r="A1185" s="4" t="s">
        <v>2795</v>
      </c>
      <c r="B1185" s="5">
        <v>12202.368750000001</v>
      </c>
      <c r="C1185" s="5">
        <f t="shared" si="37"/>
        <v>406.74562500000008</v>
      </c>
      <c r="D1185" s="4">
        <v>30</v>
      </c>
      <c r="E1185" s="5" t="s">
        <v>10</v>
      </c>
      <c r="F1185" s="4" t="s">
        <v>2791</v>
      </c>
      <c r="G1185" s="4" t="s">
        <v>12</v>
      </c>
      <c r="H1185" s="4" t="s">
        <v>2791</v>
      </c>
      <c r="I1185" s="4" t="s">
        <v>22</v>
      </c>
      <c r="J1185" s="4" t="s">
        <v>140</v>
      </c>
      <c r="K1185" s="4" t="s">
        <v>90</v>
      </c>
      <c r="M1185">
        <f t="shared" si="38"/>
        <v>366.07106250000004</v>
      </c>
    </row>
    <row r="1186" spans="1:13" ht="14" x14ac:dyDescent="0.2">
      <c r="A1186" s="4" t="s">
        <v>2796</v>
      </c>
      <c r="B1186" s="5">
        <v>15197.495625000001</v>
      </c>
      <c r="C1186" s="5">
        <f t="shared" si="37"/>
        <v>506.58318750000007</v>
      </c>
      <c r="D1186" s="4">
        <v>30</v>
      </c>
      <c r="E1186" s="5" t="s">
        <v>10</v>
      </c>
      <c r="F1186" s="4" t="s">
        <v>2791</v>
      </c>
      <c r="G1186" s="4" t="s">
        <v>12</v>
      </c>
      <c r="H1186" s="4" t="s">
        <v>2791</v>
      </c>
      <c r="I1186" s="4" t="s">
        <v>22</v>
      </c>
      <c r="J1186" s="4" t="s">
        <v>95</v>
      </c>
      <c r="K1186" s="4" t="s">
        <v>90</v>
      </c>
      <c r="M1186">
        <f t="shared" si="38"/>
        <v>455.92486875000009</v>
      </c>
    </row>
    <row r="1187" spans="1:13" ht="14" x14ac:dyDescent="0.2">
      <c r="A1187" s="4" t="s">
        <v>2797</v>
      </c>
      <c r="B1187" s="5">
        <v>9484.5684375000001</v>
      </c>
      <c r="C1187" s="5">
        <f t="shared" si="37"/>
        <v>9484.5684375000001</v>
      </c>
      <c r="D1187" s="4">
        <v>1</v>
      </c>
      <c r="E1187" s="5" t="s">
        <v>701</v>
      </c>
      <c r="F1187" s="4" t="s">
        <v>2798</v>
      </c>
      <c r="G1187" s="4" t="s">
        <v>20</v>
      </c>
      <c r="H1187" s="4" t="s">
        <v>2797</v>
      </c>
      <c r="I1187" s="4" t="s">
        <v>22</v>
      </c>
      <c r="J1187" s="4" t="s">
        <v>2799</v>
      </c>
      <c r="K1187" s="4" t="s">
        <v>406</v>
      </c>
      <c r="M1187">
        <f t="shared" si="38"/>
        <v>8536.1115937499999</v>
      </c>
    </row>
    <row r="1188" spans="1:13" ht="14" x14ac:dyDescent="0.2">
      <c r="A1188" s="4" t="s">
        <v>2800</v>
      </c>
      <c r="B1188" s="5">
        <v>10538.409375000001</v>
      </c>
      <c r="C1188" s="5">
        <f t="shared" si="37"/>
        <v>10538.409375000001</v>
      </c>
      <c r="D1188" s="4">
        <v>1</v>
      </c>
      <c r="E1188" s="5" t="s">
        <v>181</v>
      </c>
      <c r="F1188" s="4" t="s">
        <v>2798</v>
      </c>
      <c r="G1188" s="4" t="s">
        <v>20</v>
      </c>
      <c r="H1188" s="4" t="s">
        <v>2800</v>
      </c>
      <c r="I1188" s="4" t="s">
        <v>22</v>
      </c>
      <c r="K1188" s="4" t="s">
        <v>406</v>
      </c>
      <c r="M1188">
        <f t="shared" si="38"/>
        <v>9484.5684375000019</v>
      </c>
    </row>
    <row r="1189" spans="1:13" ht="14" x14ac:dyDescent="0.2">
      <c r="A1189" s="4" t="s">
        <v>2801</v>
      </c>
      <c r="B1189" s="5">
        <v>14376.609</v>
      </c>
      <c r="C1189" s="5">
        <f t="shared" si="37"/>
        <v>14376.609</v>
      </c>
      <c r="D1189" s="4">
        <v>1</v>
      </c>
      <c r="E1189" s="5" t="s">
        <v>55</v>
      </c>
      <c r="F1189" s="4" t="s">
        <v>2802</v>
      </c>
      <c r="G1189" s="4" t="s">
        <v>20</v>
      </c>
      <c r="H1189" s="4" t="s">
        <v>2803</v>
      </c>
      <c r="I1189" s="4" t="s">
        <v>14</v>
      </c>
      <c r="J1189" s="6">
        <v>0.02</v>
      </c>
      <c r="K1189" s="4" t="s">
        <v>103</v>
      </c>
      <c r="M1189">
        <f t="shared" si="38"/>
        <v>12938.9481</v>
      </c>
    </row>
    <row r="1190" spans="1:13" ht="14" x14ac:dyDescent="0.2">
      <c r="A1190" s="4" t="s">
        <v>2804</v>
      </c>
      <c r="B1190" s="5">
        <v>38825.71875</v>
      </c>
      <c r="C1190" s="5">
        <f t="shared" si="37"/>
        <v>1386.6328125</v>
      </c>
      <c r="D1190" s="4">
        <v>28</v>
      </c>
      <c r="E1190" s="5" t="s">
        <v>10</v>
      </c>
      <c r="F1190" s="4" t="s">
        <v>2802</v>
      </c>
      <c r="G1190" s="4" t="s">
        <v>20</v>
      </c>
      <c r="H1190" s="4" t="s">
        <v>2803</v>
      </c>
      <c r="I1190" s="4" t="s">
        <v>14</v>
      </c>
      <c r="J1190" s="4" t="s">
        <v>140</v>
      </c>
      <c r="K1190" s="4" t="s">
        <v>103</v>
      </c>
      <c r="M1190">
        <f t="shared" si="38"/>
        <v>1247.96953125</v>
      </c>
    </row>
    <row r="1191" spans="1:13" ht="14" x14ac:dyDescent="0.2">
      <c r="A1191" s="4" t="s">
        <v>2805</v>
      </c>
      <c r="B1191" s="5">
        <v>11980.507500000002</v>
      </c>
      <c r="C1191" s="5">
        <f t="shared" si="37"/>
        <v>399.35025000000007</v>
      </c>
      <c r="D1191" s="4">
        <v>30</v>
      </c>
      <c r="E1191" s="5" t="s">
        <v>10</v>
      </c>
      <c r="F1191" s="4" t="s">
        <v>2806</v>
      </c>
      <c r="G1191" s="4" t="s">
        <v>12</v>
      </c>
      <c r="H1191" s="4" t="s">
        <v>2807</v>
      </c>
      <c r="I1191" s="4" t="s">
        <v>22</v>
      </c>
      <c r="J1191" s="4" t="s">
        <v>2808</v>
      </c>
      <c r="K1191" s="4" t="s">
        <v>48</v>
      </c>
      <c r="M1191">
        <f t="shared" si="38"/>
        <v>359.41522500000008</v>
      </c>
    </row>
    <row r="1192" spans="1:13" ht="14" x14ac:dyDescent="0.2">
      <c r="A1192" s="4" t="s">
        <v>2809</v>
      </c>
      <c r="B1192" s="5">
        <v>22139.534137500003</v>
      </c>
      <c r="C1192" s="5">
        <f t="shared" si="37"/>
        <v>368.99223562500003</v>
      </c>
      <c r="D1192" s="4">
        <v>60</v>
      </c>
      <c r="E1192" s="5" t="s">
        <v>10</v>
      </c>
      <c r="F1192" s="4" t="s">
        <v>2810</v>
      </c>
      <c r="G1192" s="4" t="s">
        <v>12</v>
      </c>
      <c r="H1192" s="4" t="s">
        <v>2811</v>
      </c>
      <c r="I1192" s="4" t="s">
        <v>22</v>
      </c>
      <c r="K1192" s="4" t="s">
        <v>48</v>
      </c>
      <c r="M1192">
        <f t="shared" si="38"/>
        <v>332.09301206250001</v>
      </c>
    </row>
    <row r="1193" spans="1:13" ht="14" x14ac:dyDescent="0.2">
      <c r="A1193" s="4" t="s">
        <v>2812</v>
      </c>
      <c r="B1193" s="5">
        <v>5595.3407250000009</v>
      </c>
      <c r="C1193" s="5">
        <f t="shared" si="37"/>
        <v>93.255678750000015</v>
      </c>
      <c r="D1193" s="4">
        <v>60</v>
      </c>
      <c r="E1193" s="5" t="s">
        <v>10</v>
      </c>
      <c r="F1193" s="4" t="s">
        <v>2813</v>
      </c>
      <c r="G1193" s="4" t="s">
        <v>12</v>
      </c>
      <c r="H1193" s="4" t="s">
        <v>2813</v>
      </c>
      <c r="I1193" s="4" t="s">
        <v>22</v>
      </c>
      <c r="J1193" s="4" t="s">
        <v>481</v>
      </c>
      <c r="K1193" s="4" t="s">
        <v>48</v>
      </c>
      <c r="M1193">
        <f t="shared" si="38"/>
        <v>83.930110875000011</v>
      </c>
    </row>
    <row r="1194" spans="1:13" ht="14" x14ac:dyDescent="0.2">
      <c r="A1194" s="4" t="s">
        <v>2814</v>
      </c>
      <c r="B1194" s="5">
        <v>17970.761250000003</v>
      </c>
      <c r="C1194" s="5">
        <f t="shared" si="37"/>
        <v>299.51268750000003</v>
      </c>
      <c r="D1194" s="4">
        <v>60</v>
      </c>
      <c r="E1194" s="4" t="s">
        <v>10</v>
      </c>
      <c r="F1194" s="4" t="s">
        <v>2815</v>
      </c>
      <c r="G1194" s="4" t="s">
        <v>12</v>
      </c>
      <c r="H1194" s="4" t="s">
        <v>2816</v>
      </c>
      <c r="I1194" s="4"/>
      <c r="J1194" s="4" t="s">
        <v>15</v>
      </c>
      <c r="K1194" s="4" t="s">
        <v>227</v>
      </c>
      <c r="M1194">
        <f t="shared" si="38"/>
        <v>269.56141875000003</v>
      </c>
    </row>
    <row r="1195" spans="1:13" ht="14" x14ac:dyDescent="0.2">
      <c r="A1195" s="4" t="s">
        <v>2817</v>
      </c>
      <c r="B1195" s="5">
        <v>18525.414375</v>
      </c>
      <c r="C1195" s="5">
        <f t="shared" si="37"/>
        <v>330.81097098214286</v>
      </c>
      <c r="D1195" s="4">
        <v>56</v>
      </c>
      <c r="E1195" s="5" t="s">
        <v>10</v>
      </c>
      <c r="F1195" s="4" t="s">
        <v>2818</v>
      </c>
      <c r="G1195" s="4" t="s">
        <v>12</v>
      </c>
      <c r="H1195" s="4" t="s">
        <v>2818</v>
      </c>
      <c r="I1195" s="4" t="s">
        <v>22</v>
      </c>
      <c r="J1195" s="4" t="s">
        <v>140</v>
      </c>
      <c r="K1195" s="4" t="s">
        <v>227</v>
      </c>
      <c r="M1195">
        <f t="shared" si="38"/>
        <v>297.72987388392858</v>
      </c>
    </row>
    <row r="1196" spans="1:13" ht="14" x14ac:dyDescent="0.2">
      <c r="A1196" s="4" t="s">
        <v>2819</v>
      </c>
      <c r="B1196" s="5">
        <v>13866.328125000002</v>
      </c>
      <c r="C1196" s="5">
        <f t="shared" si="37"/>
        <v>247.61300223214289</v>
      </c>
      <c r="D1196" s="4">
        <v>56</v>
      </c>
      <c r="E1196" s="5" t="s">
        <v>10</v>
      </c>
      <c r="F1196" s="4" t="s">
        <v>2818</v>
      </c>
      <c r="G1196" s="4" t="s">
        <v>12</v>
      </c>
      <c r="H1196" s="4" t="s">
        <v>2818</v>
      </c>
      <c r="I1196" s="4" t="s">
        <v>22</v>
      </c>
      <c r="J1196" s="4" t="s">
        <v>15</v>
      </c>
      <c r="K1196" s="4" t="s">
        <v>227</v>
      </c>
      <c r="M1196">
        <f t="shared" si="38"/>
        <v>222.85170200892861</v>
      </c>
    </row>
    <row r="1197" spans="1:13" ht="14" x14ac:dyDescent="0.2">
      <c r="A1197" s="4" t="s">
        <v>2820</v>
      </c>
      <c r="B1197" s="5">
        <v>16528.663125000003</v>
      </c>
      <c r="C1197" s="5">
        <f t="shared" si="37"/>
        <v>295.15469866071436</v>
      </c>
      <c r="D1197" s="4">
        <v>56</v>
      </c>
      <c r="E1197" s="5" t="s">
        <v>10</v>
      </c>
      <c r="F1197" s="4" t="s">
        <v>2818</v>
      </c>
      <c r="G1197" s="4" t="s">
        <v>12</v>
      </c>
      <c r="H1197" s="4" t="s">
        <v>2818</v>
      </c>
      <c r="I1197" s="4" t="s">
        <v>22</v>
      </c>
      <c r="J1197" s="4" t="s">
        <v>78</v>
      </c>
      <c r="K1197" s="4" t="s">
        <v>227</v>
      </c>
      <c r="M1197">
        <f t="shared" si="38"/>
        <v>265.63922879464292</v>
      </c>
    </row>
    <row r="1198" spans="1:13" ht="14" x14ac:dyDescent="0.2">
      <c r="A1198" s="4" t="s">
        <v>2821</v>
      </c>
      <c r="B1198" s="5">
        <v>3234.7370250000004</v>
      </c>
      <c r="C1198" s="5">
        <f t="shared" si="37"/>
        <v>3234.7370250000004</v>
      </c>
      <c r="D1198" s="4">
        <v>1</v>
      </c>
      <c r="E1198" s="5" t="s">
        <v>25</v>
      </c>
      <c r="F1198" s="4" t="s">
        <v>2822</v>
      </c>
      <c r="G1198" s="4" t="s">
        <v>20</v>
      </c>
      <c r="H1198" s="4" t="s">
        <v>2822</v>
      </c>
      <c r="I1198" s="4" t="s">
        <v>22</v>
      </c>
      <c r="K1198" s="4" t="s">
        <v>28</v>
      </c>
      <c r="M1198">
        <f t="shared" si="38"/>
        <v>2911.2633225000004</v>
      </c>
    </row>
    <row r="1199" spans="1:13" ht="14" x14ac:dyDescent="0.2">
      <c r="A1199" s="4" t="s">
        <v>2823</v>
      </c>
      <c r="B1199" s="5">
        <v>1317.8558250000001</v>
      </c>
      <c r="C1199" s="5">
        <f t="shared" si="37"/>
        <v>131.7855825</v>
      </c>
      <c r="D1199" s="4">
        <v>10</v>
      </c>
      <c r="E1199" s="5" t="s">
        <v>30</v>
      </c>
      <c r="F1199" s="4" t="s">
        <v>2824</v>
      </c>
      <c r="G1199" s="4" t="s">
        <v>20</v>
      </c>
      <c r="H1199" s="4" t="s">
        <v>2825</v>
      </c>
      <c r="I1199" s="4" t="s">
        <v>14</v>
      </c>
      <c r="J1199" s="4" t="s">
        <v>548</v>
      </c>
      <c r="K1199" s="4" t="s">
        <v>403</v>
      </c>
      <c r="M1199">
        <f t="shared" si="38"/>
        <v>118.60702424999999</v>
      </c>
    </row>
    <row r="1200" spans="1:13" ht="14" x14ac:dyDescent="0.2">
      <c r="A1200" s="4" t="s">
        <v>2826</v>
      </c>
      <c r="B1200" s="5">
        <v>2036.6862750000005</v>
      </c>
      <c r="C1200" s="5">
        <f t="shared" si="37"/>
        <v>72.738795535714303</v>
      </c>
      <c r="D1200" s="4">
        <v>28</v>
      </c>
      <c r="E1200" s="5" t="s">
        <v>30</v>
      </c>
      <c r="F1200" s="4" t="s">
        <v>2824</v>
      </c>
      <c r="G1200" s="4" t="s">
        <v>20</v>
      </c>
      <c r="H1200" s="4" t="s">
        <v>2827</v>
      </c>
      <c r="I1200" s="4" t="s">
        <v>14</v>
      </c>
      <c r="J1200" s="4" t="s">
        <v>548</v>
      </c>
      <c r="K1200" s="4" t="s">
        <v>748</v>
      </c>
      <c r="M1200">
        <f t="shared" si="38"/>
        <v>65.46491598214287</v>
      </c>
    </row>
    <row r="1201" spans="1:25" ht="14" x14ac:dyDescent="0.2">
      <c r="A1201" s="4" t="s">
        <v>2828</v>
      </c>
      <c r="B1201" s="5">
        <v>1977.8930437500003</v>
      </c>
      <c r="C1201" s="5">
        <f t="shared" si="37"/>
        <v>70.639037276785729</v>
      </c>
      <c r="D1201" s="4">
        <v>28</v>
      </c>
      <c r="E1201" s="5" t="s">
        <v>30</v>
      </c>
      <c r="F1201" s="4" t="s">
        <v>2829</v>
      </c>
      <c r="G1201" s="4" t="s">
        <v>20</v>
      </c>
      <c r="H1201" s="4" t="s">
        <v>2829</v>
      </c>
      <c r="I1201" s="4" t="s">
        <v>22</v>
      </c>
      <c r="J1201" s="4" t="s">
        <v>1519</v>
      </c>
      <c r="K1201" s="4" t="s">
        <v>748</v>
      </c>
      <c r="M1201">
        <f t="shared" si="38"/>
        <v>63.575133549107157</v>
      </c>
    </row>
    <row r="1202" spans="1:25" ht="14" x14ac:dyDescent="0.2">
      <c r="A1202" s="4" t="s">
        <v>2830</v>
      </c>
      <c r="B1202" s="5">
        <v>2971.8314437500003</v>
      </c>
      <c r="C1202" s="5">
        <f t="shared" si="37"/>
        <v>106.13683727678573</v>
      </c>
      <c r="D1202" s="4">
        <v>28</v>
      </c>
      <c r="E1202" s="5" t="s">
        <v>30</v>
      </c>
      <c r="F1202" s="4" t="s">
        <v>2829</v>
      </c>
      <c r="G1202" s="4" t="s">
        <v>20</v>
      </c>
      <c r="H1202" s="4" t="s">
        <v>2829</v>
      </c>
      <c r="I1202" s="4" t="s">
        <v>22</v>
      </c>
      <c r="J1202" s="4" t="s">
        <v>548</v>
      </c>
      <c r="K1202" s="4" t="s">
        <v>748</v>
      </c>
      <c r="M1202">
        <f t="shared" si="38"/>
        <v>95.52315354910715</v>
      </c>
    </row>
    <row r="1203" spans="1:25" ht="14" x14ac:dyDescent="0.2">
      <c r="A1203" s="4" t="s">
        <v>2831</v>
      </c>
      <c r="B1203" s="5">
        <v>499.18781250000006</v>
      </c>
      <c r="C1203" s="5">
        <f t="shared" si="37"/>
        <v>499.18781250000006</v>
      </c>
      <c r="D1203" s="4">
        <v>1</v>
      </c>
      <c r="E1203" s="5" t="s">
        <v>25</v>
      </c>
      <c r="F1203" s="4" t="s">
        <v>2831</v>
      </c>
      <c r="G1203" s="4" t="s">
        <v>12</v>
      </c>
      <c r="H1203" s="4" t="s">
        <v>2831</v>
      </c>
      <c r="I1203" s="4" t="s">
        <v>22</v>
      </c>
      <c r="J1203" s="4" t="s">
        <v>127</v>
      </c>
      <c r="K1203" s="4" t="s">
        <v>28</v>
      </c>
      <c r="M1203">
        <f t="shared" si="38"/>
        <v>449.26903125000007</v>
      </c>
    </row>
    <row r="1204" spans="1:25" ht="14" x14ac:dyDescent="0.2">
      <c r="A1204" s="4" t="s">
        <v>2832</v>
      </c>
      <c r="B1204" s="5">
        <v>19412.859375</v>
      </c>
      <c r="C1204" s="5">
        <f t="shared" si="37"/>
        <v>19412.859375</v>
      </c>
      <c r="D1204" s="4">
        <v>1</v>
      </c>
      <c r="E1204" s="5" t="s">
        <v>2513</v>
      </c>
      <c r="F1204" s="4" t="s">
        <v>125</v>
      </c>
      <c r="G1204" s="4" t="s">
        <v>12</v>
      </c>
      <c r="H1204" s="4" t="s">
        <v>2832</v>
      </c>
      <c r="I1204" s="4" t="s">
        <v>14</v>
      </c>
      <c r="J1204" s="4" t="s">
        <v>2833</v>
      </c>
      <c r="K1204" s="4" t="s">
        <v>16</v>
      </c>
      <c r="M1204">
        <f t="shared" si="38"/>
        <v>17471.573437499999</v>
      </c>
    </row>
    <row r="1205" spans="1:25" ht="14" x14ac:dyDescent="0.2">
      <c r="A1205" s="4" t="s">
        <v>2834</v>
      </c>
      <c r="B1205" s="5">
        <v>21076.818750000002</v>
      </c>
      <c r="C1205" s="5">
        <f t="shared" si="37"/>
        <v>21076.818750000002</v>
      </c>
      <c r="D1205" s="4">
        <v>1</v>
      </c>
      <c r="E1205" s="5" t="s">
        <v>2513</v>
      </c>
      <c r="F1205" s="4" t="s">
        <v>2834</v>
      </c>
      <c r="G1205" s="4" t="s">
        <v>12</v>
      </c>
      <c r="H1205" s="4" t="s">
        <v>2834</v>
      </c>
      <c r="I1205" s="4" t="s">
        <v>14</v>
      </c>
      <c r="J1205" s="4" t="s">
        <v>127</v>
      </c>
      <c r="K1205" s="4" t="s">
        <v>28</v>
      </c>
      <c r="M1205">
        <f t="shared" si="38"/>
        <v>18969.136875000004</v>
      </c>
    </row>
    <row r="1206" spans="1:25" ht="14" x14ac:dyDescent="0.2">
      <c r="A1206" s="4" t="s">
        <v>2835</v>
      </c>
      <c r="B1206" s="5">
        <v>22740.778125000001</v>
      </c>
      <c r="C1206" s="5">
        <f t="shared" si="37"/>
        <v>22740.778125000001</v>
      </c>
      <c r="D1206" s="4">
        <v>1</v>
      </c>
      <c r="E1206" s="5" t="s">
        <v>2513</v>
      </c>
      <c r="F1206" s="4" t="s">
        <v>2836</v>
      </c>
      <c r="G1206" s="4" t="s">
        <v>12</v>
      </c>
      <c r="H1206" s="4" t="s">
        <v>2836</v>
      </c>
      <c r="I1206" s="4" t="s">
        <v>14</v>
      </c>
      <c r="J1206" s="4" t="s">
        <v>127</v>
      </c>
      <c r="K1206" s="4" t="s">
        <v>28</v>
      </c>
      <c r="M1206">
        <f t="shared" si="38"/>
        <v>20466.700312500001</v>
      </c>
    </row>
    <row r="1207" spans="1:25" ht="14" x14ac:dyDescent="0.2">
      <c r="A1207" s="4" t="s">
        <v>2837</v>
      </c>
      <c r="B1207" s="5">
        <v>539.12283750000006</v>
      </c>
      <c r="C1207" s="5">
        <f t="shared" si="37"/>
        <v>179.70761250000001</v>
      </c>
      <c r="D1207" s="4">
        <v>3</v>
      </c>
      <c r="E1207" s="5" t="s">
        <v>10</v>
      </c>
      <c r="F1207" s="4" t="s">
        <v>432</v>
      </c>
      <c r="G1207" s="4" t="s">
        <v>20</v>
      </c>
      <c r="H1207" s="4" t="s">
        <v>2838</v>
      </c>
      <c r="I1207" s="4" t="s">
        <v>22</v>
      </c>
      <c r="J1207" s="4" t="s">
        <v>1890</v>
      </c>
      <c r="K1207" s="4" t="s">
        <v>108</v>
      </c>
      <c r="M1207">
        <f t="shared" si="38"/>
        <v>161.73685125</v>
      </c>
    </row>
    <row r="1208" spans="1:25" ht="14" x14ac:dyDescent="0.2">
      <c r="A1208" s="4" t="s">
        <v>2839</v>
      </c>
      <c r="B1208" s="5">
        <v>2036.6862750000005</v>
      </c>
      <c r="C1208" s="5">
        <f t="shared" si="37"/>
        <v>67.889542500000019</v>
      </c>
      <c r="D1208" s="4">
        <v>30</v>
      </c>
      <c r="E1208" s="5" t="s">
        <v>10</v>
      </c>
      <c r="F1208" s="4" t="s">
        <v>2840</v>
      </c>
      <c r="G1208" s="4" t="s">
        <v>12</v>
      </c>
      <c r="H1208" s="4" t="s">
        <v>2841</v>
      </c>
      <c r="I1208" s="4" t="s">
        <v>22</v>
      </c>
      <c r="J1208" s="4" t="s">
        <v>495</v>
      </c>
      <c r="K1208" s="4" t="s">
        <v>90</v>
      </c>
      <c r="M1208">
        <f t="shared" si="38"/>
        <v>61.100588250000015</v>
      </c>
    </row>
    <row r="1209" spans="1:25" ht="14" x14ac:dyDescent="0.2">
      <c r="A1209" s="4" t="s">
        <v>2842</v>
      </c>
      <c r="B1209" s="5">
        <v>21631.471875000003</v>
      </c>
      <c r="C1209" s="5">
        <f t="shared" si="37"/>
        <v>21631.471875000003</v>
      </c>
      <c r="D1209" s="4">
        <v>1</v>
      </c>
      <c r="E1209" s="5" t="s">
        <v>175</v>
      </c>
      <c r="F1209" s="4" t="s">
        <v>464</v>
      </c>
      <c r="G1209" s="4" t="s">
        <v>20</v>
      </c>
      <c r="H1209" s="4" t="s">
        <v>464</v>
      </c>
      <c r="I1209" s="4" t="s">
        <v>22</v>
      </c>
      <c r="K1209" s="4" t="s">
        <v>244</v>
      </c>
      <c r="M1209">
        <f t="shared" si="38"/>
        <v>19468.324687500004</v>
      </c>
    </row>
    <row r="1210" spans="1:25" ht="14" x14ac:dyDescent="0.2">
      <c r="A1210" s="4" t="s">
        <v>2843</v>
      </c>
      <c r="B1210" s="5">
        <v>21742.4025</v>
      </c>
      <c r="C1210" s="5">
        <f t="shared" si="37"/>
        <v>21742.4025</v>
      </c>
      <c r="D1210" s="4">
        <v>1</v>
      </c>
      <c r="E1210" s="5" t="s">
        <v>175</v>
      </c>
      <c r="F1210" s="4" t="s">
        <v>2844</v>
      </c>
      <c r="G1210" s="4" t="s">
        <v>20</v>
      </c>
      <c r="H1210" s="4" t="s">
        <v>2844</v>
      </c>
      <c r="I1210" s="4" t="s">
        <v>22</v>
      </c>
      <c r="K1210" s="4" t="s">
        <v>244</v>
      </c>
      <c r="M1210">
        <f t="shared" si="38"/>
        <v>19568.162250000001</v>
      </c>
    </row>
    <row r="1211" spans="1:25" ht="14" x14ac:dyDescent="0.2">
      <c r="A1211" s="4" t="s">
        <v>2845</v>
      </c>
      <c r="B1211" s="5">
        <v>16639.59375</v>
      </c>
      <c r="C1211" s="5">
        <f t="shared" si="37"/>
        <v>16639.59375</v>
      </c>
      <c r="D1211" s="4">
        <v>1</v>
      </c>
      <c r="E1211" s="5" t="s">
        <v>175</v>
      </c>
      <c r="F1211" s="4" t="s">
        <v>464</v>
      </c>
      <c r="G1211" s="4" t="s">
        <v>20</v>
      </c>
      <c r="H1211" s="4" t="s">
        <v>2846</v>
      </c>
      <c r="I1211" s="4" t="s">
        <v>22</v>
      </c>
      <c r="K1211" s="4" t="s">
        <v>244</v>
      </c>
      <c r="M1211">
        <f t="shared" si="38"/>
        <v>14975.634375</v>
      </c>
    </row>
    <row r="1212" spans="1:25" ht="14" x14ac:dyDescent="0.2">
      <c r="A1212" s="4" t="s">
        <v>2847</v>
      </c>
      <c r="B1212" s="5">
        <v>14420.981250000001</v>
      </c>
      <c r="C1212" s="5">
        <f t="shared" si="37"/>
        <v>14420.981250000001</v>
      </c>
      <c r="D1212" s="4">
        <v>1</v>
      </c>
      <c r="E1212" s="5" t="s">
        <v>175</v>
      </c>
      <c r="F1212" s="4" t="s">
        <v>2844</v>
      </c>
      <c r="G1212" s="4" t="s">
        <v>20</v>
      </c>
      <c r="H1212" s="4" t="s">
        <v>2848</v>
      </c>
      <c r="I1212" s="4" t="s">
        <v>22</v>
      </c>
      <c r="K1212" s="4" t="s">
        <v>244</v>
      </c>
      <c r="M1212">
        <f t="shared" si="38"/>
        <v>12978.883125</v>
      </c>
    </row>
    <row r="1213" spans="1:25" ht="14" x14ac:dyDescent="0.2">
      <c r="A1213" s="4" t="s">
        <v>2849</v>
      </c>
      <c r="B1213" s="5">
        <v>25169.049506250001</v>
      </c>
      <c r="C1213" s="5">
        <f t="shared" si="37"/>
        <v>25169.049506250001</v>
      </c>
      <c r="D1213" s="4">
        <v>1</v>
      </c>
      <c r="E1213" s="5" t="s">
        <v>10</v>
      </c>
      <c r="F1213" s="4" t="s">
        <v>2850</v>
      </c>
      <c r="G1213" s="4" t="s">
        <v>20</v>
      </c>
      <c r="H1213" s="4" t="s">
        <v>2850</v>
      </c>
      <c r="I1213" s="4" t="s">
        <v>14</v>
      </c>
      <c r="J1213" s="4" t="s">
        <v>148</v>
      </c>
      <c r="K1213" s="4" t="s">
        <v>219</v>
      </c>
      <c r="M1213">
        <f t="shared" si="38"/>
        <v>22652.144555625</v>
      </c>
    </row>
    <row r="1214" spans="1:25" ht="14" x14ac:dyDescent="0.2">
      <c r="A1214" s="4" t="s">
        <v>2851</v>
      </c>
      <c r="B1214" s="5">
        <v>92848.93312500001</v>
      </c>
      <c r="C1214" s="5">
        <f t="shared" si="37"/>
        <v>3094.9644375000003</v>
      </c>
      <c r="D1214" s="4">
        <v>30</v>
      </c>
      <c r="E1214" s="4" t="s">
        <v>10</v>
      </c>
      <c r="F1214" s="4" t="s">
        <v>2852</v>
      </c>
      <c r="G1214" s="4" t="s">
        <v>20</v>
      </c>
      <c r="H1214" s="4" t="s">
        <v>2853</v>
      </c>
      <c r="I1214" s="4" t="s">
        <v>14</v>
      </c>
      <c r="J1214" s="4" t="s">
        <v>2854</v>
      </c>
      <c r="K1214" s="4" t="s">
        <v>1502</v>
      </c>
      <c r="M1214">
        <f t="shared" si="38"/>
        <v>2785.4679937500005</v>
      </c>
    </row>
    <row r="1215" spans="1:25" ht="14" x14ac:dyDescent="0.2">
      <c r="A1215" s="7" t="s">
        <v>5353</v>
      </c>
      <c r="B1215" s="10">
        <v>30783.248437500002</v>
      </c>
      <c r="C1215" s="5">
        <f t="shared" si="37"/>
        <v>1099.4017299107143</v>
      </c>
      <c r="D1215" s="9">
        <v>28</v>
      </c>
      <c r="E1215" s="10" t="s">
        <v>5193</v>
      </c>
      <c r="F1215" s="7" t="s">
        <v>5354</v>
      </c>
      <c r="G1215" s="7" t="s">
        <v>12</v>
      </c>
      <c r="H1215" s="7" t="s">
        <v>5354</v>
      </c>
      <c r="I1215" s="4" t="s">
        <v>14</v>
      </c>
      <c r="J1215" s="7" t="s">
        <v>148</v>
      </c>
      <c r="K1215" s="7" t="s">
        <v>90</v>
      </c>
      <c r="L1215" s="4"/>
      <c r="M1215">
        <f t="shared" si="38"/>
        <v>989.46155691964282</v>
      </c>
      <c r="N1215" s="3"/>
      <c r="O1215" s="3"/>
      <c r="P1215" s="3"/>
      <c r="Q1215" s="2"/>
      <c r="R1215" s="2"/>
      <c r="S1215" s="2"/>
      <c r="T1215" s="2"/>
      <c r="U1215" s="2"/>
      <c r="V1215" s="2"/>
      <c r="W1215" s="2"/>
      <c r="X1215" s="2"/>
      <c r="Y1215" s="2"/>
    </row>
    <row r="1216" spans="1:25" ht="14" x14ac:dyDescent="0.2">
      <c r="A1216" s="4" t="s">
        <v>2855</v>
      </c>
      <c r="B1216" s="5">
        <v>17305.177500000002</v>
      </c>
      <c r="C1216" s="5">
        <f t="shared" si="37"/>
        <v>618.0420535714286</v>
      </c>
      <c r="D1216" s="4">
        <v>28</v>
      </c>
      <c r="E1216" s="4" t="s">
        <v>10</v>
      </c>
      <c r="F1216" s="4" t="s">
        <v>2856</v>
      </c>
      <c r="G1216" s="4" t="s">
        <v>12</v>
      </c>
      <c r="H1216" s="4" t="s">
        <v>2857</v>
      </c>
      <c r="I1216" s="4" t="s">
        <v>14</v>
      </c>
      <c r="J1216" s="4" t="s">
        <v>603</v>
      </c>
      <c r="K1216" s="4" t="s">
        <v>511</v>
      </c>
      <c r="M1216">
        <f t="shared" si="38"/>
        <v>556.23784821428569</v>
      </c>
    </row>
    <row r="1217" spans="1:25" ht="14" x14ac:dyDescent="0.2">
      <c r="A1217" s="4" t="s">
        <v>2858</v>
      </c>
      <c r="B1217" s="5">
        <v>180905.66325000004</v>
      </c>
      <c r="C1217" s="5">
        <f t="shared" si="37"/>
        <v>180905.66325000004</v>
      </c>
      <c r="D1217" s="4">
        <v>1</v>
      </c>
      <c r="E1217" s="5" t="s">
        <v>10</v>
      </c>
      <c r="F1217" s="4" t="s">
        <v>2858</v>
      </c>
      <c r="G1217" s="4" t="s">
        <v>12</v>
      </c>
      <c r="H1217" s="4" t="s">
        <v>2858</v>
      </c>
      <c r="I1217" s="4" t="s">
        <v>22</v>
      </c>
      <c r="J1217" s="4" t="s">
        <v>2859</v>
      </c>
      <c r="K1217" s="4" t="s">
        <v>68</v>
      </c>
      <c r="M1217">
        <f t="shared" si="38"/>
        <v>162815.09692500005</v>
      </c>
    </row>
    <row r="1218" spans="1:25" ht="14" x14ac:dyDescent="0.2">
      <c r="A1218" s="7" t="s">
        <v>5355</v>
      </c>
      <c r="B1218" s="10">
        <v>1442.0981250000002</v>
      </c>
      <c r="C1218" s="5">
        <f t="shared" si="37"/>
        <v>480.69937500000009</v>
      </c>
      <c r="D1218" s="9">
        <v>3</v>
      </c>
      <c r="E1218" s="10" t="s">
        <v>5193</v>
      </c>
      <c r="F1218" s="7" t="s">
        <v>4175</v>
      </c>
      <c r="G1218" s="7" t="s">
        <v>12</v>
      </c>
      <c r="H1218" s="7" t="s">
        <v>5356</v>
      </c>
      <c r="I1218" s="4" t="s">
        <v>22</v>
      </c>
      <c r="J1218" s="7" t="s">
        <v>5357</v>
      </c>
      <c r="K1218" s="7" t="s">
        <v>1919</v>
      </c>
      <c r="L1218" s="4"/>
      <c r="M1218">
        <f t="shared" si="38"/>
        <v>432.62943750000011</v>
      </c>
      <c r="N1218" s="3"/>
      <c r="O1218" s="3"/>
      <c r="P1218" s="3"/>
      <c r="Q1218" s="2"/>
      <c r="R1218" s="2"/>
      <c r="S1218" s="2"/>
      <c r="T1218" s="2"/>
      <c r="U1218" s="2"/>
      <c r="V1218" s="2"/>
      <c r="W1218" s="2"/>
      <c r="X1218" s="2"/>
      <c r="Y1218" s="2"/>
    </row>
    <row r="1219" spans="1:25" ht="14" x14ac:dyDescent="0.2">
      <c r="A1219" s="7" t="s">
        <v>5358</v>
      </c>
      <c r="B1219" s="10">
        <v>37161.759375000001</v>
      </c>
      <c r="C1219" s="5">
        <f t="shared" ref="C1219:C1282" si="39">(B1219/D1219)</f>
        <v>37161.759375000001</v>
      </c>
      <c r="D1219" s="9">
        <v>1</v>
      </c>
      <c r="E1219" s="10" t="s">
        <v>5359</v>
      </c>
      <c r="F1219" s="7" t="s">
        <v>5360</v>
      </c>
      <c r="G1219" s="7" t="s">
        <v>12</v>
      </c>
      <c r="H1219" s="7" t="s">
        <v>5361</v>
      </c>
      <c r="I1219" s="4" t="s">
        <v>22</v>
      </c>
      <c r="J1219" s="7" t="s">
        <v>5362</v>
      </c>
      <c r="K1219" s="7" t="s">
        <v>16</v>
      </c>
      <c r="L1219" s="4"/>
      <c r="M1219">
        <f t="shared" si="38"/>
        <v>33445.583437499998</v>
      </c>
      <c r="N1219" s="3"/>
      <c r="O1219" s="3"/>
      <c r="P1219" s="3"/>
      <c r="Q1219" s="2"/>
      <c r="R1219" s="2"/>
      <c r="S1219" s="2"/>
      <c r="T1219" s="2"/>
      <c r="U1219" s="2"/>
      <c r="V1219" s="2"/>
      <c r="W1219" s="2"/>
      <c r="X1219" s="2"/>
      <c r="Y1219" s="2"/>
    </row>
    <row r="1220" spans="1:25" ht="14" x14ac:dyDescent="0.2">
      <c r="A1220" s="4" t="s">
        <v>2860</v>
      </c>
      <c r="B1220" s="5">
        <v>1331.1675</v>
      </c>
      <c r="C1220" s="5">
        <f t="shared" si="39"/>
        <v>1331.1675</v>
      </c>
      <c r="D1220" s="4">
        <v>1</v>
      </c>
      <c r="E1220" s="5" t="s">
        <v>10</v>
      </c>
      <c r="F1220" s="4" t="s">
        <v>544</v>
      </c>
      <c r="G1220" s="4" t="s">
        <v>20</v>
      </c>
      <c r="H1220" s="4" t="s">
        <v>2861</v>
      </c>
      <c r="I1220" s="4" t="s">
        <v>22</v>
      </c>
      <c r="J1220" s="4" t="s">
        <v>78</v>
      </c>
      <c r="K1220" s="4" t="s">
        <v>108</v>
      </c>
      <c r="M1220">
        <f t="shared" si="38"/>
        <v>1198.0507500000001</v>
      </c>
    </row>
    <row r="1221" spans="1:25" ht="14" x14ac:dyDescent="0.2">
      <c r="A1221" s="7" t="s">
        <v>5363</v>
      </c>
      <c r="B1221" s="10">
        <v>31615.228125000001</v>
      </c>
      <c r="C1221" s="5">
        <f t="shared" si="39"/>
        <v>526.92046875000005</v>
      </c>
      <c r="D1221" s="9">
        <v>60</v>
      </c>
      <c r="E1221" s="10" t="s">
        <v>5193</v>
      </c>
      <c r="F1221" s="7" t="s">
        <v>5364</v>
      </c>
      <c r="H1221" s="7" t="s">
        <v>5365</v>
      </c>
      <c r="I1221" s="7" t="s">
        <v>22</v>
      </c>
      <c r="J1221" s="7" t="s">
        <v>207</v>
      </c>
      <c r="K1221" s="7" t="s">
        <v>227</v>
      </c>
      <c r="M1221">
        <f t="shared" si="38"/>
        <v>474.22842187500004</v>
      </c>
    </row>
    <row r="1222" spans="1:25" ht="14" x14ac:dyDescent="0.2">
      <c r="A1222" s="4" t="s">
        <v>2862</v>
      </c>
      <c r="B1222" s="5">
        <v>47521.570443750003</v>
      </c>
      <c r="C1222" s="5">
        <f t="shared" si="39"/>
        <v>11880.392610937501</v>
      </c>
      <c r="D1222" s="4">
        <v>4</v>
      </c>
      <c r="E1222" s="5" t="s">
        <v>10</v>
      </c>
      <c r="F1222" s="4" t="s">
        <v>2863</v>
      </c>
      <c r="G1222" s="4" t="s">
        <v>20</v>
      </c>
      <c r="H1222" s="4" t="s">
        <v>2864</v>
      </c>
      <c r="I1222" s="4" t="s">
        <v>22</v>
      </c>
      <c r="J1222" s="4" t="s">
        <v>148</v>
      </c>
      <c r="K1222" s="4" t="s">
        <v>155</v>
      </c>
      <c r="M1222">
        <f t="shared" si="38"/>
        <v>10692.35334984375</v>
      </c>
    </row>
    <row r="1223" spans="1:25" ht="14" x14ac:dyDescent="0.2">
      <c r="A1223" s="4" t="s">
        <v>2865</v>
      </c>
      <c r="B1223" s="5">
        <v>33305.810850000002</v>
      </c>
      <c r="C1223" s="5">
        <f t="shared" si="39"/>
        <v>8326.4527125000004</v>
      </c>
      <c r="D1223" s="4">
        <v>4</v>
      </c>
      <c r="E1223" s="5" t="s">
        <v>10</v>
      </c>
      <c r="F1223" s="4" t="s">
        <v>2863</v>
      </c>
      <c r="G1223" s="4" t="s">
        <v>20</v>
      </c>
      <c r="H1223" s="4" t="s">
        <v>2864</v>
      </c>
      <c r="I1223" s="4" t="s">
        <v>22</v>
      </c>
      <c r="J1223" s="4" t="s">
        <v>200</v>
      </c>
      <c r="K1223" s="4" t="s">
        <v>155</v>
      </c>
      <c r="M1223">
        <f t="shared" si="38"/>
        <v>7493.80744125</v>
      </c>
    </row>
    <row r="1224" spans="1:25" ht="14" x14ac:dyDescent="0.2">
      <c r="A1224" s="4" t="s">
        <v>2866</v>
      </c>
      <c r="B1224" s="5">
        <v>1109.3062500000001</v>
      </c>
      <c r="C1224" s="5">
        <f t="shared" si="39"/>
        <v>39.618080357142858</v>
      </c>
      <c r="D1224" s="4">
        <v>28</v>
      </c>
      <c r="E1224" s="5" t="s">
        <v>10</v>
      </c>
      <c r="F1224" s="4" t="s">
        <v>2867</v>
      </c>
      <c r="G1224" s="4" t="s">
        <v>20</v>
      </c>
      <c r="H1224" s="4" t="s">
        <v>2868</v>
      </c>
      <c r="I1224" s="4" t="s">
        <v>22</v>
      </c>
      <c r="J1224" s="4" t="s">
        <v>2869</v>
      </c>
      <c r="K1224" s="4" t="s">
        <v>68</v>
      </c>
      <c r="M1224">
        <f t="shared" si="38"/>
        <v>35.656272321428574</v>
      </c>
    </row>
    <row r="1225" spans="1:25" ht="14" x14ac:dyDescent="0.2">
      <c r="A1225" s="4" t="s">
        <v>2870</v>
      </c>
      <c r="B1225" s="5">
        <v>1774.89</v>
      </c>
      <c r="C1225" s="5">
        <f t="shared" si="39"/>
        <v>177.489</v>
      </c>
      <c r="D1225" s="4">
        <v>10</v>
      </c>
      <c r="E1225" s="5" t="s">
        <v>10</v>
      </c>
      <c r="F1225" s="4" t="s">
        <v>2651</v>
      </c>
      <c r="G1225" s="4" t="s">
        <v>20</v>
      </c>
      <c r="H1225" s="4" t="s">
        <v>2871</v>
      </c>
      <c r="I1225" s="4" t="s">
        <v>22</v>
      </c>
      <c r="J1225" s="4" t="s">
        <v>207</v>
      </c>
      <c r="K1225" s="4" t="s">
        <v>53</v>
      </c>
      <c r="M1225">
        <f t="shared" si="38"/>
        <v>159.74010000000001</v>
      </c>
    </row>
    <row r="1226" spans="1:25" ht="14" x14ac:dyDescent="0.2">
      <c r="A1226" s="4" t="s">
        <v>2872</v>
      </c>
      <c r="B1226" s="5">
        <v>1281.2487187500001</v>
      </c>
      <c r="C1226" s="5">
        <f t="shared" si="39"/>
        <v>1281.2487187500001</v>
      </c>
      <c r="D1226" s="4">
        <v>1</v>
      </c>
      <c r="E1226" s="5" t="s">
        <v>296</v>
      </c>
      <c r="F1226" s="4" t="s">
        <v>2651</v>
      </c>
      <c r="G1226" s="4" t="s">
        <v>20</v>
      </c>
      <c r="H1226" s="4" t="s">
        <v>2873</v>
      </c>
      <c r="I1226" s="4" t="s">
        <v>22</v>
      </c>
      <c r="J1226" s="4" t="s">
        <v>207</v>
      </c>
      <c r="K1226" s="4" t="s">
        <v>53</v>
      </c>
      <c r="M1226">
        <f t="shared" si="38"/>
        <v>1153.123846875</v>
      </c>
    </row>
    <row r="1227" spans="1:25" ht="14" x14ac:dyDescent="0.2">
      <c r="A1227" s="4" t="s">
        <v>2874</v>
      </c>
      <c r="B1227" s="5">
        <v>1874.7275625</v>
      </c>
      <c r="C1227" s="5">
        <f t="shared" si="39"/>
        <v>187.47275625</v>
      </c>
      <c r="D1227" s="4">
        <v>10</v>
      </c>
      <c r="E1227" s="5" t="s">
        <v>10</v>
      </c>
      <c r="F1227" s="4" t="s">
        <v>2651</v>
      </c>
      <c r="G1227" s="4" t="s">
        <v>20</v>
      </c>
      <c r="H1227" s="4" t="s">
        <v>2651</v>
      </c>
      <c r="I1227" s="4" t="s">
        <v>22</v>
      </c>
      <c r="J1227" s="4" t="s">
        <v>207</v>
      </c>
      <c r="K1227" s="4" t="s">
        <v>53</v>
      </c>
      <c r="M1227">
        <f t="shared" si="38"/>
        <v>168.72548062499999</v>
      </c>
    </row>
    <row r="1228" spans="1:25" ht="14" x14ac:dyDescent="0.2">
      <c r="A1228" s="4" t="s">
        <v>2875</v>
      </c>
      <c r="B1228" s="5">
        <v>1955.7069187500001</v>
      </c>
      <c r="C1228" s="5">
        <f t="shared" si="39"/>
        <v>1955.7069187500001</v>
      </c>
      <c r="D1228" s="4">
        <v>1</v>
      </c>
      <c r="E1228" s="5" t="s">
        <v>175</v>
      </c>
      <c r="F1228" s="4" t="s">
        <v>2651</v>
      </c>
      <c r="G1228" s="4" t="s">
        <v>20</v>
      </c>
      <c r="H1228" s="4" t="s">
        <v>2651</v>
      </c>
      <c r="I1228" s="4" t="s">
        <v>22</v>
      </c>
      <c r="J1228" s="4" t="s">
        <v>207</v>
      </c>
      <c r="K1228" s="4" t="s">
        <v>53</v>
      </c>
      <c r="M1228">
        <f t="shared" si="38"/>
        <v>1760.1362268750001</v>
      </c>
    </row>
    <row r="1229" spans="1:25" ht="14" x14ac:dyDescent="0.2">
      <c r="A1229" s="4" t="s">
        <v>2876</v>
      </c>
      <c r="B1229" s="5">
        <v>3216.9881250000003</v>
      </c>
      <c r="C1229" s="5">
        <f t="shared" si="39"/>
        <v>321.69881250000003</v>
      </c>
      <c r="D1229" s="4">
        <v>10</v>
      </c>
      <c r="E1229" s="5" t="s">
        <v>10</v>
      </c>
      <c r="F1229" s="4" t="s">
        <v>2651</v>
      </c>
      <c r="G1229" s="4" t="s">
        <v>20</v>
      </c>
      <c r="H1229" s="4" t="s">
        <v>2877</v>
      </c>
      <c r="I1229" s="4" t="s">
        <v>22</v>
      </c>
      <c r="J1229" s="4" t="s">
        <v>207</v>
      </c>
      <c r="K1229" s="4" t="s">
        <v>53</v>
      </c>
      <c r="M1229">
        <f t="shared" si="38"/>
        <v>289.52893125000003</v>
      </c>
    </row>
    <row r="1230" spans="1:25" ht="14" x14ac:dyDescent="0.2">
      <c r="A1230" s="4" t="s">
        <v>2878</v>
      </c>
      <c r="B1230" s="5">
        <v>13866.328125000002</v>
      </c>
      <c r="C1230" s="5">
        <f t="shared" si="39"/>
        <v>495.22600446428578</v>
      </c>
      <c r="D1230" s="4">
        <v>28</v>
      </c>
      <c r="E1230" s="4" t="s">
        <v>10</v>
      </c>
      <c r="F1230" s="4" t="s">
        <v>2878</v>
      </c>
      <c r="G1230" s="4" t="s">
        <v>12</v>
      </c>
      <c r="H1230" s="4" t="s">
        <v>2879</v>
      </c>
      <c r="I1230" s="4"/>
      <c r="J1230" s="4" t="s">
        <v>2880</v>
      </c>
      <c r="K1230" s="4" t="s">
        <v>68</v>
      </c>
      <c r="M1230">
        <f t="shared" si="38"/>
        <v>445.70340401785722</v>
      </c>
    </row>
    <row r="1231" spans="1:25" ht="14" x14ac:dyDescent="0.2">
      <c r="A1231" s="4" t="s">
        <v>2881</v>
      </c>
      <c r="B1231" s="5">
        <v>5879.3231250000008</v>
      </c>
      <c r="C1231" s="5">
        <f t="shared" si="39"/>
        <v>209.97582589285716</v>
      </c>
      <c r="D1231" s="4">
        <v>28</v>
      </c>
      <c r="E1231" s="5" t="s">
        <v>10</v>
      </c>
      <c r="F1231" s="4" t="s">
        <v>2882</v>
      </c>
      <c r="G1231" s="4" t="s">
        <v>20</v>
      </c>
      <c r="H1231" s="4" t="s">
        <v>2879</v>
      </c>
      <c r="I1231" s="4" t="s">
        <v>22</v>
      </c>
      <c r="J1231" s="4" t="s">
        <v>2883</v>
      </c>
      <c r="K1231" s="4" t="s">
        <v>68</v>
      </c>
      <c r="M1231">
        <f t="shared" si="38"/>
        <v>188.97824330357145</v>
      </c>
    </row>
    <row r="1232" spans="1:25" ht="14" x14ac:dyDescent="0.2">
      <c r="A1232" s="4" t="s">
        <v>2884</v>
      </c>
      <c r="B1232" s="5">
        <v>5768.3925000000008</v>
      </c>
      <c r="C1232" s="5">
        <f t="shared" si="39"/>
        <v>206.01401785714287</v>
      </c>
      <c r="D1232" s="4">
        <v>28</v>
      </c>
      <c r="E1232" s="5" t="s">
        <v>10</v>
      </c>
      <c r="F1232" s="4" t="s">
        <v>2879</v>
      </c>
      <c r="G1232" s="4" t="s">
        <v>20</v>
      </c>
      <c r="H1232" s="4" t="s">
        <v>2879</v>
      </c>
      <c r="I1232" s="4" t="s">
        <v>22</v>
      </c>
      <c r="J1232" s="4" t="s">
        <v>15</v>
      </c>
      <c r="K1232" s="4" t="s">
        <v>68</v>
      </c>
      <c r="M1232">
        <f t="shared" si="38"/>
        <v>185.4126160714286</v>
      </c>
    </row>
    <row r="1233" spans="1:13" ht="14" x14ac:dyDescent="0.2">
      <c r="A1233" s="4" t="s">
        <v>2885</v>
      </c>
      <c r="B1233" s="5">
        <v>5768.3925000000008</v>
      </c>
      <c r="C1233" s="5">
        <f t="shared" si="39"/>
        <v>206.01401785714287</v>
      </c>
      <c r="D1233" s="4">
        <v>28</v>
      </c>
      <c r="E1233" s="5" t="s">
        <v>10</v>
      </c>
      <c r="F1233" s="4" t="s">
        <v>2886</v>
      </c>
      <c r="G1233" s="4" t="s">
        <v>20</v>
      </c>
      <c r="H1233" s="4" t="s">
        <v>2879</v>
      </c>
      <c r="I1233" s="4" t="s">
        <v>22</v>
      </c>
      <c r="J1233" s="4" t="s">
        <v>2163</v>
      </c>
      <c r="K1233" s="4" t="s">
        <v>68</v>
      </c>
      <c r="M1233">
        <f t="shared" si="38"/>
        <v>185.4126160714286</v>
      </c>
    </row>
    <row r="1234" spans="1:13" ht="14" x14ac:dyDescent="0.2">
      <c r="A1234" s="4" t="s">
        <v>5366</v>
      </c>
      <c r="B1234" s="5">
        <v>998.37562500000013</v>
      </c>
      <c r="C1234" s="5">
        <f t="shared" si="39"/>
        <v>99.837562500000018</v>
      </c>
      <c r="D1234" s="4">
        <v>10</v>
      </c>
      <c r="E1234" s="5" t="s">
        <v>10</v>
      </c>
      <c r="F1234" s="4" t="s">
        <v>892</v>
      </c>
      <c r="G1234" s="4" t="s">
        <v>20</v>
      </c>
      <c r="H1234" s="4" t="s">
        <v>2887</v>
      </c>
      <c r="I1234" s="4" t="s">
        <v>22</v>
      </c>
      <c r="J1234" s="4" t="s">
        <v>761</v>
      </c>
      <c r="K1234" s="4" t="s">
        <v>227</v>
      </c>
      <c r="M1234">
        <f t="shared" si="38"/>
        <v>89.853806250000019</v>
      </c>
    </row>
    <row r="1235" spans="1:13" ht="14" x14ac:dyDescent="0.2">
      <c r="A1235" s="4" t="s">
        <v>5367</v>
      </c>
      <c r="B1235" s="5">
        <v>1331.1675</v>
      </c>
      <c r="C1235" s="5">
        <f t="shared" si="39"/>
        <v>133.11675</v>
      </c>
      <c r="D1235" s="4">
        <v>10</v>
      </c>
      <c r="E1235" s="5" t="s">
        <v>10</v>
      </c>
      <c r="F1235" s="4" t="s">
        <v>892</v>
      </c>
      <c r="G1235" s="4" t="s">
        <v>20</v>
      </c>
      <c r="H1235" s="4" t="s">
        <v>2887</v>
      </c>
      <c r="I1235" s="4" t="s">
        <v>22</v>
      </c>
      <c r="J1235" s="4" t="s">
        <v>895</v>
      </c>
      <c r="K1235" s="4" t="s">
        <v>227</v>
      </c>
      <c r="M1235">
        <f t="shared" si="38"/>
        <v>119.80507499999999</v>
      </c>
    </row>
    <row r="1236" spans="1:13" ht="14" x14ac:dyDescent="0.2">
      <c r="A1236" s="4" t="s">
        <v>2888</v>
      </c>
      <c r="B1236" s="5">
        <v>2329.5431250000001</v>
      </c>
      <c r="C1236" s="5">
        <f t="shared" si="39"/>
        <v>2329.5431250000001</v>
      </c>
      <c r="D1236" s="4">
        <v>1</v>
      </c>
      <c r="E1236" s="5" t="s">
        <v>874</v>
      </c>
      <c r="F1236" s="4" t="s">
        <v>2889</v>
      </c>
      <c r="G1236" s="4" t="s">
        <v>20</v>
      </c>
      <c r="H1236" s="4" t="s">
        <v>2888</v>
      </c>
      <c r="I1236" s="4" t="s">
        <v>22</v>
      </c>
      <c r="K1236" s="4" t="s">
        <v>23</v>
      </c>
      <c r="M1236">
        <f t="shared" si="38"/>
        <v>2096.5888125000001</v>
      </c>
    </row>
    <row r="1237" spans="1:13" ht="14" x14ac:dyDescent="0.2">
      <c r="A1237" s="4" t="s">
        <v>2890</v>
      </c>
      <c r="B1237" s="5">
        <v>19696.95</v>
      </c>
      <c r="C1237" s="5">
        <f t="shared" si="39"/>
        <v>656.56500000000005</v>
      </c>
      <c r="D1237" s="4">
        <v>30</v>
      </c>
      <c r="E1237" s="5" t="s">
        <v>30</v>
      </c>
      <c r="F1237" s="4" t="s">
        <v>2891</v>
      </c>
      <c r="G1237" s="4" t="s">
        <v>20</v>
      </c>
      <c r="H1237" s="4" t="s">
        <v>2892</v>
      </c>
      <c r="I1237" s="4" t="s">
        <v>22</v>
      </c>
      <c r="J1237" s="4" t="s">
        <v>481</v>
      </c>
      <c r="K1237" s="4" t="s">
        <v>227</v>
      </c>
      <c r="M1237">
        <f t="shared" si="38"/>
        <v>590.9085</v>
      </c>
    </row>
    <row r="1238" spans="1:13" ht="14" x14ac:dyDescent="0.2">
      <c r="A1238" s="4" t="s">
        <v>2893</v>
      </c>
      <c r="B1238" s="5">
        <v>17083.316250000003</v>
      </c>
      <c r="C1238" s="5">
        <f t="shared" si="39"/>
        <v>569.44387500000016</v>
      </c>
      <c r="D1238" s="4">
        <v>30</v>
      </c>
      <c r="E1238" s="5" t="s">
        <v>30</v>
      </c>
      <c r="F1238" s="4" t="s">
        <v>2891</v>
      </c>
      <c r="G1238" s="4" t="s">
        <v>20</v>
      </c>
      <c r="H1238" s="4" t="s">
        <v>2892</v>
      </c>
      <c r="I1238" s="4" t="s">
        <v>22</v>
      </c>
      <c r="J1238" s="4" t="s">
        <v>397</v>
      </c>
      <c r="K1238" s="4" t="s">
        <v>219</v>
      </c>
      <c r="M1238">
        <f t="shared" si="38"/>
        <v>512.4994875000001</v>
      </c>
    </row>
    <row r="1239" spans="1:13" ht="14" x14ac:dyDescent="0.2">
      <c r="A1239" s="4" t="s">
        <v>2894</v>
      </c>
      <c r="B1239" s="5">
        <v>26068.696875000001</v>
      </c>
      <c r="C1239" s="5">
        <f t="shared" si="39"/>
        <v>868.95656250000002</v>
      </c>
      <c r="D1239" s="4">
        <v>30</v>
      </c>
      <c r="E1239" s="5" t="s">
        <v>10</v>
      </c>
      <c r="F1239" s="4" t="s">
        <v>2895</v>
      </c>
      <c r="G1239" s="4" t="s">
        <v>12</v>
      </c>
      <c r="H1239" s="4" t="s">
        <v>2896</v>
      </c>
      <c r="I1239" s="4" t="s">
        <v>14</v>
      </c>
      <c r="J1239" s="4" t="s">
        <v>200</v>
      </c>
      <c r="K1239" s="4" t="s">
        <v>16</v>
      </c>
      <c r="M1239">
        <f t="shared" si="38"/>
        <v>782.06090625000002</v>
      </c>
    </row>
    <row r="1240" spans="1:13" ht="14" x14ac:dyDescent="0.2">
      <c r="A1240" s="4" t="s">
        <v>2897</v>
      </c>
      <c r="B1240" s="5">
        <v>17169.8421375</v>
      </c>
      <c r="C1240" s="5">
        <f t="shared" si="39"/>
        <v>171.69842137500001</v>
      </c>
      <c r="D1240" s="4">
        <v>100</v>
      </c>
      <c r="E1240" s="5" t="s">
        <v>30</v>
      </c>
      <c r="F1240" s="4" t="s">
        <v>821</v>
      </c>
      <c r="G1240" s="4" t="s">
        <v>20</v>
      </c>
      <c r="H1240" s="4" t="s">
        <v>2898</v>
      </c>
      <c r="I1240" s="4" t="s">
        <v>22</v>
      </c>
      <c r="K1240" s="4" t="s">
        <v>53</v>
      </c>
      <c r="M1240">
        <f t="shared" si="38"/>
        <v>154.5285792375</v>
      </c>
    </row>
    <row r="1241" spans="1:13" ht="14" x14ac:dyDescent="0.2">
      <c r="A1241" s="4" t="s">
        <v>2899</v>
      </c>
      <c r="B1241" s="5">
        <v>2551.4043750000001</v>
      </c>
      <c r="C1241" s="5">
        <f t="shared" si="39"/>
        <v>212.61703125</v>
      </c>
      <c r="D1241" s="4">
        <v>12</v>
      </c>
      <c r="E1241" s="5" t="s">
        <v>30</v>
      </c>
      <c r="F1241" s="4" t="s">
        <v>821</v>
      </c>
      <c r="G1241" s="4" t="s">
        <v>20</v>
      </c>
      <c r="H1241" s="4" t="s">
        <v>2900</v>
      </c>
      <c r="I1241" s="4" t="s">
        <v>22</v>
      </c>
      <c r="J1241" s="4" t="s">
        <v>207</v>
      </c>
      <c r="K1241" s="4" t="s">
        <v>53</v>
      </c>
      <c r="M1241">
        <f t="shared" si="38"/>
        <v>191.355328125</v>
      </c>
    </row>
    <row r="1242" spans="1:13" ht="14" x14ac:dyDescent="0.2">
      <c r="A1242" s="4" t="s">
        <v>2901</v>
      </c>
      <c r="B1242" s="5">
        <v>1657.3035374999999</v>
      </c>
      <c r="C1242" s="5">
        <f t="shared" si="39"/>
        <v>103.58147109375</v>
      </c>
      <c r="D1242" s="4">
        <v>16</v>
      </c>
      <c r="E1242" s="5" t="s">
        <v>30</v>
      </c>
      <c r="F1242" s="4" t="s">
        <v>2902</v>
      </c>
      <c r="G1242" s="4" t="s">
        <v>20</v>
      </c>
      <c r="H1242" s="4" t="s">
        <v>2903</v>
      </c>
      <c r="I1242" s="4" t="s">
        <v>22</v>
      </c>
      <c r="K1242" s="4" t="s">
        <v>34</v>
      </c>
      <c r="M1242">
        <f t="shared" si="38"/>
        <v>93.223323984375</v>
      </c>
    </row>
    <row r="1243" spans="1:13" ht="14" x14ac:dyDescent="0.2">
      <c r="A1243" s="4" t="s">
        <v>2904</v>
      </c>
      <c r="B1243" s="5">
        <v>39380.371875000004</v>
      </c>
      <c r="C1243" s="5">
        <f t="shared" si="39"/>
        <v>1312.6790625000001</v>
      </c>
      <c r="D1243" s="4">
        <v>30</v>
      </c>
      <c r="E1243" s="5" t="s">
        <v>10</v>
      </c>
      <c r="F1243" s="4" t="s">
        <v>655</v>
      </c>
      <c r="G1243" s="4" t="s">
        <v>12</v>
      </c>
      <c r="H1243" s="4" t="s">
        <v>2905</v>
      </c>
      <c r="I1243" s="4" t="s">
        <v>14</v>
      </c>
      <c r="J1243" s="4" t="s">
        <v>497</v>
      </c>
      <c r="K1243" s="4" t="s">
        <v>312</v>
      </c>
      <c r="M1243">
        <f t="shared" si="38"/>
        <v>1181.4111562500002</v>
      </c>
    </row>
    <row r="1244" spans="1:13" ht="14" x14ac:dyDescent="0.2">
      <c r="A1244" s="4" t="s">
        <v>2906</v>
      </c>
      <c r="B1244" s="5">
        <v>38271.065625000003</v>
      </c>
      <c r="C1244" s="5">
        <f t="shared" si="39"/>
        <v>1275.7021875</v>
      </c>
      <c r="D1244" s="4">
        <v>30</v>
      </c>
      <c r="E1244" s="5" t="s">
        <v>10</v>
      </c>
      <c r="F1244" s="4" t="s">
        <v>655</v>
      </c>
      <c r="G1244" s="4" t="s">
        <v>12</v>
      </c>
      <c r="H1244" s="4" t="s">
        <v>2905</v>
      </c>
      <c r="I1244" s="4" t="s">
        <v>14</v>
      </c>
      <c r="J1244" s="4" t="s">
        <v>146</v>
      </c>
      <c r="K1244" s="4" t="s">
        <v>312</v>
      </c>
      <c r="M1244">
        <f t="shared" si="38"/>
        <v>1148.1319687499999</v>
      </c>
    </row>
    <row r="1245" spans="1:13" ht="14" x14ac:dyDescent="0.2">
      <c r="A1245" s="4" t="s">
        <v>2907</v>
      </c>
      <c r="B1245" s="5">
        <v>39380.371875000004</v>
      </c>
      <c r="C1245" s="5">
        <f t="shared" si="39"/>
        <v>1312.6790625000001</v>
      </c>
      <c r="D1245" s="4">
        <v>30</v>
      </c>
      <c r="E1245" s="5" t="s">
        <v>10</v>
      </c>
      <c r="F1245" s="4" t="s">
        <v>655</v>
      </c>
      <c r="G1245" s="4" t="s">
        <v>12</v>
      </c>
      <c r="H1245" s="4" t="s">
        <v>2905</v>
      </c>
      <c r="I1245" s="4" t="s">
        <v>14</v>
      </c>
      <c r="J1245" s="4" t="s">
        <v>148</v>
      </c>
      <c r="K1245" s="4" t="s">
        <v>312</v>
      </c>
      <c r="M1245">
        <f t="shared" ref="M1245:M1308" si="40">C1245-(C1245* 10%)</f>
        <v>1181.4111562500002</v>
      </c>
    </row>
    <row r="1246" spans="1:13" ht="14" x14ac:dyDescent="0.2">
      <c r="A1246" s="4" t="s">
        <v>2908</v>
      </c>
      <c r="B1246" s="5">
        <v>39380.371875000004</v>
      </c>
      <c r="C1246" s="5">
        <f t="shared" si="39"/>
        <v>1312.6790625000001</v>
      </c>
      <c r="D1246" s="4">
        <v>30</v>
      </c>
      <c r="E1246" s="5" t="s">
        <v>10</v>
      </c>
      <c r="F1246" s="4" t="s">
        <v>655</v>
      </c>
      <c r="G1246" s="4" t="s">
        <v>12</v>
      </c>
      <c r="H1246" s="4" t="s">
        <v>2905</v>
      </c>
      <c r="I1246" s="4" t="s">
        <v>14</v>
      </c>
      <c r="J1246" s="4" t="s">
        <v>495</v>
      </c>
      <c r="K1246" s="4" t="s">
        <v>312</v>
      </c>
      <c r="M1246">
        <f t="shared" si="40"/>
        <v>1181.4111562500002</v>
      </c>
    </row>
    <row r="1247" spans="1:13" ht="14" x14ac:dyDescent="0.2">
      <c r="A1247" s="4" t="s">
        <v>2909</v>
      </c>
      <c r="B1247" s="5">
        <v>10316.548125000001</v>
      </c>
      <c r="C1247" s="5">
        <f t="shared" si="39"/>
        <v>736.89629464285724</v>
      </c>
      <c r="D1247" s="4">
        <v>14</v>
      </c>
      <c r="E1247" s="5" t="s">
        <v>10</v>
      </c>
      <c r="F1247" s="4" t="s">
        <v>655</v>
      </c>
      <c r="G1247" s="4" t="s">
        <v>12</v>
      </c>
      <c r="H1247" s="4" t="s">
        <v>2910</v>
      </c>
      <c r="I1247" s="4" t="s">
        <v>22</v>
      </c>
      <c r="J1247" s="4" t="s">
        <v>146</v>
      </c>
      <c r="K1247" s="4" t="s">
        <v>312</v>
      </c>
      <c r="M1247">
        <f t="shared" si="40"/>
        <v>663.20666517857148</v>
      </c>
    </row>
    <row r="1248" spans="1:13" ht="14" x14ac:dyDescent="0.2">
      <c r="A1248" s="4" t="s">
        <v>2911</v>
      </c>
      <c r="B1248" s="5">
        <v>10982.131875000001</v>
      </c>
      <c r="C1248" s="5">
        <f t="shared" si="39"/>
        <v>784.43799107142866</v>
      </c>
      <c r="D1248" s="4">
        <v>14</v>
      </c>
      <c r="E1248" s="5" t="s">
        <v>10</v>
      </c>
      <c r="F1248" s="4" t="s">
        <v>655</v>
      </c>
      <c r="G1248" s="4" t="s">
        <v>12</v>
      </c>
      <c r="H1248" s="4" t="s">
        <v>2910</v>
      </c>
      <c r="I1248" s="4" t="s">
        <v>22</v>
      </c>
      <c r="J1248" s="4" t="s">
        <v>148</v>
      </c>
      <c r="K1248" s="4" t="s">
        <v>312</v>
      </c>
      <c r="M1248">
        <f t="shared" si="40"/>
        <v>705.99419196428585</v>
      </c>
    </row>
    <row r="1249" spans="1:25" ht="14" x14ac:dyDescent="0.2">
      <c r="A1249" s="7" t="s">
        <v>5368</v>
      </c>
      <c r="B1249" s="10">
        <v>30505.921875000004</v>
      </c>
      <c r="C1249" s="5">
        <f t="shared" si="39"/>
        <v>30505.921875000004</v>
      </c>
      <c r="D1249" s="9">
        <v>1</v>
      </c>
      <c r="E1249" s="10" t="s">
        <v>5217</v>
      </c>
      <c r="F1249" s="7" t="s">
        <v>5369</v>
      </c>
      <c r="G1249" s="7" t="s">
        <v>12</v>
      </c>
      <c r="H1249" s="7" t="s">
        <v>5369</v>
      </c>
      <c r="I1249" s="4" t="s">
        <v>22</v>
      </c>
      <c r="J1249" s="7" t="s">
        <v>5179</v>
      </c>
      <c r="K1249" s="7" t="s">
        <v>5243</v>
      </c>
      <c r="L1249" s="4"/>
      <c r="M1249">
        <f t="shared" si="40"/>
        <v>27455.329687500001</v>
      </c>
      <c r="N1249" s="3"/>
      <c r="O1249" s="3"/>
      <c r="P1249" s="3"/>
      <c r="Q1249" s="2"/>
      <c r="R1249" s="2"/>
      <c r="S1249" s="2"/>
      <c r="T1249" s="2"/>
      <c r="U1249" s="2"/>
      <c r="V1249" s="2"/>
      <c r="W1249" s="2"/>
      <c r="X1249" s="2"/>
      <c r="Y1249" s="2"/>
    </row>
    <row r="1250" spans="1:25" ht="14" x14ac:dyDescent="0.2">
      <c r="A1250" s="4" t="s">
        <v>2912</v>
      </c>
      <c r="B1250" s="5">
        <v>23865.6146625</v>
      </c>
      <c r="C1250" s="5">
        <f t="shared" si="39"/>
        <v>238.65614662499999</v>
      </c>
      <c r="D1250" s="4">
        <v>100</v>
      </c>
      <c r="E1250" s="5" t="s">
        <v>10</v>
      </c>
      <c r="F1250" s="4" t="s">
        <v>2913</v>
      </c>
      <c r="G1250" s="4" t="s">
        <v>20</v>
      </c>
      <c r="H1250" s="4" t="s">
        <v>2914</v>
      </c>
      <c r="I1250" s="4" t="s">
        <v>22</v>
      </c>
      <c r="J1250" s="4" t="s">
        <v>2915</v>
      </c>
      <c r="K1250" s="4" t="s">
        <v>34</v>
      </c>
      <c r="M1250">
        <f t="shared" si="40"/>
        <v>214.79053196249998</v>
      </c>
    </row>
    <row r="1251" spans="1:25" ht="14" x14ac:dyDescent="0.2">
      <c r="A1251" s="4" t="s">
        <v>2916</v>
      </c>
      <c r="B1251" s="5">
        <v>4463.8483500000011</v>
      </c>
      <c r="C1251" s="5">
        <f t="shared" si="39"/>
        <v>159.42315535714289</v>
      </c>
      <c r="D1251" s="4">
        <v>28</v>
      </c>
      <c r="E1251" s="5" t="s">
        <v>10</v>
      </c>
      <c r="F1251" s="4" t="s">
        <v>246</v>
      </c>
      <c r="G1251" s="4" t="s">
        <v>12</v>
      </c>
      <c r="H1251" s="4" t="s">
        <v>2917</v>
      </c>
      <c r="I1251" s="4" t="s">
        <v>22</v>
      </c>
      <c r="J1251" s="4" t="s">
        <v>1047</v>
      </c>
      <c r="K1251" s="4" t="s">
        <v>90</v>
      </c>
      <c r="M1251">
        <f t="shared" si="40"/>
        <v>143.48083982142859</v>
      </c>
    </row>
    <row r="1252" spans="1:25" ht="14" x14ac:dyDescent="0.2">
      <c r="A1252" s="4" t="s">
        <v>2918</v>
      </c>
      <c r="B1252" s="5">
        <v>3265.7976000000003</v>
      </c>
      <c r="C1252" s="5">
        <f t="shared" si="39"/>
        <v>116.63562857142858</v>
      </c>
      <c r="D1252" s="4">
        <v>28</v>
      </c>
      <c r="E1252" s="5" t="s">
        <v>10</v>
      </c>
      <c r="F1252" s="4" t="s">
        <v>2919</v>
      </c>
      <c r="G1252" s="4" t="s">
        <v>12</v>
      </c>
      <c r="H1252" s="4" t="s">
        <v>2919</v>
      </c>
      <c r="I1252" s="4" t="s">
        <v>22</v>
      </c>
      <c r="J1252" s="4" t="s">
        <v>146</v>
      </c>
      <c r="K1252" s="4" t="s">
        <v>90</v>
      </c>
      <c r="M1252">
        <f t="shared" si="40"/>
        <v>104.97206571428572</v>
      </c>
    </row>
    <row r="1253" spans="1:25" ht="14" x14ac:dyDescent="0.2">
      <c r="A1253" s="4" t="s">
        <v>2920</v>
      </c>
      <c r="B1253" s="5">
        <v>2546.9671500000004</v>
      </c>
      <c r="C1253" s="5">
        <f t="shared" si="39"/>
        <v>90.963112500000008</v>
      </c>
      <c r="D1253" s="4">
        <v>28</v>
      </c>
      <c r="E1253" s="5" t="s">
        <v>10</v>
      </c>
      <c r="F1253" s="4" t="s">
        <v>2919</v>
      </c>
      <c r="G1253" s="4" t="s">
        <v>12</v>
      </c>
      <c r="H1253" s="4" t="s">
        <v>2919</v>
      </c>
      <c r="I1253" s="4" t="s">
        <v>22</v>
      </c>
      <c r="J1253" s="4" t="s">
        <v>603</v>
      </c>
      <c r="K1253" s="4" t="s">
        <v>90</v>
      </c>
      <c r="M1253">
        <f t="shared" si="40"/>
        <v>81.866801250000009</v>
      </c>
    </row>
    <row r="1254" spans="1:25" ht="14" x14ac:dyDescent="0.2">
      <c r="A1254" s="4" t="s">
        <v>2921</v>
      </c>
      <c r="B1254" s="5">
        <v>6433.9762500000006</v>
      </c>
      <c r="C1254" s="5">
        <f t="shared" si="39"/>
        <v>221.86125000000001</v>
      </c>
      <c r="D1254" s="4">
        <v>29</v>
      </c>
      <c r="E1254" s="5" t="s">
        <v>10</v>
      </c>
      <c r="F1254" s="4" t="s">
        <v>2919</v>
      </c>
      <c r="G1254" s="4" t="s">
        <v>12</v>
      </c>
      <c r="H1254" s="4" t="s">
        <v>2919</v>
      </c>
      <c r="I1254" s="4" t="s">
        <v>22</v>
      </c>
      <c r="J1254" s="4" t="s">
        <v>148</v>
      </c>
      <c r="K1254" s="4" t="s">
        <v>90</v>
      </c>
      <c r="M1254">
        <f t="shared" si="40"/>
        <v>199.67512500000001</v>
      </c>
    </row>
    <row r="1255" spans="1:25" ht="14" x14ac:dyDescent="0.2">
      <c r="A1255" s="4" t="s">
        <v>2922</v>
      </c>
      <c r="B1255" s="5">
        <v>2906.3823750000006</v>
      </c>
      <c r="C1255" s="5">
        <f t="shared" si="39"/>
        <v>103.7993705357143</v>
      </c>
      <c r="D1255" s="4">
        <v>28</v>
      </c>
      <c r="E1255" s="5" t="s">
        <v>10</v>
      </c>
      <c r="F1255" s="4" t="s">
        <v>2919</v>
      </c>
      <c r="G1255" s="4" t="s">
        <v>12</v>
      </c>
      <c r="H1255" s="4" t="s">
        <v>2919</v>
      </c>
      <c r="I1255" s="4" t="s">
        <v>22</v>
      </c>
      <c r="J1255" s="4" t="s">
        <v>200</v>
      </c>
      <c r="K1255" s="4" t="s">
        <v>90</v>
      </c>
      <c r="M1255">
        <f t="shared" si="40"/>
        <v>93.419433482142864</v>
      </c>
    </row>
    <row r="1256" spans="1:25" ht="14" x14ac:dyDescent="0.2">
      <c r="A1256" s="4" t="s">
        <v>2923</v>
      </c>
      <c r="B1256" s="5">
        <v>4548.1556250000003</v>
      </c>
      <c r="C1256" s="5">
        <f t="shared" si="39"/>
        <v>4548.1556250000003</v>
      </c>
      <c r="D1256" s="4">
        <v>1</v>
      </c>
      <c r="E1256" s="5" t="s">
        <v>30</v>
      </c>
      <c r="F1256" s="4" t="s">
        <v>2924</v>
      </c>
      <c r="G1256" s="4" t="s">
        <v>20</v>
      </c>
      <c r="H1256" s="4" t="s">
        <v>2925</v>
      </c>
      <c r="I1256" s="4" t="s">
        <v>22</v>
      </c>
      <c r="K1256" s="4" t="s">
        <v>34</v>
      </c>
      <c r="M1256">
        <f t="shared" si="40"/>
        <v>4093.3400625000004</v>
      </c>
    </row>
    <row r="1257" spans="1:25" ht="14" x14ac:dyDescent="0.2">
      <c r="A1257" s="4" t="s">
        <v>2926</v>
      </c>
      <c r="B1257" s="5">
        <v>7468.9589812500008</v>
      </c>
      <c r="C1257" s="5">
        <f t="shared" si="39"/>
        <v>7468.9589812500008</v>
      </c>
      <c r="D1257" s="4">
        <v>1</v>
      </c>
      <c r="E1257" s="5" t="s">
        <v>59</v>
      </c>
      <c r="F1257" s="4" t="s">
        <v>2924</v>
      </c>
      <c r="G1257" s="4" t="s">
        <v>20</v>
      </c>
      <c r="H1257" s="4" t="s">
        <v>2926</v>
      </c>
      <c r="I1257" s="4" t="s">
        <v>22</v>
      </c>
      <c r="K1257" s="4" t="s">
        <v>34</v>
      </c>
      <c r="M1257">
        <f t="shared" si="40"/>
        <v>6722.063083125001</v>
      </c>
    </row>
    <row r="1258" spans="1:25" ht="14" x14ac:dyDescent="0.2">
      <c r="A1258" s="4" t="s">
        <v>2927</v>
      </c>
      <c r="B1258" s="5">
        <v>16639.59375</v>
      </c>
      <c r="C1258" s="5">
        <f t="shared" si="39"/>
        <v>554.65312500000005</v>
      </c>
      <c r="D1258" s="4">
        <v>30</v>
      </c>
      <c r="E1258" s="5" t="s">
        <v>30</v>
      </c>
      <c r="F1258" s="4" t="s">
        <v>2928</v>
      </c>
      <c r="G1258" s="4" t="s">
        <v>20</v>
      </c>
      <c r="H1258" s="4" t="s">
        <v>2929</v>
      </c>
      <c r="I1258" s="4" t="s">
        <v>22</v>
      </c>
      <c r="J1258" s="4" t="s">
        <v>47</v>
      </c>
      <c r="K1258" s="4" t="s">
        <v>34</v>
      </c>
      <c r="M1258">
        <f t="shared" si="40"/>
        <v>499.18781250000006</v>
      </c>
    </row>
    <row r="1259" spans="1:25" ht="14" x14ac:dyDescent="0.2">
      <c r="A1259" s="4" t="s">
        <v>2930</v>
      </c>
      <c r="B1259" s="5">
        <v>978.40811250000002</v>
      </c>
      <c r="C1259" s="5">
        <f t="shared" si="39"/>
        <v>978.40811250000002</v>
      </c>
      <c r="D1259" s="4">
        <v>1</v>
      </c>
      <c r="E1259" s="5" t="s">
        <v>59</v>
      </c>
      <c r="F1259" s="4" t="s">
        <v>2931</v>
      </c>
      <c r="G1259" s="4" t="s">
        <v>20</v>
      </c>
      <c r="H1259" s="4" t="s">
        <v>2932</v>
      </c>
      <c r="I1259" s="4" t="s">
        <v>22</v>
      </c>
      <c r="K1259" s="4" t="s">
        <v>118</v>
      </c>
      <c r="M1259">
        <f t="shared" si="40"/>
        <v>880.56730125000001</v>
      </c>
    </row>
    <row r="1260" spans="1:25" ht="14" x14ac:dyDescent="0.2">
      <c r="A1260" s="4" t="s">
        <v>2933</v>
      </c>
      <c r="B1260" s="5">
        <v>499.18781250000006</v>
      </c>
      <c r="C1260" s="5">
        <f t="shared" si="39"/>
        <v>49.918781250000009</v>
      </c>
      <c r="D1260" s="4">
        <v>10</v>
      </c>
      <c r="E1260" s="5" t="s">
        <v>30</v>
      </c>
      <c r="F1260" s="4" t="s">
        <v>1379</v>
      </c>
      <c r="G1260" s="4" t="s">
        <v>20</v>
      </c>
      <c r="H1260" s="4" t="s">
        <v>2934</v>
      </c>
      <c r="I1260" s="4" t="s">
        <v>22</v>
      </c>
      <c r="J1260" s="4" t="s">
        <v>273</v>
      </c>
      <c r="K1260" s="4" t="s">
        <v>406</v>
      </c>
      <c r="M1260">
        <f t="shared" si="40"/>
        <v>44.92690312500001</v>
      </c>
    </row>
    <row r="1261" spans="1:25" ht="14" x14ac:dyDescent="0.2">
      <c r="A1261" s="4" t="s">
        <v>2935</v>
      </c>
      <c r="B1261" s="5">
        <v>1885.8206250000001</v>
      </c>
      <c r="C1261" s="5">
        <f t="shared" si="39"/>
        <v>1885.8206250000001</v>
      </c>
      <c r="D1261" s="4">
        <v>1</v>
      </c>
      <c r="E1261" s="5" t="s">
        <v>874</v>
      </c>
      <c r="F1261" s="4" t="s">
        <v>1268</v>
      </c>
      <c r="G1261" s="4" t="s">
        <v>20</v>
      </c>
      <c r="H1261" s="4" t="s">
        <v>2935</v>
      </c>
      <c r="I1261" s="4" t="s">
        <v>22</v>
      </c>
      <c r="K1261" s="4" t="s">
        <v>87</v>
      </c>
      <c r="M1261">
        <f t="shared" si="40"/>
        <v>1697.2385625000002</v>
      </c>
    </row>
    <row r="1262" spans="1:25" ht="14" x14ac:dyDescent="0.2">
      <c r="A1262" s="4" t="s">
        <v>2936</v>
      </c>
      <c r="B1262" s="5">
        <v>1198.0507500000001</v>
      </c>
      <c r="C1262" s="5">
        <f t="shared" si="39"/>
        <v>119.80507500000002</v>
      </c>
      <c r="D1262" s="4">
        <v>10</v>
      </c>
      <c r="E1262" s="5" t="s">
        <v>10</v>
      </c>
      <c r="F1262" s="4" t="s">
        <v>1268</v>
      </c>
      <c r="G1262" s="4" t="s">
        <v>20</v>
      </c>
      <c r="H1262" s="4" t="s">
        <v>2937</v>
      </c>
      <c r="I1262" s="4" t="s">
        <v>22</v>
      </c>
      <c r="J1262" s="4" t="s">
        <v>140</v>
      </c>
      <c r="K1262" s="4" t="s">
        <v>87</v>
      </c>
      <c r="M1262">
        <f t="shared" si="40"/>
        <v>107.82456750000001</v>
      </c>
    </row>
    <row r="1263" spans="1:25" ht="14" x14ac:dyDescent="0.2">
      <c r="A1263" s="4" t="s">
        <v>2938</v>
      </c>
      <c r="B1263" s="5">
        <v>1097.1038812500001</v>
      </c>
      <c r="C1263" s="5">
        <f t="shared" si="39"/>
        <v>109.71038812500001</v>
      </c>
      <c r="D1263" s="4">
        <v>10</v>
      </c>
      <c r="E1263" s="5" t="s">
        <v>10</v>
      </c>
      <c r="F1263" s="4" t="s">
        <v>2939</v>
      </c>
      <c r="G1263" s="4" t="s">
        <v>20</v>
      </c>
      <c r="H1263" s="4" t="s">
        <v>2940</v>
      </c>
      <c r="I1263" s="4" t="s">
        <v>22</v>
      </c>
      <c r="K1263" s="4" t="s">
        <v>87</v>
      </c>
      <c r="M1263">
        <f t="shared" si="40"/>
        <v>98.739349312500011</v>
      </c>
    </row>
    <row r="1264" spans="1:25" ht="14" x14ac:dyDescent="0.2">
      <c r="A1264" s="4" t="s">
        <v>2941</v>
      </c>
      <c r="B1264" s="5">
        <v>1193.6135250000002</v>
      </c>
      <c r="C1264" s="5">
        <f t="shared" si="39"/>
        <v>1193.6135250000002</v>
      </c>
      <c r="D1264" s="4">
        <v>1</v>
      </c>
      <c r="E1264" s="5" t="s">
        <v>257</v>
      </c>
      <c r="F1264" s="4" t="s">
        <v>1268</v>
      </c>
      <c r="G1264" s="4" t="s">
        <v>20</v>
      </c>
      <c r="H1264" s="4" t="s">
        <v>2941</v>
      </c>
      <c r="I1264" s="4" t="s">
        <v>22</v>
      </c>
      <c r="K1264" s="4" t="s">
        <v>108</v>
      </c>
      <c r="M1264">
        <f t="shared" si="40"/>
        <v>1074.2521725000001</v>
      </c>
    </row>
    <row r="1265" spans="1:13" ht="14" x14ac:dyDescent="0.2">
      <c r="A1265" s="4" t="s">
        <v>2942</v>
      </c>
      <c r="B1265" s="5">
        <v>765.42131250000011</v>
      </c>
      <c r="C1265" s="5">
        <f t="shared" si="39"/>
        <v>76.542131250000011</v>
      </c>
      <c r="D1265" s="4">
        <v>10</v>
      </c>
      <c r="E1265" s="5" t="s">
        <v>10</v>
      </c>
      <c r="F1265" s="4" t="s">
        <v>1268</v>
      </c>
      <c r="G1265" s="4" t="s">
        <v>20</v>
      </c>
      <c r="H1265" s="4" t="s">
        <v>2937</v>
      </c>
      <c r="I1265" s="4" t="s">
        <v>22</v>
      </c>
      <c r="K1265" s="4" t="s">
        <v>87</v>
      </c>
      <c r="M1265">
        <f t="shared" si="40"/>
        <v>68.887918125000013</v>
      </c>
    </row>
    <row r="1266" spans="1:13" ht="14" x14ac:dyDescent="0.2">
      <c r="A1266" s="4" t="s">
        <v>5370</v>
      </c>
      <c r="B1266" s="5">
        <v>2247.4544625000003</v>
      </c>
      <c r="C1266" s="5">
        <f t="shared" si="39"/>
        <v>374.57574375000007</v>
      </c>
      <c r="D1266" s="4">
        <v>6</v>
      </c>
      <c r="E1266" s="5" t="s">
        <v>10</v>
      </c>
      <c r="F1266" s="4" t="s">
        <v>2943</v>
      </c>
      <c r="G1266" s="4" t="s">
        <v>20</v>
      </c>
      <c r="H1266" s="4" t="s">
        <v>2944</v>
      </c>
      <c r="I1266" s="4" t="s">
        <v>22</v>
      </c>
      <c r="J1266" s="4" t="s">
        <v>1325</v>
      </c>
      <c r="K1266" s="4" t="s">
        <v>108</v>
      </c>
      <c r="M1266">
        <f t="shared" si="40"/>
        <v>337.11816937500009</v>
      </c>
    </row>
    <row r="1267" spans="1:13" ht="14" x14ac:dyDescent="0.2">
      <c r="A1267" s="4" t="s">
        <v>2945</v>
      </c>
      <c r="B1267" s="5">
        <v>2662.335</v>
      </c>
      <c r="C1267" s="5">
        <f t="shared" si="39"/>
        <v>221.86125000000001</v>
      </c>
      <c r="D1267" s="4">
        <v>12</v>
      </c>
      <c r="E1267" s="5" t="s">
        <v>10</v>
      </c>
      <c r="F1267" s="4" t="s">
        <v>110</v>
      </c>
      <c r="G1267" s="4" t="s">
        <v>20</v>
      </c>
      <c r="H1267" s="4" t="s">
        <v>2946</v>
      </c>
      <c r="I1267" s="4" t="s">
        <v>22</v>
      </c>
      <c r="J1267" s="4" t="s">
        <v>282</v>
      </c>
      <c r="K1267" s="4" t="s">
        <v>108</v>
      </c>
      <c r="M1267">
        <f t="shared" si="40"/>
        <v>199.67512500000001</v>
      </c>
    </row>
    <row r="1268" spans="1:13" ht="14" x14ac:dyDescent="0.2">
      <c r="A1268" s="4" t="s">
        <v>2947</v>
      </c>
      <c r="B1268" s="5">
        <v>2440.4737500000001</v>
      </c>
      <c r="C1268" s="5">
        <f t="shared" si="39"/>
        <v>2440.4737500000001</v>
      </c>
      <c r="D1268" s="4">
        <v>1</v>
      </c>
      <c r="E1268" s="5" t="s">
        <v>181</v>
      </c>
      <c r="F1268" s="4" t="s">
        <v>2948</v>
      </c>
      <c r="G1268" s="4" t="s">
        <v>20</v>
      </c>
      <c r="H1268" s="4" t="s">
        <v>2944</v>
      </c>
      <c r="I1268" s="4" t="s">
        <v>22</v>
      </c>
      <c r="J1268" s="4" t="s">
        <v>2949</v>
      </c>
      <c r="K1268" s="4" t="s">
        <v>108</v>
      </c>
      <c r="M1268">
        <f t="shared" si="40"/>
        <v>2196.426375</v>
      </c>
    </row>
    <row r="1269" spans="1:13" ht="14" x14ac:dyDescent="0.2">
      <c r="A1269" s="4" t="s">
        <v>2950</v>
      </c>
      <c r="B1269" s="5">
        <v>8551.6418812500015</v>
      </c>
      <c r="C1269" s="5">
        <f t="shared" si="39"/>
        <v>85.516418812500021</v>
      </c>
      <c r="D1269" s="4">
        <v>100</v>
      </c>
      <c r="E1269" s="5" t="s">
        <v>10</v>
      </c>
      <c r="F1269" s="4" t="s">
        <v>2951</v>
      </c>
      <c r="G1269" s="4" t="s">
        <v>20</v>
      </c>
      <c r="H1269" s="4" t="s">
        <v>2952</v>
      </c>
      <c r="I1269" s="4" t="s">
        <v>22</v>
      </c>
      <c r="K1269" s="4" t="s">
        <v>406</v>
      </c>
      <c r="M1269">
        <f t="shared" si="40"/>
        <v>76.964776931250015</v>
      </c>
    </row>
    <row r="1270" spans="1:13" ht="14" x14ac:dyDescent="0.2">
      <c r="A1270" s="4" t="s">
        <v>2953</v>
      </c>
      <c r="B1270" s="5">
        <v>4437.2250000000004</v>
      </c>
      <c r="C1270" s="5">
        <f t="shared" si="39"/>
        <v>4437.2250000000004</v>
      </c>
      <c r="D1270" s="4">
        <v>1</v>
      </c>
      <c r="E1270" s="5" t="s">
        <v>181</v>
      </c>
      <c r="F1270" s="4" t="s">
        <v>2954</v>
      </c>
      <c r="G1270" s="4" t="s">
        <v>20</v>
      </c>
      <c r="H1270" s="4" t="s">
        <v>2955</v>
      </c>
      <c r="I1270" s="4" t="s">
        <v>22</v>
      </c>
      <c r="K1270" s="4" t="s">
        <v>108</v>
      </c>
      <c r="M1270">
        <f t="shared" si="40"/>
        <v>3993.5025000000005</v>
      </c>
    </row>
    <row r="1271" spans="1:13" ht="14" x14ac:dyDescent="0.2">
      <c r="A1271" s="4" t="s">
        <v>2956</v>
      </c>
      <c r="B1271" s="5">
        <v>4215.3637500000004</v>
      </c>
      <c r="C1271" s="5">
        <f t="shared" si="39"/>
        <v>702.56062500000007</v>
      </c>
      <c r="D1271" s="4">
        <v>6</v>
      </c>
      <c r="E1271" s="5" t="s">
        <v>10</v>
      </c>
      <c r="F1271" s="4" t="s">
        <v>105</v>
      </c>
      <c r="G1271" s="4" t="s">
        <v>20</v>
      </c>
      <c r="H1271" s="4" t="s">
        <v>2957</v>
      </c>
      <c r="I1271" s="4" t="s">
        <v>22</v>
      </c>
      <c r="J1271" s="4" t="s">
        <v>1322</v>
      </c>
      <c r="K1271" s="4" t="s">
        <v>108</v>
      </c>
      <c r="M1271">
        <f t="shared" si="40"/>
        <v>632.30456250000009</v>
      </c>
    </row>
    <row r="1272" spans="1:13" ht="14" x14ac:dyDescent="0.2">
      <c r="A1272" s="4" t="s">
        <v>2958</v>
      </c>
      <c r="B1272" s="5">
        <v>3505.4077500000003</v>
      </c>
      <c r="C1272" s="5">
        <f t="shared" si="39"/>
        <v>146.05865625000001</v>
      </c>
      <c r="D1272" s="4">
        <v>24</v>
      </c>
      <c r="E1272" s="5" t="s">
        <v>10</v>
      </c>
      <c r="F1272" s="4" t="s">
        <v>105</v>
      </c>
      <c r="G1272" s="4" t="s">
        <v>20</v>
      </c>
      <c r="H1272" s="4" t="s">
        <v>2957</v>
      </c>
      <c r="I1272" s="4" t="s">
        <v>22</v>
      </c>
      <c r="J1272" s="4" t="s">
        <v>1322</v>
      </c>
      <c r="K1272" s="4" t="s">
        <v>108</v>
      </c>
      <c r="M1272">
        <f t="shared" si="40"/>
        <v>131.45279062500001</v>
      </c>
    </row>
    <row r="1273" spans="1:13" ht="14" x14ac:dyDescent="0.2">
      <c r="A1273" s="4" t="s">
        <v>2959</v>
      </c>
      <c r="B1273" s="5">
        <v>2497.04836875</v>
      </c>
      <c r="C1273" s="5">
        <f t="shared" si="39"/>
        <v>124.85241843750001</v>
      </c>
      <c r="D1273" s="4">
        <v>20</v>
      </c>
      <c r="E1273" s="5" t="s">
        <v>10</v>
      </c>
      <c r="F1273" s="4" t="s">
        <v>968</v>
      </c>
      <c r="G1273" s="4" t="s">
        <v>20</v>
      </c>
      <c r="H1273" s="4" t="s">
        <v>2960</v>
      </c>
      <c r="I1273" s="4" t="s">
        <v>22</v>
      </c>
      <c r="J1273" s="4" t="s">
        <v>679</v>
      </c>
      <c r="K1273" s="4" t="s">
        <v>34</v>
      </c>
      <c r="M1273">
        <f t="shared" si="40"/>
        <v>112.36717659375</v>
      </c>
    </row>
    <row r="1274" spans="1:13" ht="14" x14ac:dyDescent="0.2">
      <c r="A1274" s="4" t="s">
        <v>2961</v>
      </c>
      <c r="B1274" s="5">
        <v>6433.9762500000006</v>
      </c>
      <c r="C1274" s="5">
        <f t="shared" si="39"/>
        <v>64.339762500000006</v>
      </c>
      <c r="D1274" s="4">
        <v>100</v>
      </c>
      <c r="E1274" s="5" t="s">
        <v>10</v>
      </c>
      <c r="F1274" s="4" t="s">
        <v>2461</v>
      </c>
      <c r="G1274" s="4" t="s">
        <v>20</v>
      </c>
      <c r="H1274" s="4" t="s">
        <v>2962</v>
      </c>
      <c r="I1274" s="4" t="s">
        <v>22</v>
      </c>
      <c r="J1274" s="4" t="s">
        <v>351</v>
      </c>
      <c r="K1274" s="4" t="s">
        <v>34</v>
      </c>
      <c r="M1274">
        <f t="shared" si="40"/>
        <v>57.905786250000006</v>
      </c>
    </row>
    <row r="1275" spans="1:13" ht="14" x14ac:dyDescent="0.2">
      <c r="A1275" s="4" t="s">
        <v>2963</v>
      </c>
      <c r="B1275" s="5">
        <v>942.91031250000003</v>
      </c>
      <c r="C1275" s="5">
        <f t="shared" si="39"/>
        <v>94.291031250000003</v>
      </c>
      <c r="D1275" s="4">
        <v>10</v>
      </c>
      <c r="E1275" s="5" t="s">
        <v>10</v>
      </c>
      <c r="F1275" s="4" t="s">
        <v>1379</v>
      </c>
      <c r="G1275" s="4" t="s">
        <v>20</v>
      </c>
      <c r="H1275" s="4" t="s">
        <v>1380</v>
      </c>
      <c r="I1275" s="4" t="s">
        <v>22</v>
      </c>
      <c r="J1275" s="4" t="s">
        <v>273</v>
      </c>
      <c r="K1275" s="4" t="s">
        <v>406</v>
      </c>
      <c r="M1275">
        <f t="shared" si="40"/>
        <v>84.861928125000006</v>
      </c>
    </row>
    <row r="1276" spans="1:13" ht="14" x14ac:dyDescent="0.2">
      <c r="A1276" s="4" t="s">
        <v>2964</v>
      </c>
      <c r="B1276" s="5">
        <v>29831.463674999999</v>
      </c>
      <c r="C1276" s="5">
        <f t="shared" si="39"/>
        <v>248.59553062499998</v>
      </c>
      <c r="D1276" s="4">
        <v>120</v>
      </c>
      <c r="E1276" s="5" t="s">
        <v>10</v>
      </c>
      <c r="F1276" s="4" t="s">
        <v>2965</v>
      </c>
      <c r="G1276" s="4" t="s">
        <v>12</v>
      </c>
      <c r="H1276" s="4" t="s">
        <v>2966</v>
      </c>
      <c r="I1276" s="4" t="s">
        <v>22</v>
      </c>
      <c r="K1276" s="4" t="s">
        <v>48</v>
      </c>
      <c r="M1276">
        <f t="shared" si="40"/>
        <v>223.73597756249998</v>
      </c>
    </row>
    <row r="1277" spans="1:13" ht="14" x14ac:dyDescent="0.2">
      <c r="A1277" s="4" t="s">
        <v>2967</v>
      </c>
      <c r="B1277" s="5">
        <v>7745.1762375000008</v>
      </c>
      <c r="C1277" s="5">
        <f t="shared" si="39"/>
        <v>193.62940593750002</v>
      </c>
      <c r="D1277" s="4">
        <v>40</v>
      </c>
      <c r="E1277" s="5" t="s">
        <v>10</v>
      </c>
      <c r="F1277" s="4" t="s">
        <v>2968</v>
      </c>
      <c r="G1277" s="4" t="s">
        <v>12</v>
      </c>
      <c r="H1277" s="4" t="s">
        <v>2969</v>
      </c>
      <c r="I1277" s="4" t="s">
        <v>22</v>
      </c>
      <c r="J1277" s="4" t="s">
        <v>140</v>
      </c>
      <c r="K1277" s="4" t="s">
        <v>90</v>
      </c>
      <c r="M1277">
        <f t="shared" si="40"/>
        <v>174.26646534375001</v>
      </c>
    </row>
    <row r="1278" spans="1:13" ht="14" x14ac:dyDescent="0.2">
      <c r="A1278" s="4" t="s">
        <v>2970</v>
      </c>
      <c r="B1278" s="5">
        <v>5858.2463062500001</v>
      </c>
      <c r="C1278" s="5">
        <f t="shared" si="39"/>
        <v>146.45615765625001</v>
      </c>
      <c r="D1278" s="4">
        <v>40</v>
      </c>
      <c r="E1278" s="5" t="s">
        <v>10</v>
      </c>
      <c r="F1278" s="4" t="s">
        <v>2968</v>
      </c>
      <c r="G1278" s="4" t="s">
        <v>12</v>
      </c>
      <c r="H1278" s="4" t="s">
        <v>2969</v>
      </c>
      <c r="I1278" s="4" t="s">
        <v>22</v>
      </c>
      <c r="J1278" s="4" t="s">
        <v>78</v>
      </c>
      <c r="K1278" s="4" t="s">
        <v>90</v>
      </c>
      <c r="M1278">
        <f t="shared" si="40"/>
        <v>131.81054189062502</v>
      </c>
    </row>
    <row r="1279" spans="1:13" ht="14" x14ac:dyDescent="0.2">
      <c r="A1279" s="4" t="s">
        <v>2971</v>
      </c>
      <c r="B1279" s="5">
        <v>1053.8409375000001</v>
      </c>
      <c r="C1279" s="5">
        <f t="shared" si="39"/>
        <v>1053.8409375000001</v>
      </c>
      <c r="D1279" s="4">
        <v>1</v>
      </c>
      <c r="E1279" s="5" t="s">
        <v>59</v>
      </c>
      <c r="F1279" s="4" t="s">
        <v>1240</v>
      </c>
      <c r="G1279" s="4" t="s">
        <v>20</v>
      </c>
      <c r="H1279" s="4" t="s">
        <v>2972</v>
      </c>
      <c r="I1279" s="4" t="s">
        <v>22</v>
      </c>
      <c r="J1279" s="4" t="s">
        <v>146</v>
      </c>
      <c r="K1279" s="4" t="s">
        <v>179</v>
      </c>
      <c r="M1279">
        <f t="shared" si="40"/>
        <v>948.45684375000008</v>
      </c>
    </row>
    <row r="1280" spans="1:13" ht="14" x14ac:dyDescent="0.2">
      <c r="A1280" s="4" t="s">
        <v>2973</v>
      </c>
      <c r="B1280" s="5">
        <v>610.11843750000003</v>
      </c>
      <c r="C1280" s="5">
        <f t="shared" si="39"/>
        <v>61.011843750000004</v>
      </c>
      <c r="D1280" s="4">
        <v>10</v>
      </c>
      <c r="E1280" s="5" t="s">
        <v>10</v>
      </c>
      <c r="F1280" s="4" t="s">
        <v>1240</v>
      </c>
      <c r="G1280" s="4" t="s">
        <v>20</v>
      </c>
      <c r="H1280" s="4" t="s">
        <v>1240</v>
      </c>
      <c r="I1280" s="4" t="s">
        <v>22</v>
      </c>
      <c r="J1280" s="4" t="s">
        <v>146</v>
      </c>
      <c r="K1280" s="4" t="s">
        <v>179</v>
      </c>
      <c r="M1280">
        <f t="shared" si="40"/>
        <v>54.910659375000002</v>
      </c>
    </row>
    <row r="1281" spans="1:13" ht="14" x14ac:dyDescent="0.2">
      <c r="A1281" s="4" t="s">
        <v>2974</v>
      </c>
      <c r="B1281" s="5">
        <v>1087.1201250000001</v>
      </c>
      <c r="C1281" s="5">
        <f t="shared" si="39"/>
        <v>108.71201250000001</v>
      </c>
      <c r="D1281" s="4">
        <v>10</v>
      </c>
      <c r="E1281" s="5" t="s">
        <v>10</v>
      </c>
      <c r="F1281" s="4" t="s">
        <v>1240</v>
      </c>
      <c r="G1281" s="4" t="s">
        <v>20</v>
      </c>
      <c r="H1281" s="4" t="s">
        <v>2975</v>
      </c>
      <c r="I1281" s="4" t="s">
        <v>22</v>
      </c>
      <c r="J1281" s="4" t="s">
        <v>146</v>
      </c>
      <c r="K1281" s="4" t="s">
        <v>179</v>
      </c>
      <c r="M1281">
        <f t="shared" si="40"/>
        <v>97.840811250000016</v>
      </c>
    </row>
    <row r="1282" spans="1:13" ht="14" x14ac:dyDescent="0.2">
      <c r="A1282" s="4" t="s">
        <v>2976</v>
      </c>
      <c r="B1282" s="5">
        <v>44150.388750000006</v>
      </c>
      <c r="C1282" s="5">
        <f t="shared" si="39"/>
        <v>1576.7995982142859</v>
      </c>
      <c r="D1282" s="4">
        <v>28</v>
      </c>
      <c r="E1282" s="5" t="s">
        <v>10</v>
      </c>
      <c r="F1282" s="4" t="s">
        <v>2977</v>
      </c>
      <c r="G1282" s="4" t="s">
        <v>20</v>
      </c>
      <c r="H1282" s="4" t="s">
        <v>2977</v>
      </c>
      <c r="I1282" s="4" t="s">
        <v>22</v>
      </c>
      <c r="J1282" s="4" t="s">
        <v>271</v>
      </c>
      <c r="K1282" s="4" t="s">
        <v>227</v>
      </c>
      <c r="M1282">
        <f t="shared" si="40"/>
        <v>1419.1196383928573</v>
      </c>
    </row>
    <row r="1283" spans="1:13" ht="14" x14ac:dyDescent="0.2">
      <c r="A1283" s="4" t="s">
        <v>2978</v>
      </c>
      <c r="B1283" s="5">
        <v>44150.388750000006</v>
      </c>
      <c r="C1283" s="5">
        <f t="shared" ref="C1283:C1346" si="41">(B1283/D1283)</f>
        <v>1576.7995982142859</v>
      </c>
      <c r="D1283" s="4">
        <v>28</v>
      </c>
      <c r="E1283" s="5" t="s">
        <v>10</v>
      </c>
      <c r="F1283" s="4" t="s">
        <v>2977</v>
      </c>
      <c r="G1283" s="4" t="s">
        <v>20</v>
      </c>
      <c r="H1283" s="4" t="s">
        <v>2977</v>
      </c>
      <c r="I1283" s="4" t="s">
        <v>22</v>
      </c>
      <c r="J1283" s="4" t="s">
        <v>603</v>
      </c>
      <c r="K1283" s="4" t="s">
        <v>227</v>
      </c>
      <c r="M1283">
        <f t="shared" si="40"/>
        <v>1419.1196383928573</v>
      </c>
    </row>
    <row r="1284" spans="1:13" ht="14" x14ac:dyDescent="0.2">
      <c r="A1284" s="4" t="s">
        <v>2979</v>
      </c>
      <c r="B1284" s="5">
        <v>4991.8781250000002</v>
      </c>
      <c r="C1284" s="5">
        <f t="shared" si="41"/>
        <v>178.28136160714286</v>
      </c>
      <c r="D1284" s="4">
        <v>28</v>
      </c>
      <c r="E1284" s="5" t="s">
        <v>10</v>
      </c>
      <c r="F1284" s="4" t="s">
        <v>2980</v>
      </c>
      <c r="G1284" s="4" t="s">
        <v>12</v>
      </c>
      <c r="H1284" s="4" t="s">
        <v>2980</v>
      </c>
      <c r="I1284" s="4" t="s">
        <v>22</v>
      </c>
      <c r="J1284" s="4" t="s">
        <v>140</v>
      </c>
      <c r="K1284" s="4" t="s">
        <v>90</v>
      </c>
      <c r="M1284">
        <f t="shared" si="40"/>
        <v>160.45322544642858</v>
      </c>
    </row>
    <row r="1285" spans="1:13" ht="14" x14ac:dyDescent="0.2">
      <c r="A1285" s="4" t="s">
        <v>2981</v>
      </c>
      <c r="B1285" s="5">
        <v>3327.9187500000003</v>
      </c>
      <c r="C1285" s="5">
        <f t="shared" si="41"/>
        <v>118.85424107142858</v>
      </c>
      <c r="D1285" s="4">
        <v>28</v>
      </c>
      <c r="E1285" s="5" t="s">
        <v>10</v>
      </c>
      <c r="F1285" s="4" t="s">
        <v>2980</v>
      </c>
      <c r="G1285" s="4" t="s">
        <v>12</v>
      </c>
      <c r="H1285" s="4" t="s">
        <v>2980</v>
      </c>
      <c r="I1285" s="4" t="s">
        <v>22</v>
      </c>
      <c r="J1285" s="4" t="s">
        <v>15</v>
      </c>
      <c r="K1285" s="4" t="s">
        <v>90</v>
      </c>
      <c r="M1285">
        <f t="shared" si="40"/>
        <v>106.96881696428572</v>
      </c>
    </row>
    <row r="1286" spans="1:13" ht="14" x14ac:dyDescent="0.2">
      <c r="A1286" s="4" t="s">
        <v>2982</v>
      </c>
      <c r="B1286" s="5">
        <v>5511.0334499999999</v>
      </c>
      <c r="C1286" s="5">
        <f t="shared" si="41"/>
        <v>196.8226232142857</v>
      </c>
      <c r="D1286" s="4">
        <v>28</v>
      </c>
      <c r="E1286" s="5" t="s">
        <v>10</v>
      </c>
      <c r="F1286" s="4" t="s">
        <v>2983</v>
      </c>
      <c r="G1286" s="4" t="s">
        <v>12</v>
      </c>
      <c r="H1286" s="4" t="s">
        <v>2984</v>
      </c>
      <c r="I1286" s="4" t="s">
        <v>22</v>
      </c>
      <c r="J1286" s="4" t="s">
        <v>78</v>
      </c>
      <c r="K1286" s="4" t="s">
        <v>90</v>
      </c>
      <c r="M1286">
        <f t="shared" si="40"/>
        <v>177.14036089285713</v>
      </c>
    </row>
    <row r="1287" spans="1:13" ht="14" x14ac:dyDescent="0.2">
      <c r="A1287" s="4" t="s">
        <v>2985</v>
      </c>
      <c r="B1287" s="5">
        <v>3216.9881250000003</v>
      </c>
      <c r="C1287" s="5">
        <f t="shared" si="41"/>
        <v>321.69881250000003</v>
      </c>
      <c r="D1287" s="4">
        <v>10</v>
      </c>
      <c r="E1287" s="5" t="s">
        <v>10</v>
      </c>
      <c r="F1287" s="4" t="s">
        <v>408</v>
      </c>
      <c r="G1287" s="4" t="s">
        <v>12</v>
      </c>
      <c r="H1287" s="4" t="s">
        <v>2986</v>
      </c>
      <c r="I1287" s="4" t="s">
        <v>22</v>
      </c>
      <c r="J1287" s="4" t="s">
        <v>15</v>
      </c>
      <c r="K1287" s="4" t="s">
        <v>90</v>
      </c>
      <c r="M1287">
        <f t="shared" si="40"/>
        <v>289.52893125000003</v>
      </c>
    </row>
    <row r="1288" spans="1:13" ht="14" x14ac:dyDescent="0.2">
      <c r="A1288" s="4" t="s">
        <v>2987</v>
      </c>
      <c r="B1288" s="5">
        <v>3660.7106250000002</v>
      </c>
      <c r="C1288" s="5">
        <f t="shared" si="41"/>
        <v>366.07106250000004</v>
      </c>
      <c r="D1288" s="4">
        <v>10</v>
      </c>
      <c r="E1288" s="5" t="s">
        <v>10</v>
      </c>
      <c r="F1288" s="4" t="s">
        <v>408</v>
      </c>
      <c r="G1288" s="4" t="s">
        <v>12</v>
      </c>
      <c r="H1288" s="4" t="s">
        <v>2986</v>
      </c>
      <c r="I1288" s="4" t="s">
        <v>22</v>
      </c>
      <c r="J1288" s="4" t="s">
        <v>78</v>
      </c>
      <c r="K1288" s="4" t="s">
        <v>90</v>
      </c>
      <c r="M1288">
        <f t="shared" si="40"/>
        <v>329.46395625000002</v>
      </c>
    </row>
    <row r="1289" spans="1:13" ht="14" x14ac:dyDescent="0.2">
      <c r="A1289" s="4" t="s">
        <v>2988</v>
      </c>
      <c r="B1289" s="5">
        <v>1971.2372062500001</v>
      </c>
      <c r="C1289" s="5">
        <f t="shared" si="41"/>
        <v>197.123720625</v>
      </c>
      <c r="D1289" s="4">
        <v>10</v>
      </c>
      <c r="E1289" s="5" t="s">
        <v>10</v>
      </c>
      <c r="F1289" s="4" t="s">
        <v>2989</v>
      </c>
      <c r="G1289" s="4" t="s">
        <v>12</v>
      </c>
      <c r="H1289" s="4" t="s">
        <v>2990</v>
      </c>
      <c r="I1289" s="4" t="s">
        <v>22</v>
      </c>
      <c r="J1289" s="4" t="s">
        <v>1047</v>
      </c>
      <c r="K1289" s="4" t="s">
        <v>90</v>
      </c>
      <c r="M1289">
        <f t="shared" si="40"/>
        <v>177.4113485625</v>
      </c>
    </row>
    <row r="1290" spans="1:13" ht="14" x14ac:dyDescent="0.2">
      <c r="A1290" s="4" t="s">
        <v>2991</v>
      </c>
      <c r="B1290" s="5">
        <v>5274.7512187500006</v>
      </c>
      <c r="C1290" s="5">
        <f t="shared" si="41"/>
        <v>376.76794419642863</v>
      </c>
      <c r="D1290" s="4">
        <v>14</v>
      </c>
      <c r="E1290" s="5" t="s">
        <v>10</v>
      </c>
      <c r="F1290" s="4" t="s">
        <v>346</v>
      </c>
      <c r="G1290" s="4" t="s">
        <v>20</v>
      </c>
      <c r="H1290" s="4" t="s">
        <v>2992</v>
      </c>
      <c r="I1290" s="4" t="s">
        <v>22</v>
      </c>
      <c r="J1290" s="4" t="s">
        <v>362</v>
      </c>
      <c r="K1290" s="4" t="s">
        <v>53</v>
      </c>
      <c r="M1290">
        <f t="shared" si="40"/>
        <v>339.09114977678576</v>
      </c>
    </row>
    <row r="1291" spans="1:13" ht="14" x14ac:dyDescent="0.2">
      <c r="A1291" s="4" t="s">
        <v>2993</v>
      </c>
      <c r="B1291" s="5">
        <v>817.55870625</v>
      </c>
      <c r="C1291" s="5">
        <f t="shared" si="41"/>
        <v>817.55870625</v>
      </c>
      <c r="D1291" s="4">
        <v>1</v>
      </c>
      <c r="E1291" s="5" t="s">
        <v>181</v>
      </c>
      <c r="F1291" s="4" t="s">
        <v>1813</v>
      </c>
      <c r="G1291" s="4" t="s">
        <v>20</v>
      </c>
      <c r="H1291" s="4" t="s">
        <v>2994</v>
      </c>
      <c r="I1291" s="4" t="s">
        <v>22</v>
      </c>
      <c r="J1291" s="4" t="s">
        <v>132</v>
      </c>
      <c r="K1291" s="4" t="s">
        <v>53</v>
      </c>
      <c r="M1291">
        <f t="shared" si="40"/>
        <v>735.80283562499994</v>
      </c>
    </row>
    <row r="1292" spans="1:13" ht="14" x14ac:dyDescent="0.2">
      <c r="A1292" s="4" t="s">
        <v>2995</v>
      </c>
      <c r="B1292" s="5">
        <v>277.32656250000002</v>
      </c>
      <c r="C1292" s="5">
        <f t="shared" si="41"/>
        <v>27.732656250000002</v>
      </c>
      <c r="D1292" s="4">
        <v>10</v>
      </c>
      <c r="E1292" s="5" t="s">
        <v>10</v>
      </c>
      <c r="F1292" s="4" t="s">
        <v>1813</v>
      </c>
      <c r="G1292" s="4" t="s">
        <v>20</v>
      </c>
      <c r="H1292" s="4" t="s">
        <v>2996</v>
      </c>
      <c r="I1292" s="4" t="s">
        <v>22</v>
      </c>
      <c r="J1292" s="4" t="s">
        <v>95</v>
      </c>
      <c r="K1292" s="4" t="s">
        <v>53</v>
      </c>
      <c r="M1292">
        <f t="shared" si="40"/>
        <v>24.959390625000001</v>
      </c>
    </row>
    <row r="1293" spans="1:13" ht="14" x14ac:dyDescent="0.2">
      <c r="A1293" s="4" t="s">
        <v>2997</v>
      </c>
      <c r="B1293" s="5">
        <v>499.18781250000006</v>
      </c>
      <c r="C1293" s="5">
        <f t="shared" si="41"/>
        <v>49.918781250000009</v>
      </c>
      <c r="D1293" s="4">
        <v>10</v>
      </c>
      <c r="E1293" s="5" t="s">
        <v>10</v>
      </c>
      <c r="F1293" s="4" t="s">
        <v>1813</v>
      </c>
      <c r="G1293" s="4" t="s">
        <v>20</v>
      </c>
      <c r="H1293" s="4" t="s">
        <v>2996</v>
      </c>
      <c r="I1293" s="4" t="s">
        <v>22</v>
      </c>
      <c r="J1293" s="4" t="s">
        <v>52</v>
      </c>
      <c r="K1293" s="4" t="s">
        <v>53</v>
      </c>
      <c r="M1293">
        <f t="shared" si="40"/>
        <v>44.92690312500001</v>
      </c>
    </row>
    <row r="1294" spans="1:13" ht="14" x14ac:dyDescent="0.2">
      <c r="A1294" s="4" t="s">
        <v>2998</v>
      </c>
      <c r="B1294" s="5">
        <v>887.44500000000005</v>
      </c>
      <c r="C1294" s="5">
        <f t="shared" si="41"/>
        <v>887.44500000000005</v>
      </c>
      <c r="D1294" s="4">
        <v>1</v>
      </c>
      <c r="E1294" s="5" t="s">
        <v>181</v>
      </c>
      <c r="F1294" s="4" t="s">
        <v>2999</v>
      </c>
      <c r="G1294" s="4" t="s">
        <v>20</v>
      </c>
      <c r="H1294" s="4" t="s">
        <v>3000</v>
      </c>
      <c r="I1294" s="4" t="s">
        <v>22</v>
      </c>
      <c r="J1294" s="4" t="s">
        <v>3001</v>
      </c>
      <c r="K1294" s="4" t="s">
        <v>53</v>
      </c>
      <c r="M1294">
        <f t="shared" si="40"/>
        <v>798.70050000000003</v>
      </c>
    </row>
    <row r="1295" spans="1:13" ht="14" x14ac:dyDescent="0.2">
      <c r="A1295" s="4" t="s">
        <v>3002</v>
      </c>
      <c r="B1295" s="5">
        <v>4869.854437500001</v>
      </c>
      <c r="C1295" s="5">
        <f t="shared" si="41"/>
        <v>48.698544375000012</v>
      </c>
      <c r="D1295" s="4">
        <v>100</v>
      </c>
      <c r="E1295" s="5" t="s">
        <v>10</v>
      </c>
      <c r="F1295" s="4" t="s">
        <v>2999</v>
      </c>
      <c r="G1295" s="4" t="s">
        <v>20</v>
      </c>
      <c r="H1295" s="4" t="s">
        <v>3003</v>
      </c>
      <c r="I1295" s="4" t="s">
        <v>22</v>
      </c>
      <c r="J1295" s="4" t="s">
        <v>3004</v>
      </c>
      <c r="K1295" s="4" t="s">
        <v>53</v>
      </c>
      <c r="M1295">
        <f t="shared" si="40"/>
        <v>43.828689937500009</v>
      </c>
    </row>
    <row r="1296" spans="1:13" ht="14" x14ac:dyDescent="0.2">
      <c r="A1296" s="4" t="s">
        <v>3005</v>
      </c>
      <c r="B1296" s="5">
        <v>3650.7268687500004</v>
      </c>
      <c r="C1296" s="5">
        <f t="shared" si="41"/>
        <v>121.69089562500001</v>
      </c>
      <c r="D1296" s="4">
        <v>30</v>
      </c>
      <c r="E1296" s="5" t="s">
        <v>10</v>
      </c>
      <c r="F1296" s="4" t="s">
        <v>408</v>
      </c>
      <c r="G1296" s="4" t="s">
        <v>12</v>
      </c>
      <c r="H1296" s="4" t="s">
        <v>3006</v>
      </c>
      <c r="I1296" s="4" t="s">
        <v>22</v>
      </c>
      <c r="J1296" s="4" t="s">
        <v>15</v>
      </c>
      <c r="K1296" s="4" t="s">
        <v>90</v>
      </c>
      <c r="M1296">
        <f t="shared" si="40"/>
        <v>109.5218060625</v>
      </c>
    </row>
    <row r="1297" spans="1:25" ht="14" x14ac:dyDescent="0.2">
      <c r="A1297" s="4" t="s">
        <v>3007</v>
      </c>
      <c r="B1297" s="5">
        <v>4744.5028312499999</v>
      </c>
      <c r="C1297" s="5">
        <f t="shared" si="41"/>
        <v>158.15009437500001</v>
      </c>
      <c r="D1297" s="4">
        <v>30</v>
      </c>
      <c r="E1297" s="5" t="s">
        <v>10</v>
      </c>
      <c r="F1297" s="4" t="s">
        <v>408</v>
      </c>
      <c r="G1297" s="4" t="s">
        <v>12</v>
      </c>
      <c r="H1297" s="4" t="s">
        <v>3006</v>
      </c>
      <c r="I1297" s="4" t="s">
        <v>22</v>
      </c>
      <c r="J1297" s="4" t="s">
        <v>78</v>
      </c>
      <c r="K1297" s="4" t="s">
        <v>90</v>
      </c>
      <c r="M1297">
        <f t="shared" si="40"/>
        <v>142.3350849375</v>
      </c>
    </row>
    <row r="1298" spans="1:25" ht="14" x14ac:dyDescent="0.2">
      <c r="A1298" s="4" t="s">
        <v>3008</v>
      </c>
      <c r="B1298" s="5">
        <v>4954.1617125000002</v>
      </c>
      <c r="C1298" s="5">
        <f t="shared" si="41"/>
        <v>165.13872375</v>
      </c>
      <c r="D1298" s="4">
        <v>30</v>
      </c>
      <c r="E1298" s="5" t="s">
        <v>10</v>
      </c>
      <c r="F1298" s="4" t="s">
        <v>3009</v>
      </c>
      <c r="G1298" s="4" t="s">
        <v>12</v>
      </c>
      <c r="H1298" s="4" t="s">
        <v>3010</v>
      </c>
      <c r="I1298" s="4" t="s">
        <v>22</v>
      </c>
      <c r="J1298" s="4" t="s">
        <v>3011</v>
      </c>
      <c r="K1298" s="4" t="s">
        <v>90</v>
      </c>
      <c r="M1298">
        <f t="shared" si="40"/>
        <v>148.62485137499999</v>
      </c>
    </row>
    <row r="1299" spans="1:25" ht="14" x14ac:dyDescent="0.2">
      <c r="A1299" s="4" t="s">
        <v>3012</v>
      </c>
      <c r="B1299" s="5">
        <v>1541.9356875000001</v>
      </c>
      <c r="C1299" s="5">
        <f t="shared" si="41"/>
        <v>128.49464062500002</v>
      </c>
      <c r="D1299" s="4">
        <v>12</v>
      </c>
      <c r="E1299" s="5" t="s">
        <v>10</v>
      </c>
      <c r="F1299" s="4" t="s">
        <v>110</v>
      </c>
      <c r="G1299" s="4" t="s">
        <v>20</v>
      </c>
      <c r="H1299" s="4" t="s">
        <v>3013</v>
      </c>
      <c r="I1299" s="4" t="s">
        <v>22</v>
      </c>
      <c r="J1299" s="4" t="s">
        <v>3014</v>
      </c>
      <c r="K1299" s="4" t="s">
        <v>108</v>
      </c>
      <c r="M1299">
        <f t="shared" si="40"/>
        <v>115.64517656250001</v>
      </c>
    </row>
    <row r="1300" spans="1:25" ht="14" x14ac:dyDescent="0.2">
      <c r="A1300" s="4" t="s">
        <v>3015</v>
      </c>
      <c r="B1300" s="5">
        <v>2551.4043750000001</v>
      </c>
      <c r="C1300" s="5">
        <f t="shared" si="41"/>
        <v>106.308515625</v>
      </c>
      <c r="D1300" s="4">
        <v>24</v>
      </c>
      <c r="E1300" s="5" t="s">
        <v>10</v>
      </c>
      <c r="F1300" s="4" t="s">
        <v>110</v>
      </c>
      <c r="G1300" s="4" t="s">
        <v>20</v>
      </c>
      <c r="H1300" s="4" t="s">
        <v>3013</v>
      </c>
      <c r="I1300" s="4" t="s">
        <v>22</v>
      </c>
      <c r="J1300" s="4" t="s">
        <v>111</v>
      </c>
      <c r="K1300" s="4" t="s">
        <v>108</v>
      </c>
      <c r="M1300">
        <f t="shared" si="40"/>
        <v>95.6776640625</v>
      </c>
    </row>
    <row r="1301" spans="1:25" ht="14" x14ac:dyDescent="0.2">
      <c r="A1301" s="7" t="s">
        <v>5371</v>
      </c>
      <c r="B1301" s="10">
        <v>17194.246875000001</v>
      </c>
      <c r="C1301" s="5">
        <f t="shared" si="41"/>
        <v>17194.246875000001</v>
      </c>
      <c r="D1301" s="9">
        <v>1</v>
      </c>
      <c r="E1301" s="10" t="s">
        <v>25</v>
      </c>
      <c r="F1301" s="7" t="s">
        <v>5372</v>
      </c>
      <c r="G1301" s="7" t="s">
        <v>12</v>
      </c>
      <c r="H1301" s="7" t="s">
        <v>5372</v>
      </c>
      <c r="I1301" s="4" t="s">
        <v>22</v>
      </c>
      <c r="J1301" s="7" t="s">
        <v>25</v>
      </c>
      <c r="K1301" s="7" t="s">
        <v>417</v>
      </c>
      <c r="L1301" s="4"/>
      <c r="M1301">
        <f t="shared" si="40"/>
        <v>15474.8221875</v>
      </c>
      <c r="N1301" s="3"/>
      <c r="O1301" s="3"/>
      <c r="P1301" s="3"/>
      <c r="Q1301" s="2"/>
      <c r="R1301" s="2"/>
      <c r="S1301" s="2"/>
      <c r="T1301" s="2"/>
      <c r="U1301" s="2"/>
      <c r="V1301" s="2"/>
      <c r="W1301" s="2"/>
      <c r="X1301" s="2"/>
      <c r="Y1301" s="2"/>
    </row>
    <row r="1302" spans="1:25" ht="14" x14ac:dyDescent="0.2">
      <c r="A1302" s="4" t="s">
        <v>3016</v>
      </c>
      <c r="B1302" s="5">
        <v>1198.0507500000001</v>
      </c>
      <c r="C1302" s="5">
        <f t="shared" si="41"/>
        <v>199.67512500000001</v>
      </c>
      <c r="D1302" s="4">
        <v>6</v>
      </c>
      <c r="E1302" s="5" t="s">
        <v>10</v>
      </c>
      <c r="F1302" s="4" t="s">
        <v>2948</v>
      </c>
      <c r="G1302" s="4" t="s">
        <v>20</v>
      </c>
      <c r="H1302" s="4" t="s">
        <v>3017</v>
      </c>
      <c r="I1302" s="4" t="s">
        <v>22</v>
      </c>
      <c r="J1302" s="4" t="s">
        <v>564</v>
      </c>
      <c r="K1302" s="4" t="s">
        <v>108</v>
      </c>
      <c r="M1302">
        <f t="shared" si="40"/>
        <v>179.70761250000001</v>
      </c>
    </row>
    <row r="1303" spans="1:25" ht="14" x14ac:dyDescent="0.2">
      <c r="A1303" s="4" t="s">
        <v>3018</v>
      </c>
      <c r="B1303" s="5">
        <v>23589.397406250002</v>
      </c>
      <c r="C1303" s="5">
        <f t="shared" si="41"/>
        <v>23589.397406250002</v>
      </c>
      <c r="D1303" s="4">
        <v>1</v>
      </c>
      <c r="E1303" s="5" t="s">
        <v>175</v>
      </c>
      <c r="F1303" s="4" t="s">
        <v>3019</v>
      </c>
      <c r="G1303" s="4" t="s">
        <v>20</v>
      </c>
      <c r="H1303" s="4" t="s">
        <v>3020</v>
      </c>
      <c r="I1303" s="4" t="s">
        <v>22</v>
      </c>
      <c r="K1303" s="4" t="s">
        <v>23</v>
      </c>
      <c r="M1303">
        <f t="shared" si="40"/>
        <v>21230.457665625003</v>
      </c>
    </row>
    <row r="1304" spans="1:25" ht="14" x14ac:dyDescent="0.2">
      <c r="A1304" s="4" t="s">
        <v>3021</v>
      </c>
      <c r="B1304" s="5">
        <v>23257.714837500003</v>
      </c>
      <c r="C1304" s="5">
        <f t="shared" si="41"/>
        <v>23257.714837500003</v>
      </c>
      <c r="D1304" s="4">
        <v>1</v>
      </c>
      <c r="E1304" s="5" t="s">
        <v>175</v>
      </c>
      <c r="F1304" s="4" t="s">
        <v>3019</v>
      </c>
      <c r="G1304" s="4" t="s">
        <v>20</v>
      </c>
      <c r="H1304" s="4" t="s">
        <v>3022</v>
      </c>
      <c r="I1304" s="4" t="s">
        <v>22</v>
      </c>
      <c r="J1304" s="8">
        <v>1E-3</v>
      </c>
      <c r="K1304" s="4" t="s">
        <v>23</v>
      </c>
      <c r="M1304">
        <f t="shared" si="40"/>
        <v>20931.943353750004</v>
      </c>
    </row>
    <row r="1305" spans="1:25" ht="14" x14ac:dyDescent="0.2">
      <c r="A1305" s="4" t="s">
        <v>3023</v>
      </c>
      <c r="B1305" s="5">
        <v>23257.714837500003</v>
      </c>
      <c r="C1305" s="5">
        <f t="shared" si="41"/>
        <v>23257.714837500003</v>
      </c>
      <c r="D1305" s="4">
        <v>1</v>
      </c>
      <c r="E1305" s="5" t="s">
        <v>175</v>
      </c>
      <c r="F1305" s="4" t="s">
        <v>3024</v>
      </c>
      <c r="G1305" s="4" t="s">
        <v>20</v>
      </c>
      <c r="H1305" s="4" t="s">
        <v>3022</v>
      </c>
      <c r="I1305" s="4" t="s">
        <v>22</v>
      </c>
      <c r="J1305" s="8">
        <v>3.0000000000000001E-3</v>
      </c>
      <c r="K1305" s="4" t="s">
        <v>23</v>
      </c>
      <c r="M1305">
        <f t="shared" si="40"/>
        <v>20931.943353750004</v>
      </c>
    </row>
    <row r="1306" spans="1:25" ht="14" x14ac:dyDescent="0.2">
      <c r="A1306" s="4" t="s">
        <v>3025</v>
      </c>
      <c r="B1306" s="5">
        <v>2995.1268750000004</v>
      </c>
      <c r="C1306" s="5">
        <f t="shared" si="41"/>
        <v>99.837562500000018</v>
      </c>
      <c r="D1306" s="4">
        <v>30</v>
      </c>
      <c r="E1306" s="5" t="s">
        <v>30</v>
      </c>
      <c r="F1306" s="4" t="s">
        <v>3026</v>
      </c>
      <c r="G1306" s="4" t="s">
        <v>20</v>
      </c>
      <c r="H1306" s="4" t="s">
        <v>3027</v>
      </c>
      <c r="I1306" s="4" t="s">
        <v>22</v>
      </c>
      <c r="K1306" s="4" t="s">
        <v>34</v>
      </c>
      <c r="M1306">
        <f t="shared" si="40"/>
        <v>89.853806250000019</v>
      </c>
    </row>
    <row r="1307" spans="1:25" ht="14" x14ac:dyDescent="0.2">
      <c r="A1307" s="4" t="s">
        <v>3028</v>
      </c>
      <c r="B1307" s="5">
        <v>3216.9881250000003</v>
      </c>
      <c r="C1307" s="5">
        <f t="shared" si="41"/>
        <v>3216.9881250000003</v>
      </c>
      <c r="D1307" s="4">
        <v>1</v>
      </c>
      <c r="E1307" s="5" t="s">
        <v>59</v>
      </c>
      <c r="F1307" s="4" t="s">
        <v>3026</v>
      </c>
      <c r="G1307" s="4" t="s">
        <v>20</v>
      </c>
      <c r="H1307" s="4" t="s">
        <v>3029</v>
      </c>
      <c r="I1307" s="4" t="s">
        <v>22</v>
      </c>
      <c r="K1307" s="4" t="s">
        <v>34</v>
      </c>
      <c r="M1307">
        <f t="shared" si="40"/>
        <v>2895.2893125000001</v>
      </c>
    </row>
    <row r="1308" spans="1:25" ht="14" x14ac:dyDescent="0.2">
      <c r="A1308" s="4" t="s">
        <v>3030</v>
      </c>
      <c r="B1308" s="5">
        <v>5469.9891187499998</v>
      </c>
      <c r="C1308" s="5">
        <f t="shared" si="41"/>
        <v>182.332970625</v>
      </c>
      <c r="D1308" s="4">
        <v>30</v>
      </c>
      <c r="E1308" s="5" t="s">
        <v>30</v>
      </c>
      <c r="F1308" s="4" t="s">
        <v>3031</v>
      </c>
      <c r="G1308" s="4" t="s">
        <v>20</v>
      </c>
      <c r="H1308" s="4" t="s">
        <v>3032</v>
      </c>
      <c r="I1308" s="4" t="s">
        <v>22</v>
      </c>
      <c r="K1308" s="4" t="s">
        <v>34</v>
      </c>
      <c r="M1308">
        <f t="shared" si="40"/>
        <v>164.09967356250002</v>
      </c>
    </row>
    <row r="1309" spans="1:25" ht="14" x14ac:dyDescent="0.2">
      <c r="A1309" s="4" t="s">
        <v>3033</v>
      </c>
      <c r="B1309" s="5">
        <v>4406.1644250000008</v>
      </c>
      <c r="C1309" s="5">
        <f t="shared" si="41"/>
        <v>4406.1644250000008</v>
      </c>
      <c r="D1309" s="4">
        <v>1</v>
      </c>
      <c r="E1309" s="5" t="s">
        <v>59</v>
      </c>
      <c r="F1309" s="4" t="s">
        <v>3031</v>
      </c>
      <c r="G1309" s="4" t="s">
        <v>20</v>
      </c>
      <c r="H1309" s="4" t="s">
        <v>3034</v>
      </c>
      <c r="I1309" s="4" t="s">
        <v>22</v>
      </c>
      <c r="K1309" s="4" t="s">
        <v>34</v>
      </c>
      <c r="M1309">
        <f t="shared" ref="M1309:M1372" si="42">C1309-(C1309* 10%)</f>
        <v>3965.5479825000007</v>
      </c>
    </row>
    <row r="1310" spans="1:25" ht="14" x14ac:dyDescent="0.2">
      <c r="A1310" s="4" t="s">
        <v>3035</v>
      </c>
      <c r="B1310" s="5">
        <v>11778.613762500001</v>
      </c>
      <c r="C1310" s="5">
        <f t="shared" si="41"/>
        <v>11778.613762500001</v>
      </c>
      <c r="D1310" s="4">
        <v>1</v>
      </c>
      <c r="E1310" s="5" t="s">
        <v>59</v>
      </c>
      <c r="F1310" s="4" t="s">
        <v>739</v>
      </c>
      <c r="G1310" s="4" t="s">
        <v>20</v>
      </c>
      <c r="H1310" s="4" t="s">
        <v>3036</v>
      </c>
      <c r="I1310" s="4" t="s">
        <v>22</v>
      </c>
      <c r="J1310" s="4" t="s">
        <v>3037</v>
      </c>
      <c r="K1310" s="4" t="s">
        <v>87</v>
      </c>
      <c r="M1310">
        <f t="shared" si="42"/>
        <v>10600.75238625</v>
      </c>
    </row>
    <row r="1311" spans="1:25" ht="14" x14ac:dyDescent="0.2">
      <c r="A1311" s="4" t="s">
        <v>3038</v>
      </c>
      <c r="B1311" s="5">
        <v>3106.0575000000003</v>
      </c>
      <c r="C1311" s="5">
        <f t="shared" si="41"/>
        <v>3106.0575000000003</v>
      </c>
      <c r="D1311" s="4">
        <v>1</v>
      </c>
      <c r="E1311" s="5" t="s">
        <v>124</v>
      </c>
      <c r="F1311" s="4" t="s">
        <v>694</v>
      </c>
      <c r="G1311" s="4" t="s">
        <v>20</v>
      </c>
      <c r="H1311" s="4" t="s">
        <v>3039</v>
      </c>
      <c r="I1311" s="4" t="s">
        <v>22</v>
      </c>
      <c r="K1311" s="4" t="s">
        <v>53</v>
      </c>
      <c r="M1311">
        <f t="shared" si="42"/>
        <v>2795.4517500000002</v>
      </c>
    </row>
    <row r="1312" spans="1:25" ht="14" x14ac:dyDescent="0.2">
      <c r="A1312" s="4" t="s">
        <v>3040</v>
      </c>
      <c r="B1312" s="5">
        <v>40156.886250000003</v>
      </c>
      <c r="C1312" s="5">
        <f t="shared" si="41"/>
        <v>1434.1745089285716</v>
      </c>
      <c r="D1312" s="4">
        <v>28</v>
      </c>
      <c r="E1312" s="5" t="s">
        <v>30</v>
      </c>
      <c r="F1312" s="4" t="s">
        <v>2891</v>
      </c>
      <c r="G1312" s="4" t="s">
        <v>20</v>
      </c>
      <c r="H1312" s="4" t="s">
        <v>3041</v>
      </c>
      <c r="I1312" s="4" t="s">
        <v>14</v>
      </c>
      <c r="J1312" s="4" t="s">
        <v>481</v>
      </c>
      <c r="K1312" s="4" t="s">
        <v>227</v>
      </c>
      <c r="M1312">
        <f t="shared" si="42"/>
        <v>1290.7570580357144</v>
      </c>
    </row>
    <row r="1313" spans="1:13" ht="14" x14ac:dyDescent="0.2">
      <c r="A1313" s="4" t="s">
        <v>3042</v>
      </c>
      <c r="B1313" s="5">
        <v>25469.671500000004</v>
      </c>
      <c r="C1313" s="5">
        <f t="shared" si="41"/>
        <v>909.63112500000011</v>
      </c>
      <c r="D1313" s="4">
        <v>28</v>
      </c>
      <c r="E1313" s="5" t="s">
        <v>30</v>
      </c>
      <c r="F1313" s="4" t="s">
        <v>2891</v>
      </c>
      <c r="G1313" s="4" t="s">
        <v>20</v>
      </c>
      <c r="H1313" s="4" t="s">
        <v>3041</v>
      </c>
      <c r="I1313" s="4" t="s">
        <v>14</v>
      </c>
      <c r="J1313" s="4" t="s">
        <v>15</v>
      </c>
      <c r="K1313" s="4" t="s">
        <v>87</v>
      </c>
      <c r="M1313">
        <f t="shared" si="42"/>
        <v>818.66801250000003</v>
      </c>
    </row>
    <row r="1314" spans="1:13" ht="14" x14ac:dyDescent="0.2">
      <c r="A1314" s="4" t="s">
        <v>3043</v>
      </c>
      <c r="B1314" s="5">
        <v>39380.371875000004</v>
      </c>
      <c r="C1314" s="5">
        <f t="shared" si="41"/>
        <v>1406.4418526785716</v>
      </c>
      <c r="D1314" s="4">
        <v>28</v>
      </c>
      <c r="E1314" s="5" t="s">
        <v>30</v>
      </c>
      <c r="F1314" s="4" t="s">
        <v>2891</v>
      </c>
      <c r="G1314" s="4" t="s">
        <v>20</v>
      </c>
      <c r="H1314" s="4" t="s">
        <v>3041</v>
      </c>
      <c r="I1314" s="4" t="s">
        <v>14</v>
      </c>
      <c r="J1314" s="4" t="s">
        <v>397</v>
      </c>
      <c r="K1314" s="4" t="s">
        <v>227</v>
      </c>
      <c r="M1314">
        <f t="shared" si="42"/>
        <v>1265.7976674107144</v>
      </c>
    </row>
    <row r="1315" spans="1:13" ht="14" x14ac:dyDescent="0.2">
      <c r="A1315" s="4" t="s">
        <v>3044</v>
      </c>
      <c r="B1315" s="5">
        <v>942.91031250000003</v>
      </c>
      <c r="C1315" s="5">
        <f t="shared" si="41"/>
        <v>942.91031250000003</v>
      </c>
      <c r="D1315" s="4">
        <v>1</v>
      </c>
      <c r="E1315" s="5" t="s">
        <v>59</v>
      </c>
      <c r="F1315" s="4" t="s">
        <v>258</v>
      </c>
      <c r="G1315" s="4" t="s">
        <v>20</v>
      </c>
      <c r="H1315" s="4" t="s">
        <v>3045</v>
      </c>
      <c r="I1315" s="4" t="s">
        <v>22</v>
      </c>
      <c r="K1315" s="4" t="s">
        <v>1899</v>
      </c>
      <c r="M1315">
        <f t="shared" si="42"/>
        <v>848.61928125000009</v>
      </c>
    </row>
    <row r="1316" spans="1:13" ht="14" x14ac:dyDescent="0.2">
      <c r="A1316" s="4" t="s">
        <v>3046</v>
      </c>
      <c r="B1316" s="5">
        <v>3138.5250000000001</v>
      </c>
      <c r="C1316" s="5">
        <f t="shared" si="41"/>
        <v>32.692968749999999</v>
      </c>
      <c r="D1316" s="4">
        <v>96</v>
      </c>
      <c r="E1316" s="5" t="s">
        <v>10</v>
      </c>
      <c r="F1316" s="4" t="s">
        <v>258</v>
      </c>
      <c r="G1316" s="4" t="s">
        <v>20</v>
      </c>
      <c r="H1316" s="4" t="s">
        <v>3045</v>
      </c>
      <c r="I1316" s="4" t="s">
        <v>22</v>
      </c>
      <c r="J1316" s="4" t="s">
        <v>1208</v>
      </c>
      <c r="K1316" s="4" t="s">
        <v>87</v>
      </c>
      <c r="M1316">
        <f t="shared" si="42"/>
        <v>29.423671874999997</v>
      </c>
    </row>
    <row r="1317" spans="1:13" ht="14" x14ac:dyDescent="0.2">
      <c r="A1317" s="4" t="s">
        <v>3047</v>
      </c>
      <c r="B1317" s="5">
        <v>4401.7272000000003</v>
      </c>
      <c r="C1317" s="5">
        <f t="shared" si="41"/>
        <v>220.08636000000001</v>
      </c>
      <c r="D1317" s="4">
        <v>20</v>
      </c>
      <c r="E1317" s="5" t="s">
        <v>30</v>
      </c>
      <c r="F1317" s="4" t="s">
        <v>2924</v>
      </c>
      <c r="G1317" s="4" t="s">
        <v>20</v>
      </c>
      <c r="H1317" s="4" t="s">
        <v>3048</v>
      </c>
      <c r="I1317" s="4" t="s">
        <v>22</v>
      </c>
      <c r="K1317" s="4" t="s">
        <v>34</v>
      </c>
      <c r="M1317">
        <f t="shared" si="42"/>
        <v>198.07772400000002</v>
      </c>
    </row>
    <row r="1318" spans="1:13" ht="14" x14ac:dyDescent="0.2">
      <c r="A1318" s="4" t="s">
        <v>3049</v>
      </c>
      <c r="B1318" s="5">
        <v>4103.3238187500001</v>
      </c>
      <c r="C1318" s="5">
        <f t="shared" si="41"/>
        <v>4103.3238187500001</v>
      </c>
      <c r="D1318" s="4">
        <v>1</v>
      </c>
      <c r="E1318" s="5" t="s">
        <v>59</v>
      </c>
      <c r="F1318" s="4" t="s">
        <v>2924</v>
      </c>
      <c r="G1318" s="4" t="s">
        <v>20</v>
      </c>
      <c r="H1318" s="4" t="s">
        <v>3048</v>
      </c>
      <c r="I1318" s="4" t="s">
        <v>22</v>
      </c>
      <c r="K1318" s="4" t="s">
        <v>34</v>
      </c>
      <c r="M1318">
        <f t="shared" si="42"/>
        <v>3692.9914368750001</v>
      </c>
    </row>
    <row r="1319" spans="1:13" ht="14" x14ac:dyDescent="0.2">
      <c r="A1319" s="4" t="s">
        <v>3050</v>
      </c>
      <c r="B1319" s="5">
        <v>2120.9935500000001</v>
      </c>
      <c r="C1319" s="5">
        <f t="shared" si="41"/>
        <v>2120.9935500000001</v>
      </c>
      <c r="D1319" s="4">
        <v>1</v>
      </c>
      <c r="E1319" s="5" t="s">
        <v>181</v>
      </c>
      <c r="F1319" s="4" t="s">
        <v>3051</v>
      </c>
      <c r="G1319" s="4" t="s">
        <v>20</v>
      </c>
      <c r="H1319" s="4" t="s">
        <v>3052</v>
      </c>
      <c r="I1319" s="4" t="s">
        <v>22</v>
      </c>
      <c r="K1319" s="4" t="s">
        <v>403</v>
      </c>
      <c r="M1319">
        <f t="shared" si="42"/>
        <v>1908.8941950000001</v>
      </c>
    </row>
    <row r="1320" spans="1:13" ht="14" x14ac:dyDescent="0.2">
      <c r="A1320" s="4" t="s">
        <v>3053</v>
      </c>
      <c r="B1320" s="5">
        <v>2098.807425</v>
      </c>
      <c r="C1320" s="5">
        <f t="shared" si="41"/>
        <v>2098.807425</v>
      </c>
      <c r="D1320" s="4">
        <v>1</v>
      </c>
      <c r="E1320" s="5" t="s">
        <v>124</v>
      </c>
      <c r="F1320" s="4" t="s">
        <v>1980</v>
      </c>
      <c r="G1320" s="4" t="s">
        <v>20</v>
      </c>
      <c r="H1320" s="4" t="s">
        <v>1980</v>
      </c>
      <c r="I1320" s="4" t="s">
        <v>22</v>
      </c>
      <c r="K1320" s="4" t="s">
        <v>227</v>
      </c>
      <c r="M1320">
        <f t="shared" si="42"/>
        <v>1888.9266825</v>
      </c>
    </row>
    <row r="1321" spans="1:13" ht="14" x14ac:dyDescent="0.2">
      <c r="A1321" s="4" t="s">
        <v>3054</v>
      </c>
      <c r="B1321" s="5">
        <v>1663.9593750000001</v>
      </c>
      <c r="C1321" s="5">
        <f t="shared" si="41"/>
        <v>55.465312500000003</v>
      </c>
      <c r="D1321" s="4">
        <v>30</v>
      </c>
      <c r="E1321" s="5" t="s">
        <v>10</v>
      </c>
      <c r="F1321" s="4" t="s">
        <v>3054</v>
      </c>
      <c r="G1321" s="4" t="s">
        <v>20</v>
      </c>
      <c r="H1321" s="4" t="s">
        <v>3055</v>
      </c>
      <c r="I1321" s="4" t="s">
        <v>22</v>
      </c>
      <c r="J1321" s="4" t="s">
        <v>25</v>
      </c>
      <c r="K1321" s="4" t="s">
        <v>748</v>
      </c>
      <c r="M1321">
        <f t="shared" si="42"/>
        <v>49.918781250000002</v>
      </c>
    </row>
    <row r="1322" spans="1:13" ht="14" x14ac:dyDescent="0.2">
      <c r="A1322" s="4" t="s">
        <v>3056</v>
      </c>
      <c r="B1322" s="5">
        <v>109821.31875000001</v>
      </c>
      <c r="C1322" s="5">
        <f t="shared" si="41"/>
        <v>9151.7765625000011</v>
      </c>
      <c r="D1322" s="4">
        <v>12</v>
      </c>
      <c r="E1322" s="5" t="s">
        <v>10</v>
      </c>
      <c r="F1322" s="4" t="s">
        <v>3057</v>
      </c>
      <c r="G1322" s="4" t="s">
        <v>20</v>
      </c>
      <c r="H1322" s="4" t="s">
        <v>3058</v>
      </c>
      <c r="I1322" s="4" t="s">
        <v>14</v>
      </c>
      <c r="J1322" s="4" t="s">
        <v>3059</v>
      </c>
      <c r="K1322" s="4" t="s">
        <v>108</v>
      </c>
      <c r="M1322">
        <f t="shared" si="42"/>
        <v>8236.5989062500012</v>
      </c>
    </row>
    <row r="1323" spans="1:13" ht="14" x14ac:dyDescent="0.2">
      <c r="A1323" s="4" t="s">
        <v>3060</v>
      </c>
      <c r="B1323" s="5">
        <v>66336.513750000013</v>
      </c>
      <c r="C1323" s="5">
        <f t="shared" si="41"/>
        <v>5528.0428125000008</v>
      </c>
      <c r="D1323" s="4">
        <v>12</v>
      </c>
      <c r="E1323" s="5" t="s">
        <v>10</v>
      </c>
      <c r="F1323" s="4" t="s">
        <v>3057</v>
      </c>
      <c r="G1323" s="4" t="s">
        <v>20</v>
      </c>
      <c r="H1323" s="4" t="s">
        <v>3061</v>
      </c>
      <c r="I1323" s="4" t="s">
        <v>14</v>
      </c>
      <c r="J1323" s="4" t="s">
        <v>3062</v>
      </c>
      <c r="K1323" s="4" t="s">
        <v>108</v>
      </c>
      <c r="M1323">
        <f t="shared" si="42"/>
        <v>4975.238531250001</v>
      </c>
    </row>
    <row r="1324" spans="1:13" ht="14" x14ac:dyDescent="0.2">
      <c r="A1324" s="4" t="s">
        <v>3063</v>
      </c>
      <c r="B1324" s="5">
        <v>7210.4906250000004</v>
      </c>
      <c r="C1324" s="5">
        <f t="shared" si="41"/>
        <v>721.04906249999999</v>
      </c>
      <c r="D1324" s="4">
        <v>10</v>
      </c>
      <c r="E1324" s="5" t="s">
        <v>30</v>
      </c>
      <c r="F1324" s="4" t="s">
        <v>3064</v>
      </c>
      <c r="G1324" s="4" t="s">
        <v>20</v>
      </c>
      <c r="H1324" s="4" t="s">
        <v>3064</v>
      </c>
      <c r="I1324" s="4" t="s">
        <v>14</v>
      </c>
      <c r="K1324" s="4" t="s">
        <v>34</v>
      </c>
      <c r="M1324">
        <f t="shared" si="42"/>
        <v>648.94415624999999</v>
      </c>
    </row>
    <row r="1325" spans="1:13" ht="14" x14ac:dyDescent="0.2">
      <c r="A1325" s="4" t="s">
        <v>3065</v>
      </c>
      <c r="B1325" s="5">
        <v>2515.906575</v>
      </c>
      <c r="C1325" s="5">
        <f t="shared" si="41"/>
        <v>2515.906575</v>
      </c>
      <c r="D1325" s="4">
        <v>1</v>
      </c>
      <c r="E1325" s="5" t="s">
        <v>296</v>
      </c>
      <c r="F1325" s="4" t="s">
        <v>3066</v>
      </c>
      <c r="G1325" s="4" t="s">
        <v>20</v>
      </c>
      <c r="H1325" s="4" t="s">
        <v>3067</v>
      </c>
      <c r="I1325" s="4" t="s">
        <v>22</v>
      </c>
      <c r="J1325" s="6">
        <v>0.2</v>
      </c>
      <c r="K1325" s="4" t="s">
        <v>312</v>
      </c>
      <c r="M1325">
        <f t="shared" si="42"/>
        <v>2264.3159175000001</v>
      </c>
    </row>
    <row r="1326" spans="1:13" ht="14" x14ac:dyDescent="0.2">
      <c r="A1326" s="4" t="s">
        <v>3068</v>
      </c>
      <c r="B1326" s="5">
        <v>5511.0334499999999</v>
      </c>
      <c r="C1326" s="5">
        <f t="shared" si="41"/>
        <v>5511.0334499999999</v>
      </c>
      <c r="D1326" s="4">
        <v>1</v>
      </c>
      <c r="E1326" s="5" t="s">
        <v>181</v>
      </c>
      <c r="F1326" s="4" t="s">
        <v>840</v>
      </c>
      <c r="G1326" s="4" t="s">
        <v>20</v>
      </c>
      <c r="H1326" s="4" t="s">
        <v>3069</v>
      </c>
      <c r="I1326" s="4" t="s">
        <v>22</v>
      </c>
      <c r="J1326" s="4" t="s">
        <v>1848</v>
      </c>
      <c r="K1326" s="4" t="s">
        <v>53</v>
      </c>
      <c r="M1326">
        <f t="shared" si="42"/>
        <v>4959.9301049999995</v>
      </c>
    </row>
    <row r="1327" spans="1:13" ht="14" x14ac:dyDescent="0.2">
      <c r="A1327" s="4" t="s">
        <v>3070</v>
      </c>
      <c r="B1327" s="5">
        <v>7130.6205750000008</v>
      </c>
      <c r="C1327" s="5">
        <f t="shared" si="41"/>
        <v>713.06205750000004</v>
      </c>
      <c r="D1327" s="4">
        <v>10</v>
      </c>
      <c r="E1327" s="5" t="s">
        <v>10</v>
      </c>
      <c r="F1327" s="4" t="s">
        <v>3071</v>
      </c>
      <c r="G1327" s="4" t="s">
        <v>20</v>
      </c>
      <c r="H1327" s="4" t="s">
        <v>3072</v>
      </c>
      <c r="I1327" s="4" t="s">
        <v>22</v>
      </c>
      <c r="J1327" s="4" t="s">
        <v>3073</v>
      </c>
      <c r="K1327" s="4" t="s">
        <v>53</v>
      </c>
      <c r="M1327">
        <f t="shared" si="42"/>
        <v>641.75585175000003</v>
      </c>
    </row>
    <row r="1328" spans="1:13" ht="14" x14ac:dyDescent="0.2">
      <c r="A1328" s="4" t="s">
        <v>3074</v>
      </c>
      <c r="B1328" s="5">
        <v>7099.56</v>
      </c>
      <c r="C1328" s="5">
        <f t="shared" si="41"/>
        <v>236.65200000000002</v>
      </c>
      <c r="D1328" s="4">
        <v>30</v>
      </c>
      <c r="E1328" s="5" t="s">
        <v>10</v>
      </c>
      <c r="F1328" s="4" t="s">
        <v>3075</v>
      </c>
      <c r="G1328" s="4" t="s">
        <v>12</v>
      </c>
      <c r="H1328" s="4" t="s">
        <v>3076</v>
      </c>
      <c r="I1328" s="4" t="s">
        <v>14</v>
      </c>
      <c r="J1328" s="4" t="s">
        <v>3077</v>
      </c>
      <c r="K1328" s="4" t="s">
        <v>2629</v>
      </c>
      <c r="M1328">
        <f t="shared" si="42"/>
        <v>212.98680000000002</v>
      </c>
    </row>
    <row r="1329" spans="1:25" ht="14" x14ac:dyDescent="0.2">
      <c r="A1329" s="4" t="s">
        <v>3078</v>
      </c>
      <c r="B1329" s="5">
        <v>11869.576875000001</v>
      </c>
      <c r="C1329" s="5">
        <f t="shared" si="41"/>
        <v>118.69576875000001</v>
      </c>
      <c r="D1329" s="4">
        <v>100</v>
      </c>
      <c r="E1329" s="5" t="s">
        <v>10</v>
      </c>
      <c r="F1329" s="4" t="s">
        <v>3079</v>
      </c>
      <c r="G1329" s="4" t="s">
        <v>20</v>
      </c>
      <c r="H1329" s="4" t="s">
        <v>3080</v>
      </c>
      <c r="I1329" s="4" t="s">
        <v>22</v>
      </c>
      <c r="J1329" s="4" t="s">
        <v>370</v>
      </c>
      <c r="K1329" s="4" t="s">
        <v>34</v>
      </c>
      <c r="M1329">
        <f t="shared" si="42"/>
        <v>106.82619187500001</v>
      </c>
    </row>
    <row r="1330" spans="1:25" ht="14" x14ac:dyDescent="0.2">
      <c r="A1330" s="4" t="s">
        <v>3081</v>
      </c>
      <c r="B1330" s="5">
        <v>10971.038812500001</v>
      </c>
      <c r="C1330" s="5">
        <f t="shared" si="41"/>
        <v>109.71038812500001</v>
      </c>
      <c r="D1330" s="4">
        <v>100</v>
      </c>
      <c r="E1330" s="5" t="s">
        <v>10</v>
      </c>
      <c r="F1330" s="4" t="s">
        <v>2670</v>
      </c>
      <c r="G1330" s="4" t="s">
        <v>20</v>
      </c>
      <c r="H1330" s="4" t="s">
        <v>3082</v>
      </c>
      <c r="I1330" s="4" t="s">
        <v>22</v>
      </c>
      <c r="J1330" s="4" t="s">
        <v>140</v>
      </c>
      <c r="K1330" s="4" t="s">
        <v>34</v>
      </c>
      <c r="M1330">
        <f t="shared" si="42"/>
        <v>98.739349312500011</v>
      </c>
    </row>
    <row r="1331" spans="1:25" ht="14" x14ac:dyDescent="0.2">
      <c r="A1331" s="4" t="s">
        <v>3083</v>
      </c>
      <c r="B1331" s="5">
        <v>8763.5193750000017</v>
      </c>
      <c r="C1331" s="5">
        <f t="shared" si="41"/>
        <v>87.635193750000013</v>
      </c>
      <c r="D1331" s="4">
        <v>100</v>
      </c>
      <c r="E1331" s="5" t="s">
        <v>10</v>
      </c>
      <c r="F1331" s="4" t="s">
        <v>2670</v>
      </c>
      <c r="G1331" s="4" t="s">
        <v>20</v>
      </c>
      <c r="H1331" s="4" t="s">
        <v>3082</v>
      </c>
      <c r="I1331" s="4" t="s">
        <v>22</v>
      </c>
      <c r="J1331" s="4" t="s">
        <v>78</v>
      </c>
      <c r="K1331" s="4" t="s">
        <v>34</v>
      </c>
      <c r="M1331">
        <f t="shared" si="42"/>
        <v>78.871674375000012</v>
      </c>
    </row>
    <row r="1332" spans="1:25" ht="14" x14ac:dyDescent="0.2">
      <c r="A1332" s="4" t="s">
        <v>3084</v>
      </c>
      <c r="B1332" s="5">
        <v>6101.1843750000007</v>
      </c>
      <c r="C1332" s="5">
        <f t="shared" si="41"/>
        <v>6101.1843750000007</v>
      </c>
      <c r="D1332" s="4">
        <v>1</v>
      </c>
      <c r="E1332" s="5" t="s">
        <v>175</v>
      </c>
      <c r="F1332" s="4" t="s">
        <v>1604</v>
      </c>
      <c r="G1332" s="4" t="s">
        <v>20</v>
      </c>
      <c r="H1332" s="4" t="s">
        <v>3085</v>
      </c>
      <c r="I1332" s="4" t="s">
        <v>22</v>
      </c>
      <c r="J1332" s="8">
        <v>1E-3</v>
      </c>
      <c r="K1332" s="4" t="s">
        <v>179</v>
      </c>
      <c r="M1332">
        <f t="shared" si="42"/>
        <v>5491.0659375000005</v>
      </c>
    </row>
    <row r="1333" spans="1:25" ht="14" x14ac:dyDescent="0.2">
      <c r="A1333" s="4" t="s">
        <v>3086</v>
      </c>
      <c r="B1333" s="5">
        <v>887.44500000000005</v>
      </c>
      <c r="C1333" s="5">
        <f t="shared" si="41"/>
        <v>887.44500000000005</v>
      </c>
      <c r="D1333" s="4">
        <v>1</v>
      </c>
      <c r="E1333" s="5" t="s">
        <v>59</v>
      </c>
      <c r="F1333" s="4" t="s">
        <v>3087</v>
      </c>
      <c r="G1333" s="4" t="s">
        <v>20</v>
      </c>
      <c r="H1333" s="4" t="s">
        <v>3088</v>
      </c>
      <c r="I1333" s="4" t="s">
        <v>22</v>
      </c>
      <c r="K1333" s="4" t="s">
        <v>108</v>
      </c>
      <c r="M1333">
        <f t="shared" si="42"/>
        <v>798.70050000000003</v>
      </c>
    </row>
    <row r="1334" spans="1:25" ht="14" x14ac:dyDescent="0.2">
      <c r="A1334" s="7" t="s">
        <v>5373</v>
      </c>
      <c r="B1334" s="10">
        <v>1885.8206250000001</v>
      </c>
      <c r="C1334" s="5">
        <f t="shared" si="41"/>
        <v>1885.8206250000001</v>
      </c>
      <c r="D1334" s="9">
        <v>1</v>
      </c>
      <c r="E1334" s="10" t="s">
        <v>3219</v>
      </c>
      <c r="F1334" s="7" t="s">
        <v>5374</v>
      </c>
      <c r="G1334" s="7" t="s">
        <v>20</v>
      </c>
      <c r="H1334" s="7" t="s">
        <v>5375</v>
      </c>
      <c r="I1334" s="4" t="s">
        <v>22</v>
      </c>
      <c r="J1334" s="7" t="s">
        <v>1936</v>
      </c>
      <c r="K1334" s="7" t="s">
        <v>34</v>
      </c>
      <c r="L1334" s="4"/>
      <c r="M1334">
        <f t="shared" si="42"/>
        <v>1697.2385625000002</v>
      </c>
      <c r="N1334" s="3"/>
      <c r="O1334" s="3"/>
      <c r="P1334" s="3"/>
      <c r="Q1334" s="2"/>
      <c r="R1334" s="2"/>
      <c r="S1334" s="2"/>
      <c r="T1334" s="2"/>
      <c r="U1334" s="2"/>
      <c r="V1334" s="2"/>
      <c r="W1334" s="2"/>
      <c r="X1334" s="2"/>
      <c r="Y1334" s="2"/>
    </row>
    <row r="1335" spans="1:25" ht="14" x14ac:dyDescent="0.2">
      <c r="A1335" s="4" t="s">
        <v>3089</v>
      </c>
      <c r="B1335" s="5">
        <v>7210.4906250000004</v>
      </c>
      <c r="C1335" s="5">
        <f t="shared" si="41"/>
        <v>7210.4906250000004</v>
      </c>
      <c r="D1335" s="4">
        <v>1</v>
      </c>
      <c r="E1335" s="5" t="s">
        <v>175</v>
      </c>
      <c r="F1335" s="4" t="s">
        <v>3090</v>
      </c>
      <c r="G1335" s="4" t="s">
        <v>20</v>
      </c>
      <c r="H1335" s="4" t="s">
        <v>3091</v>
      </c>
      <c r="I1335" s="4" t="s">
        <v>22</v>
      </c>
      <c r="J1335" s="8">
        <v>5.0000000000000001E-3</v>
      </c>
      <c r="K1335" s="4" t="s">
        <v>244</v>
      </c>
      <c r="M1335">
        <f t="shared" si="42"/>
        <v>6489.4415625000001</v>
      </c>
    </row>
    <row r="1336" spans="1:25" ht="14" x14ac:dyDescent="0.2">
      <c r="A1336" s="4" t="s">
        <v>3092</v>
      </c>
      <c r="B1336" s="5">
        <v>7210.4906250000004</v>
      </c>
      <c r="C1336" s="5">
        <f t="shared" si="41"/>
        <v>7210.4906250000004</v>
      </c>
      <c r="D1336" s="4">
        <v>1</v>
      </c>
      <c r="E1336" s="5" t="s">
        <v>175</v>
      </c>
      <c r="F1336" s="4" t="s">
        <v>3093</v>
      </c>
      <c r="G1336" s="4" t="s">
        <v>20</v>
      </c>
      <c r="H1336" s="4" t="s">
        <v>3094</v>
      </c>
      <c r="I1336" s="4" t="s">
        <v>22</v>
      </c>
      <c r="J1336" s="4" t="s">
        <v>3095</v>
      </c>
      <c r="K1336" s="4" t="s">
        <v>244</v>
      </c>
      <c r="M1336">
        <f t="shared" si="42"/>
        <v>6489.4415625000001</v>
      </c>
    </row>
    <row r="1337" spans="1:25" ht="14" x14ac:dyDescent="0.2">
      <c r="A1337" s="4" t="s">
        <v>3096</v>
      </c>
      <c r="B1337" s="5">
        <v>6655.8375000000005</v>
      </c>
      <c r="C1337" s="5">
        <f t="shared" si="41"/>
        <v>6655.8375000000005</v>
      </c>
      <c r="D1337" s="4">
        <v>1</v>
      </c>
      <c r="E1337" s="5" t="s">
        <v>18</v>
      </c>
      <c r="F1337" s="4" t="s">
        <v>3094</v>
      </c>
      <c r="G1337" s="4" t="s">
        <v>20</v>
      </c>
      <c r="H1337" s="4" t="s">
        <v>3094</v>
      </c>
      <c r="I1337" s="4" t="s">
        <v>22</v>
      </c>
      <c r="K1337" s="4" t="s">
        <v>179</v>
      </c>
      <c r="M1337">
        <f t="shared" si="42"/>
        <v>5990.2537500000008</v>
      </c>
    </row>
    <row r="1338" spans="1:25" ht="14" x14ac:dyDescent="0.2">
      <c r="A1338" s="4" t="s">
        <v>3097</v>
      </c>
      <c r="B1338" s="5">
        <v>37605.481875000005</v>
      </c>
      <c r="C1338" s="5">
        <f t="shared" si="41"/>
        <v>1253.5160625000001</v>
      </c>
      <c r="D1338" s="4">
        <v>30</v>
      </c>
      <c r="E1338" s="5" t="s">
        <v>10</v>
      </c>
      <c r="F1338" s="4" t="s">
        <v>3098</v>
      </c>
      <c r="G1338" s="4" t="s">
        <v>20</v>
      </c>
      <c r="H1338" s="4" t="s">
        <v>3099</v>
      </c>
      <c r="I1338" s="4" t="s">
        <v>14</v>
      </c>
      <c r="K1338" s="4" t="s">
        <v>34</v>
      </c>
      <c r="M1338">
        <f t="shared" si="42"/>
        <v>1128.1644562500001</v>
      </c>
    </row>
    <row r="1339" spans="1:25" ht="14" x14ac:dyDescent="0.2">
      <c r="A1339" s="4" t="s">
        <v>3100</v>
      </c>
      <c r="B1339" s="5">
        <v>5933.6791312500009</v>
      </c>
      <c r="C1339" s="5">
        <f t="shared" si="41"/>
        <v>5933.6791312500009</v>
      </c>
      <c r="D1339" s="4">
        <v>1</v>
      </c>
      <c r="E1339" s="5" t="s">
        <v>124</v>
      </c>
      <c r="F1339" s="4" t="s">
        <v>3101</v>
      </c>
      <c r="G1339" s="4" t="s">
        <v>20</v>
      </c>
      <c r="H1339" s="4" t="s">
        <v>3102</v>
      </c>
      <c r="I1339" s="4" t="s">
        <v>14</v>
      </c>
      <c r="J1339" s="4" t="s">
        <v>146</v>
      </c>
      <c r="K1339" s="4" t="s">
        <v>406</v>
      </c>
      <c r="M1339">
        <f t="shared" si="42"/>
        <v>5340.3112181250008</v>
      </c>
    </row>
    <row r="1340" spans="1:25" ht="14" x14ac:dyDescent="0.2">
      <c r="A1340" s="4" t="s">
        <v>3103</v>
      </c>
      <c r="B1340" s="5">
        <v>11844.062831249999</v>
      </c>
      <c r="C1340" s="5">
        <f t="shared" si="41"/>
        <v>118.4406283125</v>
      </c>
      <c r="D1340" s="4">
        <v>100</v>
      </c>
      <c r="E1340" s="5" t="s">
        <v>10</v>
      </c>
      <c r="F1340" s="4" t="s">
        <v>3101</v>
      </c>
      <c r="G1340" s="4" t="s">
        <v>20</v>
      </c>
      <c r="H1340" s="4" t="s">
        <v>3102</v>
      </c>
      <c r="I1340" s="4" t="s">
        <v>14</v>
      </c>
      <c r="J1340" s="4" t="s">
        <v>146</v>
      </c>
      <c r="K1340" s="4" t="s">
        <v>406</v>
      </c>
      <c r="M1340">
        <f t="shared" si="42"/>
        <v>106.59656548125</v>
      </c>
    </row>
    <row r="1341" spans="1:25" ht="14" x14ac:dyDescent="0.2">
      <c r="A1341" s="4" t="s">
        <v>3104</v>
      </c>
      <c r="B1341" s="5">
        <v>11502.396506250001</v>
      </c>
      <c r="C1341" s="5">
        <f t="shared" si="41"/>
        <v>115.02396506250001</v>
      </c>
      <c r="D1341" s="4">
        <v>100</v>
      </c>
      <c r="E1341" s="5" t="s">
        <v>10</v>
      </c>
      <c r="F1341" s="4" t="s">
        <v>3105</v>
      </c>
      <c r="G1341" s="4" t="s">
        <v>20</v>
      </c>
      <c r="H1341" s="4" t="s">
        <v>3105</v>
      </c>
      <c r="I1341" s="4" t="s">
        <v>22</v>
      </c>
      <c r="J1341" s="4" t="s">
        <v>3106</v>
      </c>
      <c r="K1341" s="4" t="s">
        <v>87</v>
      </c>
      <c r="M1341">
        <f t="shared" si="42"/>
        <v>103.52156855625</v>
      </c>
    </row>
    <row r="1342" spans="1:25" ht="14" x14ac:dyDescent="0.2">
      <c r="A1342" s="7" t="s">
        <v>5376</v>
      </c>
      <c r="B1342" s="10">
        <v>16417.732500000002</v>
      </c>
      <c r="C1342" s="5">
        <f t="shared" si="41"/>
        <v>16417.732500000002</v>
      </c>
      <c r="D1342" s="9">
        <v>1</v>
      </c>
      <c r="E1342" s="10" t="s">
        <v>5377</v>
      </c>
      <c r="F1342" s="7" t="s">
        <v>5378</v>
      </c>
      <c r="G1342" s="7" t="s">
        <v>20</v>
      </c>
      <c r="H1342" s="7" t="s">
        <v>3107</v>
      </c>
      <c r="I1342" s="4" t="s">
        <v>22</v>
      </c>
      <c r="J1342" s="7" t="s">
        <v>5379</v>
      </c>
      <c r="K1342" s="7" t="s">
        <v>23</v>
      </c>
      <c r="L1342" s="4"/>
      <c r="M1342">
        <f t="shared" si="42"/>
        <v>14775.959250000002</v>
      </c>
      <c r="N1342" s="3"/>
      <c r="O1342" s="3"/>
      <c r="P1342" s="3"/>
      <c r="Q1342" s="2"/>
      <c r="R1342" s="2"/>
      <c r="S1342" s="2"/>
      <c r="T1342" s="2"/>
      <c r="U1342" s="2"/>
      <c r="V1342" s="2"/>
      <c r="W1342" s="2"/>
      <c r="X1342" s="2"/>
      <c r="Y1342" s="2"/>
    </row>
    <row r="1343" spans="1:25" ht="14" x14ac:dyDescent="0.2">
      <c r="A1343" s="4" t="s">
        <v>3108</v>
      </c>
      <c r="B1343" s="5">
        <v>12424.230000000001</v>
      </c>
      <c r="C1343" s="5">
        <f t="shared" si="41"/>
        <v>414.14100000000002</v>
      </c>
      <c r="D1343" s="4">
        <v>30</v>
      </c>
      <c r="E1343" s="4" t="s">
        <v>973</v>
      </c>
      <c r="F1343" s="4" t="s">
        <v>3108</v>
      </c>
      <c r="G1343" s="4" t="s">
        <v>12</v>
      </c>
      <c r="H1343" s="4" t="s">
        <v>3109</v>
      </c>
      <c r="I1343" s="4" t="s">
        <v>22</v>
      </c>
      <c r="J1343" s="4" t="s">
        <v>2556</v>
      </c>
      <c r="K1343" s="4" t="s">
        <v>34</v>
      </c>
      <c r="M1343">
        <f t="shared" si="42"/>
        <v>372.7269</v>
      </c>
    </row>
    <row r="1344" spans="1:25" ht="14" x14ac:dyDescent="0.2">
      <c r="A1344" s="4" t="s">
        <v>3110</v>
      </c>
      <c r="B1344" s="5">
        <v>4883.1661125000001</v>
      </c>
      <c r="C1344" s="5">
        <f t="shared" si="41"/>
        <v>4883.1661125000001</v>
      </c>
      <c r="D1344" s="4">
        <v>1</v>
      </c>
      <c r="E1344" s="5" t="s">
        <v>30</v>
      </c>
      <c r="F1344" s="4" t="s">
        <v>2347</v>
      </c>
      <c r="G1344" s="4" t="s">
        <v>20</v>
      </c>
      <c r="H1344" s="4" t="s">
        <v>3111</v>
      </c>
      <c r="I1344" s="4" t="s">
        <v>22</v>
      </c>
      <c r="J1344" s="4" t="s">
        <v>52</v>
      </c>
      <c r="K1344" s="4" t="s">
        <v>68</v>
      </c>
      <c r="M1344">
        <f t="shared" si="42"/>
        <v>4394.8495012499998</v>
      </c>
    </row>
    <row r="1345" spans="1:13" ht="14" x14ac:dyDescent="0.2">
      <c r="A1345" s="4" t="s">
        <v>3112</v>
      </c>
      <c r="B1345" s="5">
        <v>585.71370000000013</v>
      </c>
      <c r="C1345" s="5">
        <f t="shared" si="41"/>
        <v>5.8571370000000016</v>
      </c>
      <c r="D1345" s="4">
        <v>100</v>
      </c>
      <c r="E1345" s="5" t="s">
        <v>10</v>
      </c>
      <c r="F1345" s="4" t="s">
        <v>3101</v>
      </c>
      <c r="G1345" s="4" t="s">
        <v>20</v>
      </c>
      <c r="H1345" s="4" t="s">
        <v>3113</v>
      </c>
      <c r="I1345" s="4" t="s">
        <v>22</v>
      </c>
      <c r="J1345" s="4" t="s">
        <v>146</v>
      </c>
      <c r="K1345" s="4" t="s">
        <v>406</v>
      </c>
      <c r="M1345">
        <f t="shared" si="42"/>
        <v>5.2714233000000013</v>
      </c>
    </row>
    <row r="1346" spans="1:13" ht="14" x14ac:dyDescent="0.2">
      <c r="A1346" s="4" t="s">
        <v>3114</v>
      </c>
      <c r="B1346" s="5">
        <v>1109.3062500000001</v>
      </c>
      <c r="C1346" s="5">
        <f t="shared" si="41"/>
        <v>110.93062500000001</v>
      </c>
      <c r="D1346" s="4">
        <v>10</v>
      </c>
      <c r="E1346" s="5" t="s">
        <v>10</v>
      </c>
      <c r="F1346" s="4" t="s">
        <v>3114</v>
      </c>
      <c r="G1346" s="4" t="s">
        <v>20</v>
      </c>
      <c r="H1346" s="4" t="s">
        <v>3115</v>
      </c>
      <c r="I1346" s="4" t="s">
        <v>22</v>
      </c>
      <c r="J1346" s="4" t="s">
        <v>89</v>
      </c>
      <c r="K1346" s="4" t="s">
        <v>87</v>
      </c>
      <c r="M1346">
        <f t="shared" si="42"/>
        <v>99.837562500000004</v>
      </c>
    </row>
    <row r="1347" spans="1:13" ht="14" x14ac:dyDescent="0.2">
      <c r="A1347" s="4" t="s">
        <v>3116</v>
      </c>
      <c r="B1347" s="5">
        <v>8540.5488187500014</v>
      </c>
      <c r="C1347" s="5">
        <f t="shared" ref="C1347:C1410" si="43">(B1347/D1347)</f>
        <v>305.0196006696429</v>
      </c>
      <c r="D1347" s="4">
        <v>28</v>
      </c>
      <c r="E1347" s="5" t="s">
        <v>10</v>
      </c>
      <c r="F1347" s="4" t="s">
        <v>3117</v>
      </c>
      <c r="G1347" s="4" t="s">
        <v>20</v>
      </c>
      <c r="H1347" s="4" t="s">
        <v>3117</v>
      </c>
      <c r="I1347" s="4" t="s">
        <v>22</v>
      </c>
      <c r="J1347" s="4" t="s">
        <v>207</v>
      </c>
      <c r="K1347" s="4" t="s">
        <v>786</v>
      </c>
      <c r="M1347">
        <f t="shared" si="42"/>
        <v>274.51764060267863</v>
      </c>
    </row>
    <row r="1348" spans="1:13" ht="14" x14ac:dyDescent="0.2">
      <c r="A1348" s="4" t="s">
        <v>3118</v>
      </c>
      <c r="B1348" s="5">
        <v>1094.88526875</v>
      </c>
      <c r="C1348" s="5">
        <f t="shared" si="43"/>
        <v>109.48852687500001</v>
      </c>
      <c r="D1348" s="4">
        <v>10</v>
      </c>
      <c r="E1348" s="5" t="s">
        <v>10</v>
      </c>
      <c r="F1348" s="4" t="s">
        <v>3119</v>
      </c>
      <c r="G1348" s="4" t="s">
        <v>20</v>
      </c>
      <c r="H1348" s="4" t="s">
        <v>3120</v>
      </c>
      <c r="I1348" s="4" t="s">
        <v>22</v>
      </c>
      <c r="K1348" s="4" t="s">
        <v>53</v>
      </c>
      <c r="M1348">
        <f t="shared" si="42"/>
        <v>98.539674187499998</v>
      </c>
    </row>
    <row r="1349" spans="1:13" ht="14" x14ac:dyDescent="0.2">
      <c r="A1349" s="4" t="s">
        <v>3121</v>
      </c>
      <c r="B1349" s="5">
        <v>31060.575000000004</v>
      </c>
      <c r="C1349" s="5">
        <f t="shared" si="43"/>
        <v>3106.0575000000003</v>
      </c>
      <c r="D1349" s="4">
        <v>10</v>
      </c>
      <c r="E1349" s="5" t="s">
        <v>10</v>
      </c>
      <c r="F1349" s="4" t="s">
        <v>3122</v>
      </c>
      <c r="G1349" s="4" t="s">
        <v>20</v>
      </c>
      <c r="H1349" s="4" t="s">
        <v>3123</v>
      </c>
      <c r="I1349" s="4" t="s">
        <v>22</v>
      </c>
      <c r="J1349" s="4" t="s">
        <v>148</v>
      </c>
      <c r="K1349" s="4" t="s">
        <v>219</v>
      </c>
      <c r="M1349">
        <f t="shared" si="42"/>
        <v>2795.4517500000002</v>
      </c>
    </row>
    <row r="1350" spans="1:13" ht="14" x14ac:dyDescent="0.2">
      <c r="A1350" s="4" t="s">
        <v>3124</v>
      </c>
      <c r="B1350" s="5">
        <v>7321.4212500000003</v>
      </c>
      <c r="C1350" s="5">
        <f t="shared" si="43"/>
        <v>732.14212500000008</v>
      </c>
      <c r="D1350" s="4">
        <v>10</v>
      </c>
      <c r="E1350" s="5" t="s">
        <v>10</v>
      </c>
      <c r="F1350" s="4" t="s">
        <v>3125</v>
      </c>
      <c r="G1350" s="4" t="s">
        <v>20</v>
      </c>
      <c r="H1350" s="4" t="s">
        <v>3125</v>
      </c>
      <c r="I1350" s="4" t="s">
        <v>22</v>
      </c>
      <c r="J1350" s="4" t="s">
        <v>895</v>
      </c>
      <c r="K1350" s="4" t="s">
        <v>34</v>
      </c>
      <c r="M1350">
        <f t="shared" si="42"/>
        <v>658.92791250000005</v>
      </c>
    </row>
    <row r="1351" spans="1:13" ht="14" x14ac:dyDescent="0.2">
      <c r="A1351" s="4" t="s">
        <v>3126</v>
      </c>
      <c r="B1351" s="5">
        <v>13866.328125000002</v>
      </c>
      <c r="C1351" s="5">
        <f t="shared" si="43"/>
        <v>462.21093750000006</v>
      </c>
      <c r="D1351" s="4">
        <v>30</v>
      </c>
      <c r="E1351" s="4" t="s">
        <v>973</v>
      </c>
      <c r="F1351" s="4" t="s">
        <v>3126</v>
      </c>
      <c r="G1351" s="4" t="s">
        <v>12</v>
      </c>
      <c r="H1351" s="4" t="s">
        <v>3127</v>
      </c>
      <c r="I1351" s="4"/>
      <c r="J1351" s="4" t="s">
        <v>200</v>
      </c>
      <c r="K1351" s="4" t="s">
        <v>34</v>
      </c>
      <c r="M1351">
        <f t="shared" si="42"/>
        <v>415.98984375000003</v>
      </c>
    </row>
    <row r="1352" spans="1:13" ht="14" x14ac:dyDescent="0.2">
      <c r="A1352" s="4" t="s">
        <v>3128</v>
      </c>
      <c r="B1352" s="5">
        <v>16972.385625000003</v>
      </c>
      <c r="C1352" s="5">
        <f t="shared" si="43"/>
        <v>169.72385625000004</v>
      </c>
      <c r="D1352" s="4">
        <v>100</v>
      </c>
      <c r="E1352" s="5" t="s">
        <v>10</v>
      </c>
      <c r="F1352" s="4" t="s">
        <v>3128</v>
      </c>
      <c r="G1352" s="4" t="s">
        <v>20</v>
      </c>
      <c r="H1352" s="4" t="s">
        <v>3128</v>
      </c>
      <c r="I1352" s="4" t="s">
        <v>22</v>
      </c>
      <c r="J1352" s="4" t="s">
        <v>405</v>
      </c>
      <c r="K1352" s="4" t="s">
        <v>34</v>
      </c>
      <c r="M1352">
        <f t="shared" si="42"/>
        <v>152.75147062500002</v>
      </c>
    </row>
    <row r="1353" spans="1:13" ht="14" x14ac:dyDescent="0.2">
      <c r="A1353" s="4" t="s">
        <v>3129</v>
      </c>
      <c r="B1353" s="5">
        <v>2419.3969312500003</v>
      </c>
      <c r="C1353" s="5">
        <f t="shared" si="43"/>
        <v>241.93969312500002</v>
      </c>
      <c r="D1353" s="4">
        <v>10</v>
      </c>
      <c r="E1353" s="5" t="s">
        <v>10</v>
      </c>
      <c r="F1353" s="4" t="s">
        <v>2152</v>
      </c>
      <c r="G1353" s="4" t="s">
        <v>20</v>
      </c>
      <c r="H1353" s="4" t="s">
        <v>3130</v>
      </c>
      <c r="I1353" s="4" t="s">
        <v>22</v>
      </c>
      <c r="J1353" s="4" t="s">
        <v>1519</v>
      </c>
      <c r="K1353" s="4" t="s">
        <v>87</v>
      </c>
      <c r="M1353">
        <f t="shared" si="42"/>
        <v>217.74572381250002</v>
      </c>
    </row>
    <row r="1354" spans="1:13" ht="14" x14ac:dyDescent="0.2">
      <c r="A1354" s="4" t="s">
        <v>3131</v>
      </c>
      <c r="B1354" s="5">
        <v>1985.6581875000002</v>
      </c>
      <c r="C1354" s="5">
        <f t="shared" si="43"/>
        <v>198.56581875000001</v>
      </c>
      <c r="D1354" s="4">
        <v>10</v>
      </c>
      <c r="E1354" s="5" t="s">
        <v>10</v>
      </c>
      <c r="F1354" s="4" t="s">
        <v>2152</v>
      </c>
      <c r="G1354" s="4" t="s">
        <v>20</v>
      </c>
      <c r="H1354" s="4" t="s">
        <v>3130</v>
      </c>
      <c r="I1354" s="4" t="s">
        <v>22</v>
      </c>
      <c r="J1354" s="4" t="s">
        <v>1521</v>
      </c>
      <c r="K1354" s="4" t="s">
        <v>87</v>
      </c>
      <c r="M1354">
        <f t="shared" si="42"/>
        <v>178.70923687499999</v>
      </c>
    </row>
    <row r="1355" spans="1:13" ht="14" x14ac:dyDescent="0.2">
      <c r="A1355" s="4" t="s">
        <v>3132</v>
      </c>
      <c r="B1355" s="5">
        <v>4104.4331250000005</v>
      </c>
      <c r="C1355" s="5">
        <f t="shared" si="43"/>
        <v>4104.4331250000005</v>
      </c>
      <c r="D1355" s="4">
        <v>1</v>
      </c>
      <c r="E1355" s="5" t="s">
        <v>175</v>
      </c>
      <c r="F1355" s="4" t="s">
        <v>2018</v>
      </c>
      <c r="G1355" s="4" t="s">
        <v>20</v>
      </c>
      <c r="H1355" s="4" t="s">
        <v>3133</v>
      </c>
      <c r="I1355" s="4" t="s">
        <v>22</v>
      </c>
      <c r="J1355" s="6">
        <v>0</v>
      </c>
      <c r="K1355" s="4" t="s">
        <v>244</v>
      </c>
      <c r="M1355">
        <f t="shared" si="42"/>
        <v>3693.9898125000004</v>
      </c>
    </row>
    <row r="1356" spans="1:13" ht="14" x14ac:dyDescent="0.2">
      <c r="A1356" s="4" t="s">
        <v>3134</v>
      </c>
      <c r="B1356" s="5">
        <v>1966.7999812500002</v>
      </c>
      <c r="C1356" s="5">
        <f t="shared" si="43"/>
        <v>65.559999375000004</v>
      </c>
      <c r="D1356" s="4">
        <v>30</v>
      </c>
      <c r="E1356" s="5" t="s">
        <v>10</v>
      </c>
      <c r="F1356" s="4" t="s">
        <v>2152</v>
      </c>
      <c r="G1356" s="4" t="s">
        <v>20</v>
      </c>
      <c r="H1356" s="4" t="s">
        <v>3135</v>
      </c>
      <c r="I1356" s="4" t="s">
        <v>22</v>
      </c>
      <c r="J1356" s="4" t="s">
        <v>1519</v>
      </c>
      <c r="K1356" s="4" t="s">
        <v>87</v>
      </c>
      <c r="M1356">
        <f t="shared" si="42"/>
        <v>59.003999437499999</v>
      </c>
    </row>
    <row r="1357" spans="1:13" ht="14" x14ac:dyDescent="0.2">
      <c r="A1357" s="4" t="s">
        <v>3136</v>
      </c>
      <c r="B1357" s="5">
        <v>2096.5888125000001</v>
      </c>
      <c r="C1357" s="5">
        <f t="shared" si="43"/>
        <v>69.886293750000007</v>
      </c>
      <c r="D1357" s="4">
        <v>30</v>
      </c>
      <c r="E1357" s="5" t="s">
        <v>10</v>
      </c>
      <c r="F1357" s="4" t="s">
        <v>2152</v>
      </c>
      <c r="G1357" s="4" t="s">
        <v>20</v>
      </c>
      <c r="H1357" s="4" t="s">
        <v>3135</v>
      </c>
      <c r="I1357" s="4" t="s">
        <v>22</v>
      </c>
      <c r="J1357" s="4" t="s">
        <v>1521</v>
      </c>
      <c r="K1357" s="4" t="s">
        <v>87</v>
      </c>
      <c r="M1357">
        <f t="shared" si="42"/>
        <v>62.897664375000005</v>
      </c>
    </row>
    <row r="1358" spans="1:13" ht="14" x14ac:dyDescent="0.2">
      <c r="A1358" s="4" t="s">
        <v>3137</v>
      </c>
      <c r="B1358" s="5">
        <v>11899.52814375</v>
      </c>
      <c r="C1358" s="5">
        <f t="shared" si="43"/>
        <v>424.98314799107141</v>
      </c>
      <c r="D1358" s="4">
        <v>28</v>
      </c>
      <c r="E1358" s="5" t="s">
        <v>10</v>
      </c>
      <c r="F1358" s="4" t="s">
        <v>3138</v>
      </c>
      <c r="G1358" s="4" t="s">
        <v>12</v>
      </c>
      <c r="H1358" s="4" t="s">
        <v>3138</v>
      </c>
      <c r="I1358" s="4" t="s">
        <v>22</v>
      </c>
      <c r="J1358" s="4" t="s">
        <v>146</v>
      </c>
      <c r="K1358" s="4" t="s">
        <v>227</v>
      </c>
      <c r="M1358">
        <f t="shared" si="42"/>
        <v>382.48483319196424</v>
      </c>
    </row>
    <row r="1359" spans="1:13" ht="14" x14ac:dyDescent="0.2">
      <c r="A1359" s="4" t="s">
        <v>3139</v>
      </c>
      <c r="B1359" s="5">
        <v>12440.869593750002</v>
      </c>
      <c r="C1359" s="5">
        <f t="shared" si="43"/>
        <v>444.31677120535721</v>
      </c>
      <c r="D1359" s="4">
        <v>28</v>
      </c>
      <c r="E1359" s="5" t="s">
        <v>10</v>
      </c>
      <c r="F1359" s="4" t="s">
        <v>3138</v>
      </c>
      <c r="G1359" s="4" t="s">
        <v>12</v>
      </c>
      <c r="H1359" s="4" t="s">
        <v>3138</v>
      </c>
      <c r="I1359" s="4" t="s">
        <v>22</v>
      </c>
      <c r="J1359" s="4" t="s">
        <v>148</v>
      </c>
      <c r="K1359" s="4" t="s">
        <v>227</v>
      </c>
      <c r="M1359">
        <f t="shared" si="42"/>
        <v>399.8850940848215</v>
      </c>
    </row>
    <row r="1360" spans="1:13" ht="14" x14ac:dyDescent="0.2">
      <c r="A1360" s="4" t="s">
        <v>3140</v>
      </c>
      <c r="B1360" s="5">
        <v>4437.2250000000004</v>
      </c>
      <c r="C1360" s="5">
        <f t="shared" si="43"/>
        <v>4437.2250000000004</v>
      </c>
      <c r="D1360" s="4">
        <v>1</v>
      </c>
      <c r="E1360" s="5" t="s">
        <v>59</v>
      </c>
      <c r="F1360" s="4" t="s">
        <v>3141</v>
      </c>
      <c r="G1360" s="4" t="s">
        <v>20</v>
      </c>
      <c r="H1360" s="4" t="s">
        <v>3142</v>
      </c>
      <c r="I1360" s="4" t="s">
        <v>22</v>
      </c>
      <c r="K1360" s="4" t="s">
        <v>118</v>
      </c>
      <c r="M1360">
        <f t="shared" si="42"/>
        <v>3993.5025000000005</v>
      </c>
    </row>
    <row r="1361" spans="1:13" ht="14" x14ac:dyDescent="0.2">
      <c r="A1361" s="4" t="s">
        <v>3143</v>
      </c>
      <c r="B1361" s="5">
        <v>2440.4737500000001</v>
      </c>
      <c r="C1361" s="5">
        <f t="shared" si="43"/>
        <v>101.68640625</v>
      </c>
      <c r="D1361" s="4">
        <v>24</v>
      </c>
      <c r="E1361" s="5" t="s">
        <v>10</v>
      </c>
      <c r="F1361" s="4" t="s">
        <v>3144</v>
      </c>
      <c r="G1361" s="4" t="s">
        <v>20</v>
      </c>
      <c r="H1361" s="4" t="s">
        <v>3145</v>
      </c>
      <c r="I1361" s="4" t="s">
        <v>22</v>
      </c>
      <c r="K1361" s="4" t="s">
        <v>118</v>
      </c>
      <c r="M1361">
        <f t="shared" si="42"/>
        <v>91.51776562500001</v>
      </c>
    </row>
    <row r="1362" spans="1:13" ht="14" x14ac:dyDescent="0.2">
      <c r="A1362" s="4" t="s">
        <v>3146</v>
      </c>
      <c r="B1362" s="5">
        <v>5990.2537500000008</v>
      </c>
      <c r="C1362" s="5">
        <f t="shared" si="43"/>
        <v>199.67512500000004</v>
      </c>
      <c r="D1362" s="4">
        <v>30</v>
      </c>
      <c r="E1362" s="5" t="s">
        <v>10</v>
      </c>
      <c r="F1362" s="4" t="s">
        <v>269</v>
      </c>
      <c r="G1362" s="4" t="s">
        <v>12</v>
      </c>
      <c r="H1362" s="4" t="s">
        <v>3147</v>
      </c>
      <c r="I1362" s="4" t="s">
        <v>22</v>
      </c>
      <c r="J1362" s="4" t="s">
        <v>3148</v>
      </c>
      <c r="K1362" s="4" t="s">
        <v>16</v>
      </c>
      <c r="M1362">
        <f t="shared" si="42"/>
        <v>179.70761250000004</v>
      </c>
    </row>
    <row r="1363" spans="1:13" ht="14" x14ac:dyDescent="0.2">
      <c r="A1363" s="4" t="s">
        <v>3149</v>
      </c>
      <c r="B1363" s="5">
        <v>7654.2131250000011</v>
      </c>
      <c r="C1363" s="5">
        <f t="shared" si="43"/>
        <v>255.14043750000005</v>
      </c>
      <c r="D1363" s="4">
        <v>30</v>
      </c>
      <c r="E1363" s="5" t="s">
        <v>10</v>
      </c>
      <c r="F1363" s="4" t="s">
        <v>269</v>
      </c>
      <c r="G1363" s="4" t="s">
        <v>12</v>
      </c>
      <c r="H1363" s="4" t="s">
        <v>3150</v>
      </c>
      <c r="I1363" s="4" t="s">
        <v>22</v>
      </c>
      <c r="J1363" s="4" t="s">
        <v>994</v>
      </c>
      <c r="K1363" s="4" t="s">
        <v>16</v>
      </c>
      <c r="M1363">
        <f t="shared" si="42"/>
        <v>229.62639375000003</v>
      </c>
    </row>
    <row r="1364" spans="1:13" ht="14" x14ac:dyDescent="0.2">
      <c r="A1364" s="4" t="s">
        <v>3151</v>
      </c>
      <c r="B1364" s="5">
        <v>3549.78</v>
      </c>
      <c r="C1364" s="5">
        <f t="shared" si="43"/>
        <v>3549.78</v>
      </c>
      <c r="D1364" s="4">
        <v>1</v>
      </c>
      <c r="E1364" s="5" t="s">
        <v>55</v>
      </c>
      <c r="F1364" s="4" t="s">
        <v>426</v>
      </c>
      <c r="G1364" s="4" t="s">
        <v>20</v>
      </c>
      <c r="H1364" s="4" t="s">
        <v>426</v>
      </c>
      <c r="I1364" s="4" t="s">
        <v>22</v>
      </c>
      <c r="J1364" s="6">
        <v>0.02</v>
      </c>
      <c r="K1364" s="4" t="s">
        <v>23</v>
      </c>
      <c r="M1364">
        <f t="shared" si="42"/>
        <v>3194.8020000000001</v>
      </c>
    </row>
    <row r="1365" spans="1:13" ht="14" x14ac:dyDescent="0.2">
      <c r="A1365" s="4" t="s">
        <v>3152</v>
      </c>
      <c r="B1365" s="5">
        <v>2662.335</v>
      </c>
      <c r="C1365" s="5">
        <f t="shared" si="43"/>
        <v>133.11675</v>
      </c>
      <c r="D1365" s="4">
        <v>20</v>
      </c>
      <c r="E1365" s="5" t="s">
        <v>10</v>
      </c>
      <c r="F1365" s="4" t="s">
        <v>2355</v>
      </c>
      <c r="G1365" s="4" t="s">
        <v>20</v>
      </c>
      <c r="H1365" s="4" t="s">
        <v>3153</v>
      </c>
      <c r="I1365" s="4" t="s">
        <v>22</v>
      </c>
      <c r="J1365" s="4" t="s">
        <v>148</v>
      </c>
      <c r="K1365" s="4" t="s">
        <v>748</v>
      </c>
      <c r="M1365">
        <f t="shared" si="42"/>
        <v>119.80507499999999</v>
      </c>
    </row>
    <row r="1366" spans="1:13" ht="14" x14ac:dyDescent="0.2">
      <c r="A1366" s="4" t="s">
        <v>3154</v>
      </c>
      <c r="B1366" s="5">
        <v>2995.1268750000004</v>
      </c>
      <c r="C1366" s="5">
        <f t="shared" si="43"/>
        <v>99.837562500000018</v>
      </c>
      <c r="D1366" s="4">
        <v>30</v>
      </c>
      <c r="E1366" s="5" t="s">
        <v>10</v>
      </c>
      <c r="F1366" s="4" t="s">
        <v>269</v>
      </c>
      <c r="G1366" s="4" t="s">
        <v>12</v>
      </c>
      <c r="H1366" s="4" t="s">
        <v>3155</v>
      </c>
      <c r="I1366" s="4" t="s">
        <v>22</v>
      </c>
      <c r="J1366" s="4" t="s">
        <v>273</v>
      </c>
      <c r="K1366" s="4" t="s">
        <v>16</v>
      </c>
      <c r="M1366">
        <f t="shared" si="42"/>
        <v>89.853806250000019</v>
      </c>
    </row>
    <row r="1367" spans="1:13" ht="14" x14ac:dyDescent="0.2">
      <c r="A1367" s="4" t="s">
        <v>3156</v>
      </c>
      <c r="B1367" s="5">
        <v>3316.8256875000002</v>
      </c>
      <c r="C1367" s="5">
        <f t="shared" si="43"/>
        <v>110.56085625</v>
      </c>
      <c r="D1367" s="4">
        <v>30</v>
      </c>
      <c r="E1367" s="5" t="s">
        <v>10</v>
      </c>
      <c r="F1367" s="4" t="s">
        <v>269</v>
      </c>
      <c r="G1367" s="4" t="s">
        <v>12</v>
      </c>
      <c r="H1367" s="4" t="s">
        <v>3155</v>
      </c>
      <c r="I1367" s="4" t="s">
        <v>22</v>
      </c>
      <c r="J1367" s="4" t="s">
        <v>198</v>
      </c>
      <c r="K1367" s="4" t="s">
        <v>16</v>
      </c>
      <c r="M1367">
        <f t="shared" si="42"/>
        <v>99.504770624999992</v>
      </c>
    </row>
    <row r="1368" spans="1:13" ht="14" x14ac:dyDescent="0.2">
      <c r="A1368" s="4" t="s">
        <v>3157</v>
      </c>
      <c r="B1368" s="5">
        <v>43928.527500000004</v>
      </c>
      <c r="C1368" s="5">
        <f t="shared" si="43"/>
        <v>4880.9475000000002</v>
      </c>
      <c r="D1368" s="4">
        <v>9</v>
      </c>
      <c r="E1368" s="4" t="s">
        <v>124</v>
      </c>
      <c r="F1368" s="4" t="s">
        <v>3158</v>
      </c>
      <c r="G1368" s="4" t="s">
        <v>20</v>
      </c>
      <c r="H1368" s="4" t="s">
        <v>3159</v>
      </c>
      <c r="I1368" s="4"/>
      <c r="J1368" s="4" t="s">
        <v>696</v>
      </c>
      <c r="K1368" s="4" t="s">
        <v>53</v>
      </c>
      <c r="M1368">
        <f t="shared" si="42"/>
        <v>4392.85275</v>
      </c>
    </row>
    <row r="1369" spans="1:13" ht="14" x14ac:dyDescent="0.2">
      <c r="A1369" s="4" t="s">
        <v>3160</v>
      </c>
      <c r="B1369" s="5">
        <v>23313.180150000004</v>
      </c>
      <c r="C1369" s="5">
        <f t="shared" si="43"/>
        <v>23313.180150000004</v>
      </c>
      <c r="D1369" s="4">
        <v>1</v>
      </c>
      <c r="E1369" s="5" t="s">
        <v>124</v>
      </c>
      <c r="F1369" s="4" t="s">
        <v>3161</v>
      </c>
      <c r="G1369" s="4" t="s">
        <v>20</v>
      </c>
      <c r="H1369" s="4" t="s">
        <v>3162</v>
      </c>
      <c r="I1369" s="4" t="s">
        <v>22</v>
      </c>
      <c r="J1369" s="4" t="s">
        <v>351</v>
      </c>
      <c r="K1369" s="4" t="s">
        <v>53</v>
      </c>
      <c r="M1369">
        <f t="shared" si="42"/>
        <v>20981.862135000003</v>
      </c>
    </row>
    <row r="1370" spans="1:13" ht="14" x14ac:dyDescent="0.2">
      <c r="A1370" s="4" t="s">
        <v>3163</v>
      </c>
      <c r="B1370" s="5">
        <v>16776.038418750002</v>
      </c>
      <c r="C1370" s="5">
        <f t="shared" si="43"/>
        <v>16776.038418750002</v>
      </c>
      <c r="D1370" s="4">
        <v>1</v>
      </c>
      <c r="E1370" s="5" t="s">
        <v>10</v>
      </c>
      <c r="F1370" s="4" t="s">
        <v>3164</v>
      </c>
      <c r="G1370" s="4" t="s">
        <v>20</v>
      </c>
      <c r="H1370" s="4" t="s">
        <v>3165</v>
      </c>
      <c r="I1370" s="4" t="s">
        <v>22</v>
      </c>
      <c r="J1370" s="4" t="s">
        <v>207</v>
      </c>
      <c r="K1370" s="4" t="s">
        <v>53</v>
      </c>
      <c r="M1370">
        <f t="shared" si="42"/>
        <v>15098.434576875003</v>
      </c>
    </row>
    <row r="1371" spans="1:13" ht="14" x14ac:dyDescent="0.2">
      <c r="A1371" s="4" t="s">
        <v>3166</v>
      </c>
      <c r="B1371" s="5">
        <v>52137.393750000003</v>
      </c>
      <c r="C1371" s="5">
        <f t="shared" si="43"/>
        <v>814.64677734375005</v>
      </c>
      <c r="D1371" s="4">
        <v>64</v>
      </c>
      <c r="E1371" s="5" t="s">
        <v>10</v>
      </c>
      <c r="F1371" s="4" t="s">
        <v>3167</v>
      </c>
      <c r="G1371" s="4" t="s">
        <v>20</v>
      </c>
      <c r="H1371" s="4" t="s">
        <v>3167</v>
      </c>
      <c r="I1371" s="4" t="s">
        <v>22</v>
      </c>
      <c r="J1371" s="4" t="s">
        <v>98</v>
      </c>
      <c r="K1371" s="4" t="s">
        <v>406</v>
      </c>
      <c r="M1371">
        <f t="shared" si="42"/>
        <v>733.18209960937497</v>
      </c>
    </row>
    <row r="1372" spans="1:13" ht="14" x14ac:dyDescent="0.2">
      <c r="A1372" s="4" t="s">
        <v>3168</v>
      </c>
      <c r="B1372" s="5">
        <v>17194.246875000001</v>
      </c>
      <c r="C1372" s="5">
        <f t="shared" si="43"/>
        <v>1719.4246875000001</v>
      </c>
      <c r="D1372" s="4">
        <v>10</v>
      </c>
      <c r="E1372" s="4" t="s">
        <v>10</v>
      </c>
      <c r="F1372" s="4" t="s">
        <v>3168</v>
      </c>
      <c r="G1372" s="4" t="s">
        <v>20</v>
      </c>
      <c r="H1372" s="4" t="s">
        <v>3169</v>
      </c>
      <c r="I1372" s="4"/>
      <c r="J1372" s="4" t="s">
        <v>3170</v>
      </c>
      <c r="K1372" s="4" t="s">
        <v>850</v>
      </c>
      <c r="M1372">
        <f t="shared" si="42"/>
        <v>1547.4822187500001</v>
      </c>
    </row>
    <row r="1373" spans="1:13" ht="14" x14ac:dyDescent="0.2">
      <c r="A1373" s="4" t="s">
        <v>3171</v>
      </c>
      <c r="B1373" s="5">
        <v>4011.2514000000006</v>
      </c>
      <c r="C1373" s="5">
        <f t="shared" si="43"/>
        <v>133.70838000000001</v>
      </c>
      <c r="D1373" s="4">
        <v>30</v>
      </c>
      <c r="E1373" s="5" t="s">
        <v>10</v>
      </c>
      <c r="F1373" s="4" t="s">
        <v>3172</v>
      </c>
      <c r="G1373" s="4" t="s">
        <v>12</v>
      </c>
      <c r="H1373" s="4" t="s">
        <v>3173</v>
      </c>
      <c r="I1373" s="4" t="s">
        <v>22</v>
      </c>
      <c r="J1373" s="4" t="s">
        <v>3174</v>
      </c>
      <c r="K1373" s="4" t="s">
        <v>16</v>
      </c>
      <c r="M1373">
        <f t="shared" ref="M1373:M1436" si="44">C1373-(C1373* 10%)</f>
        <v>120.337542</v>
      </c>
    </row>
    <row r="1374" spans="1:13" ht="14" x14ac:dyDescent="0.2">
      <c r="A1374" s="4" t="s">
        <v>3175</v>
      </c>
      <c r="B1374" s="5">
        <v>1320.0744374999999</v>
      </c>
      <c r="C1374" s="5">
        <f t="shared" si="43"/>
        <v>132.00744374999999</v>
      </c>
      <c r="D1374" s="4">
        <v>10</v>
      </c>
      <c r="E1374" s="5" t="s">
        <v>10</v>
      </c>
      <c r="F1374" s="4" t="s">
        <v>3176</v>
      </c>
      <c r="G1374" s="4" t="s">
        <v>20</v>
      </c>
      <c r="H1374" s="4" t="s">
        <v>3177</v>
      </c>
      <c r="I1374" s="4" t="s">
        <v>22</v>
      </c>
      <c r="K1374" s="4" t="s">
        <v>34</v>
      </c>
      <c r="M1374">
        <f t="shared" si="44"/>
        <v>118.80669937499999</v>
      </c>
    </row>
    <row r="1375" spans="1:13" ht="14" x14ac:dyDescent="0.2">
      <c r="A1375" s="4" t="s">
        <v>3178</v>
      </c>
      <c r="B1375" s="5">
        <v>3594.1522500000001</v>
      </c>
      <c r="C1375" s="5">
        <f t="shared" si="43"/>
        <v>119.805075</v>
      </c>
      <c r="D1375" s="4">
        <v>30</v>
      </c>
      <c r="E1375" s="5" t="s">
        <v>10</v>
      </c>
      <c r="F1375" s="4" t="s">
        <v>789</v>
      </c>
      <c r="G1375" s="4" t="s">
        <v>12</v>
      </c>
      <c r="H1375" s="4" t="s">
        <v>3179</v>
      </c>
      <c r="I1375" s="4" t="s">
        <v>22</v>
      </c>
      <c r="J1375" s="4" t="s">
        <v>15</v>
      </c>
      <c r="K1375" s="4" t="s">
        <v>90</v>
      </c>
      <c r="M1375">
        <f t="shared" si="44"/>
        <v>107.8245675</v>
      </c>
    </row>
    <row r="1376" spans="1:13" ht="14" x14ac:dyDescent="0.2">
      <c r="A1376" s="4" t="s">
        <v>3180</v>
      </c>
      <c r="B1376" s="5">
        <v>3833.7624000000005</v>
      </c>
      <c r="C1376" s="5">
        <f t="shared" si="43"/>
        <v>127.79208000000001</v>
      </c>
      <c r="D1376" s="4">
        <v>30</v>
      </c>
      <c r="E1376" s="5" t="s">
        <v>10</v>
      </c>
      <c r="F1376" s="4" t="s">
        <v>789</v>
      </c>
      <c r="G1376" s="4" t="s">
        <v>12</v>
      </c>
      <c r="H1376" s="4" t="s">
        <v>3179</v>
      </c>
      <c r="I1376" s="4" t="s">
        <v>22</v>
      </c>
      <c r="J1376" s="4" t="s">
        <v>78</v>
      </c>
      <c r="K1376" s="4" t="s">
        <v>90</v>
      </c>
      <c r="M1376">
        <f t="shared" si="44"/>
        <v>115.01287200000002</v>
      </c>
    </row>
    <row r="1377" spans="1:13" ht="14" x14ac:dyDescent="0.2">
      <c r="A1377" s="4" t="s">
        <v>3181</v>
      </c>
      <c r="B1377" s="5">
        <v>3966.8791500000002</v>
      </c>
      <c r="C1377" s="5">
        <f t="shared" si="43"/>
        <v>132.22930500000001</v>
      </c>
      <c r="D1377" s="4">
        <v>30</v>
      </c>
      <c r="E1377" s="5" t="s">
        <v>10</v>
      </c>
      <c r="F1377" s="4" t="s">
        <v>3182</v>
      </c>
      <c r="G1377" s="4" t="s">
        <v>20</v>
      </c>
      <c r="H1377" s="4" t="s">
        <v>3183</v>
      </c>
      <c r="I1377" s="4" t="s">
        <v>22</v>
      </c>
      <c r="J1377" s="4" t="s">
        <v>3184</v>
      </c>
      <c r="K1377" s="4" t="s">
        <v>53</v>
      </c>
      <c r="M1377">
        <f t="shared" si="44"/>
        <v>119.00637450000001</v>
      </c>
    </row>
    <row r="1378" spans="1:13" ht="14" x14ac:dyDescent="0.2">
      <c r="A1378" s="4" t="s">
        <v>3185</v>
      </c>
      <c r="B1378" s="5">
        <v>6341.9038312500006</v>
      </c>
      <c r="C1378" s="5">
        <f t="shared" si="43"/>
        <v>6341.9038312500006</v>
      </c>
      <c r="D1378" s="4">
        <v>1</v>
      </c>
      <c r="E1378" s="5" t="s">
        <v>59</v>
      </c>
      <c r="F1378" s="4" t="s">
        <v>3186</v>
      </c>
      <c r="G1378" s="4" t="s">
        <v>20</v>
      </c>
      <c r="H1378" s="4" t="s">
        <v>3185</v>
      </c>
      <c r="I1378" s="4" t="s">
        <v>22</v>
      </c>
      <c r="K1378" s="4" t="s">
        <v>34</v>
      </c>
      <c r="M1378">
        <f t="shared" si="44"/>
        <v>5707.7134481250005</v>
      </c>
    </row>
    <row r="1379" spans="1:13" ht="14" x14ac:dyDescent="0.2">
      <c r="A1379" s="4" t="s">
        <v>3187</v>
      </c>
      <c r="B1379" s="5">
        <v>998.37562500000013</v>
      </c>
      <c r="C1379" s="5">
        <f t="shared" si="43"/>
        <v>998.37562500000013</v>
      </c>
      <c r="D1379" s="4">
        <v>1</v>
      </c>
      <c r="E1379" s="5" t="s">
        <v>55</v>
      </c>
      <c r="F1379" s="4" t="s">
        <v>3188</v>
      </c>
      <c r="G1379" s="4" t="s">
        <v>20</v>
      </c>
      <c r="H1379" s="4" t="s">
        <v>3189</v>
      </c>
      <c r="I1379" s="4" t="s">
        <v>22</v>
      </c>
      <c r="K1379" s="4" t="s">
        <v>53</v>
      </c>
      <c r="M1379">
        <f t="shared" si="44"/>
        <v>898.53806250000014</v>
      </c>
    </row>
    <row r="1380" spans="1:13" ht="14" x14ac:dyDescent="0.2">
      <c r="A1380" s="4" t="s">
        <v>3190</v>
      </c>
      <c r="B1380" s="5">
        <v>1053.8409375000001</v>
      </c>
      <c r="C1380" s="5">
        <f t="shared" si="43"/>
        <v>105.38409375000001</v>
      </c>
      <c r="D1380" s="4">
        <v>10</v>
      </c>
      <c r="E1380" s="5" t="s">
        <v>10</v>
      </c>
      <c r="F1380" s="4" t="s">
        <v>3190</v>
      </c>
      <c r="G1380" s="4" t="s">
        <v>12</v>
      </c>
      <c r="H1380" s="4" t="s">
        <v>3190</v>
      </c>
      <c r="I1380" s="4" t="s">
        <v>22</v>
      </c>
      <c r="J1380" s="4" t="s">
        <v>1208</v>
      </c>
      <c r="K1380" s="4" t="s">
        <v>16</v>
      </c>
      <c r="M1380">
        <f t="shared" si="44"/>
        <v>94.845684375000005</v>
      </c>
    </row>
    <row r="1381" spans="1:13" ht="14" x14ac:dyDescent="0.2">
      <c r="A1381" s="4" t="s">
        <v>3191</v>
      </c>
      <c r="B1381" s="5">
        <v>1663.9593750000001</v>
      </c>
      <c r="C1381" s="5">
        <f t="shared" si="43"/>
        <v>166.3959375</v>
      </c>
      <c r="D1381" s="4">
        <v>10</v>
      </c>
      <c r="E1381" s="5" t="s">
        <v>10</v>
      </c>
      <c r="F1381" s="4" t="s">
        <v>3191</v>
      </c>
      <c r="G1381" s="4" t="s">
        <v>12</v>
      </c>
      <c r="H1381" s="4" t="s">
        <v>3192</v>
      </c>
      <c r="I1381" s="4" t="s">
        <v>22</v>
      </c>
      <c r="J1381" s="4" t="s">
        <v>3193</v>
      </c>
      <c r="K1381" s="4" t="s">
        <v>16</v>
      </c>
      <c r="M1381">
        <f t="shared" si="44"/>
        <v>149.75634375000001</v>
      </c>
    </row>
    <row r="1382" spans="1:13" ht="14" x14ac:dyDescent="0.2">
      <c r="A1382" s="4" t="s">
        <v>3194</v>
      </c>
      <c r="B1382" s="5">
        <v>24404.737500000003</v>
      </c>
      <c r="C1382" s="5">
        <f t="shared" si="43"/>
        <v>435.79888392857146</v>
      </c>
      <c r="D1382" s="4">
        <v>56</v>
      </c>
      <c r="E1382" s="5" t="s">
        <v>10</v>
      </c>
      <c r="F1382" s="4" t="s">
        <v>1624</v>
      </c>
      <c r="G1382" s="4" t="s">
        <v>12</v>
      </c>
      <c r="H1382" s="4" t="s">
        <v>3195</v>
      </c>
      <c r="I1382" s="4" t="s">
        <v>22</v>
      </c>
      <c r="J1382" s="4" t="s">
        <v>351</v>
      </c>
      <c r="K1382" s="4" t="s">
        <v>16</v>
      </c>
      <c r="M1382">
        <f t="shared" si="44"/>
        <v>392.21899553571433</v>
      </c>
    </row>
    <row r="1383" spans="1:13" ht="14" x14ac:dyDescent="0.2">
      <c r="A1383" s="3" t="s">
        <v>5581</v>
      </c>
      <c r="B1383" s="15">
        <v>13311.675000000001</v>
      </c>
      <c r="C1383" s="5">
        <f t="shared" si="43"/>
        <v>237.70848214285715</v>
      </c>
      <c r="D1383" s="4">
        <v>56</v>
      </c>
      <c r="E1383" s="5" t="s">
        <v>10</v>
      </c>
      <c r="F1383" s="4" t="s">
        <v>1624</v>
      </c>
      <c r="G1383" s="4" t="s">
        <v>12</v>
      </c>
      <c r="H1383" s="4" t="s">
        <v>3195</v>
      </c>
      <c r="I1383" s="4" t="s">
        <v>22</v>
      </c>
      <c r="J1383" s="4" t="s">
        <v>207</v>
      </c>
      <c r="K1383" s="4" t="s">
        <v>16</v>
      </c>
      <c r="M1383">
        <f t="shared" si="44"/>
        <v>213.93763392857144</v>
      </c>
    </row>
    <row r="1384" spans="1:13" ht="14" x14ac:dyDescent="0.2">
      <c r="A1384" s="4" t="s">
        <v>3196</v>
      </c>
      <c r="B1384" s="5">
        <v>998.37562500000013</v>
      </c>
      <c r="C1384" s="5">
        <f t="shared" si="43"/>
        <v>99.837562500000018</v>
      </c>
      <c r="D1384" s="4">
        <v>10</v>
      </c>
      <c r="E1384" s="5" t="s">
        <v>30</v>
      </c>
      <c r="F1384" s="4" t="s">
        <v>3197</v>
      </c>
      <c r="G1384" s="4" t="s">
        <v>12</v>
      </c>
      <c r="H1384" s="4" t="s">
        <v>3198</v>
      </c>
      <c r="I1384" s="4" t="s">
        <v>22</v>
      </c>
      <c r="J1384" s="4" t="s">
        <v>1208</v>
      </c>
      <c r="K1384" s="4" t="s">
        <v>87</v>
      </c>
      <c r="M1384">
        <f t="shared" si="44"/>
        <v>89.853806250000019</v>
      </c>
    </row>
    <row r="1385" spans="1:13" ht="14" x14ac:dyDescent="0.2">
      <c r="A1385" s="7" t="s">
        <v>5380</v>
      </c>
      <c r="B1385" s="10">
        <v>2773.2656250000005</v>
      </c>
      <c r="C1385" s="5">
        <f t="shared" si="43"/>
        <v>277.32656250000002</v>
      </c>
      <c r="D1385" s="9">
        <v>10</v>
      </c>
      <c r="E1385" s="10" t="s">
        <v>5193</v>
      </c>
      <c r="F1385" s="7" t="s">
        <v>5381</v>
      </c>
      <c r="H1385" s="7" t="s">
        <v>5381</v>
      </c>
      <c r="J1385" s="7" t="s">
        <v>1208</v>
      </c>
      <c r="K1385" s="7" t="s">
        <v>87</v>
      </c>
      <c r="M1385">
        <f t="shared" si="44"/>
        <v>249.59390625000003</v>
      </c>
    </row>
    <row r="1386" spans="1:13" ht="14" x14ac:dyDescent="0.2">
      <c r="A1386" s="4" t="s">
        <v>3199</v>
      </c>
      <c r="B1386" s="5">
        <v>16639.59375</v>
      </c>
      <c r="C1386" s="5">
        <f t="shared" si="43"/>
        <v>554.65312500000005</v>
      </c>
      <c r="D1386" s="4">
        <v>30</v>
      </c>
      <c r="E1386" s="5" t="s">
        <v>10</v>
      </c>
      <c r="F1386" s="4" t="s">
        <v>3200</v>
      </c>
      <c r="G1386" s="4" t="s">
        <v>12</v>
      </c>
      <c r="H1386" s="4" t="s">
        <v>3200</v>
      </c>
      <c r="I1386" s="4" t="s">
        <v>22</v>
      </c>
      <c r="J1386" s="4" t="s">
        <v>146</v>
      </c>
      <c r="K1386" s="4" t="s">
        <v>511</v>
      </c>
      <c r="M1386">
        <f t="shared" si="44"/>
        <v>499.18781250000006</v>
      </c>
    </row>
    <row r="1387" spans="1:13" ht="14" x14ac:dyDescent="0.2">
      <c r="A1387" s="4" t="s">
        <v>3201</v>
      </c>
      <c r="B1387" s="5">
        <v>2329.5431250000001</v>
      </c>
      <c r="C1387" s="5">
        <f t="shared" si="43"/>
        <v>232.95431250000001</v>
      </c>
      <c r="D1387" s="4">
        <v>10</v>
      </c>
      <c r="E1387" s="5" t="s">
        <v>10</v>
      </c>
      <c r="F1387" s="4" t="s">
        <v>3200</v>
      </c>
      <c r="G1387" s="4" t="s">
        <v>12</v>
      </c>
      <c r="H1387" s="4" t="s">
        <v>3200</v>
      </c>
      <c r="I1387" s="4" t="s">
        <v>22</v>
      </c>
      <c r="J1387" s="4" t="s">
        <v>603</v>
      </c>
      <c r="K1387" s="4" t="s">
        <v>511</v>
      </c>
      <c r="M1387">
        <f t="shared" si="44"/>
        <v>209.65888125000001</v>
      </c>
    </row>
    <row r="1388" spans="1:13" ht="14" x14ac:dyDescent="0.2">
      <c r="A1388" s="4" t="s">
        <v>3202</v>
      </c>
      <c r="B1388" s="5">
        <v>10760.270625000001</v>
      </c>
      <c r="C1388" s="5">
        <f t="shared" si="43"/>
        <v>107.60270625000001</v>
      </c>
      <c r="D1388" s="4">
        <v>100</v>
      </c>
      <c r="E1388" s="5" t="s">
        <v>10</v>
      </c>
      <c r="F1388" s="4" t="s">
        <v>3203</v>
      </c>
      <c r="G1388" s="4" t="s">
        <v>12</v>
      </c>
      <c r="H1388" s="4" t="s">
        <v>3203</v>
      </c>
      <c r="I1388" s="4" t="s">
        <v>22</v>
      </c>
      <c r="J1388" s="4" t="s">
        <v>67</v>
      </c>
      <c r="K1388" s="4" t="s">
        <v>90</v>
      </c>
      <c r="M1388">
        <f t="shared" si="44"/>
        <v>96.842435625000007</v>
      </c>
    </row>
    <row r="1389" spans="1:13" ht="14" x14ac:dyDescent="0.2">
      <c r="A1389" s="4" t="s">
        <v>3204</v>
      </c>
      <c r="B1389" s="5">
        <v>6433.9762500000006</v>
      </c>
      <c r="C1389" s="5">
        <f t="shared" si="43"/>
        <v>6433.9762500000006</v>
      </c>
      <c r="D1389" s="4">
        <v>1</v>
      </c>
      <c r="E1389" s="5" t="s">
        <v>1212</v>
      </c>
      <c r="F1389" s="4" t="s">
        <v>3205</v>
      </c>
      <c r="G1389" s="4" t="s">
        <v>20</v>
      </c>
      <c r="H1389" s="4" t="s">
        <v>3205</v>
      </c>
      <c r="I1389" s="4" t="s">
        <v>22</v>
      </c>
      <c r="J1389" s="6">
        <v>0.01</v>
      </c>
      <c r="K1389" s="4" t="s">
        <v>244</v>
      </c>
      <c r="M1389">
        <f t="shared" si="44"/>
        <v>5790.5786250000001</v>
      </c>
    </row>
    <row r="1390" spans="1:13" ht="14" x14ac:dyDescent="0.2">
      <c r="A1390" s="4" t="s">
        <v>5382</v>
      </c>
      <c r="B1390" s="5">
        <v>5324.67</v>
      </c>
      <c r="C1390" s="5">
        <f t="shared" si="43"/>
        <v>177.489</v>
      </c>
      <c r="D1390" s="4">
        <v>30</v>
      </c>
      <c r="E1390" s="5" t="s">
        <v>10</v>
      </c>
      <c r="F1390" s="4" t="s">
        <v>214</v>
      </c>
      <c r="G1390" s="4" t="s">
        <v>12</v>
      </c>
      <c r="H1390" s="4" t="s">
        <v>214</v>
      </c>
      <c r="I1390" s="4" t="s">
        <v>22</v>
      </c>
      <c r="J1390" s="4" t="s">
        <v>67</v>
      </c>
      <c r="K1390" s="4" t="s">
        <v>90</v>
      </c>
      <c r="M1390">
        <f t="shared" si="44"/>
        <v>159.74010000000001</v>
      </c>
    </row>
    <row r="1391" spans="1:13" ht="14" x14ac:dyDescent="0.2">
      <c r="A1391" s="4" t="s">
        <v>3206</v>
      </c>
      <c r="B1391" s="5">
        <v>218533.33125000002</v>
      </c>
      <c r="C1391" s="5">
        <f t="shared" si="43"/>
        <v>21853.333125000001</v>
      </c>
      <c r="D1391" s="4">
        <v>10</v>
      </c>
      <c r="E1391" s="4" t="s">
        <v>10</v>
      </c>
      <c r="F1391" s="4" t="s">
        <v>3207</v>
      </c>
      <c r="G1391" s="4" t="s">
        <v>12</v>
      </c>
      <c r="H1391" s="4" t="s">
        <v>3208</v>
      </c>
      <c r="I1391" s="4" t="s">
        <v>22</v>
      </c>
      <c r="J1391" s="4" t="s">
        <v>3209</v>
      </c>
      <c r="K1391" s="4" t="s">
        <v>227</v>
      </c>
      <c r="M1391">
        <f t="shared" si="44"/>
        <v>19667.999812500002</v>
      </c>
    </row>
    <row r="1392" spans="1:13" ht="14" x14ac:dyDescent="0.2">
      <c r="A1392" s="4" t="s">
        <v>3210</v>
      </c>
      <c r="B1392" s="5">
        <v>422423.82000000007</v>
      </c>
      <c r="C1392" s="5">
        <f t="shared" si="43"/>
        <v>7543.2825000000012</v>
      </c>
      <c r="D1392" s="4">
        <v>56</v>
      </c>
      <c r="E1392" s="5" t="s">
        <v>10</v>
      </c>
      <c r="F1392" s="4" t="s">
        <v>1404</v>
      </c>
      <c r="G1392" s="4" t="s">
        <v>12</v>
      </c>
      <c r="H1392" s="4" t="s">
        <v>1404</v>
      </c>
      <c r="I1392" s="4" t="s">
        <v>22</v>
      </c>
      <c r="J1392" s="4" t="s">
        <v>146</v>
      </c>
      <c r="K1392" s="4" t="s">
        <v>227</v>
      </c>
      <c r="M1392">
        <f t="shared" si="44"/>
        <v>6788.9542500000007</v>
      </c>
    </row>
    <row r="1393" spans="1:25" ht="14" x14ac:dyDescent="0.2">
      <c r="A1393" s="4" t="s">
        <v>3211</v>
      </c>
      <c r="B1393" s="5">
        <v>8652.5887500000008</v>
      </c>
      <c r="C1393" s="5">
        <f t="shared" si="43"/>
        <v>86.52588750000001</v>
      </c>
      <c r="D1393" s="4">
        <v>100</v>
      </c>
      <c r="E1393" s="5" t="s">
        <v>10</v>
      </c>
      <c r="F1393" s="4" t="s">
        <v>3211</v>
      </c>
      <c r="G1393" s="4" t="s">
        <v>20</v>
      </c>
      <c r="H1393" s="4" t="s">
        <v>3211</v>
      </c>
      <c r="I1393" s="4" t="s">
        <v>22</v>
      </c>
      <c r="J1393" s="4" t="s">
        <v>994</v>
      </c>
      <c r="K1393" s="4" t="s">
        <v>3212</v>
      </c>
      <c r="M1393">
        <f t="shared" si="44"/>
        <v>77.873298750000004</v>
      </c>
    </row>
    <row r="1394" spans="1:25" ht="14" x14ac:dyDescent="0.2">
      <c r="A1394" s="4" t="s">
        <v>3213</v>
      </c>
      <c r="B1394" s="5">
        <v>20965.888125000001</v>
      </c>
      <c r="C1394" s="5">
        <f t="shared" si="43"/>
        <v>2096.5888125000001</v>
      </c>
      <c r="D1394" s="4">
        <v>10</v>
      </c>
      <c r="E1394" s="5" t="s">
        <v>124</v>
      </c>
      <c r="F1394" s="4" t="s">
        <v>3214</v>
      </c>
      <c r="G1394" s="4" t="s">
        <v>20</v>
      </c>
      <c r="H1394" s="4" t="s">
        <v>3213</v>
      </c>
      <c r="I1394" s="4" t="s">
        <v>22</v>
      </c>
      <c r="J1394" s="4" t="s">
        <v>3215</v>
      </c>
      <c r="K1394" s="4" t="s">
        <v>786</v>
      </c>
      <c r="M1394">
        <f t="shared" si="44"/>
        <v>1886.9299312500002</v>
      </c>
    </row>
    <row r="1395" spans="1:25" ht="14" x14ac:dyDescent="0.2">
      <c r="A1395" s="7" t="s">
        <v>5383</v>
      </c>
      <c r="B1395" s="10">
        <v>37050.828750000001</v>
      </c>
      <c r="C1395" s="5">
        <f t="shared" si="43"/>
        <v>37050.828750000001</v>
      </c>
      <c r="D1395" s="9">
        <v>1</v>
      </c>
      <c r="E1395" s="10" t="s">
        <v>5185</v>
      </c>
      <c r="F1395" s="7" t="s">
        <v>5384</v>
      </c>
      <c r="G1395" s="7" t="s">
        <v>12</v>
      </c>
      <c r="H1395" s="7" t="s">
        <v>5384</v>
      </c>
      <c r="I1395" s="4" t="s">
        <v>22</v>
      </c>
      <c r="J1395" s="7" t="s">
        <v>351</v>
      </c>
      <c r="K1395" s="7" t="s">
        <v>786</v>
      </c>
      <c r="L1395" s="4"/>
      <c r="M1395">
        <f t="shared" si="44"/>
        <v>33345.745875000001</v>
      </c>
      <c r="N1395" s="3"/>
      <c r="O1395" s="3"/>
      <c r="P1395" s="3"/>
      <c r="Q1395" s="2"/>
      <c r="R1395" s="2"/>
      <c r="S1395" s="2"/>
      <c r="T1395" s="2"/>
      <c r="U1395" s="2"/>
      <c r="V1395" s="2"/>
      <c r="W1395" s="2"/>
      <c r="X1395" s="2"/>
      <c r="Y1395" s="2"/>
    </row>
    <row r="1396" spans="1:25" ht="14" x14ac:dyDescent="0.2">
      <c r="A1396" s="4" t="s">
        <v>3216</v>
      </c>
      <c r="B1396" s="5">
        <v>1220.2368750000001</v>
      </c>
      <c r="C1396" s="5">
        <f t="shared" si="43"/>
        <v>43.579888392857143</v>
      </c>
      <c r="D1396" s="4">
        <v>28</v>
      </c>
      <c r="E1396" s="5" t="s">
        <v>10</v>
      </c>
      <c r="F1396" s="4" t="s">
        <v>3101</v>
      </c>
      <c r="G1396" s="4" t="s">
        <v>20</v>
      </c>
      <c r="H1396" s="4" t="s">
        <v>3101</v>
      </c>
      <c r="I1396" s="4" t="s">
        <v>22</v>
      </c>
      <c r="J1396" s="4" t="s">
        <v>146</v>
      </c>
      <c r="K1396" s="4" t="s">
        <v>406</v>
      </c>
      <c r="M1396">
        <f t="shared" si="44"/>
        <v>39.221899553571426</v>
      </c>
    </row>
    <row r="1397" spans="1:25" ht="14" x14ac:dyDescent="0.2">
      <c r="A1397" s="4" t="s">
        <v>3217</v>
      </c>
      <c r="B1397" s="5">
        <v>442.61319375000005</v>
      </c>
      <c r="C1397" s="5">
        <f t="shared" si="43"/>
        <v>442.61319375000005</v>
      </c>
      <c r="D1397" s="4">
        <v>1</v>
      </c>
      <c r="E1397" s="5" t="s">
        <v>124</v>
      </c>
      <c r="F1397" s="4" t="s">
        <v>3101</v>
      </c>
      <c r="G1397" s="4" t="s">
        <v>20</v>
      </c>
      <c r="H1397" s="4" t="s">
        <v>3101</v>
      </c>
      <c r="I1397" s="4" t="s">
        <v>22</v>
      </c>
      <c r="K1397" s="4" t="s">
        <v>406</v>
      </c>
      <c r="M1397">
        <f t="shared" si="44"/>
        <v>398.35187437500002</v>
      </c>
    </row>
    <row r="1398" spans="1:25" ht="14" x14ac:dyDescent="0.2">
      <c r="A1398" s="4" t="s">
        <v>3218</v>
      </c>
      <c r="B1398" s="5">
        <v>998.37562500000013</v>
      </c>
      <c r="C1398" s="5">
        <f t="shared" si="43"/>
        <v>998.37562500000013</v>
      </c>
      <c r="D1398" s="4">
        <v>1</v>
      </c>
      <c r="E1398" s="5" t="s">
        <v>3219</v>
      </c>
      <c r="F1398" s="4" t="s">
        <v>3220</v>
      </c>
      <c r="G1398" s="4" t="s">
        <v>20</v>
      </c>
      <c r="H1398" s="4" t="s">
        <v>3221</v>
      </c>
      <c r="I1398" s="4" t="s">
        <v>22</v>
      </c>
      <c r="J1398" s="4" t="s">
        <v>3222</v>
      </c>
      <c r="K1398" s="4" t="s">
        <v>3223</v>
      </c>
      <c r="M1398">
        <f t="shared" si="44"/>
        <v>898.53806250000014</v>
      </c>
    </row>
    <row r="1399" spans="1:25" ht="14" x14ac:dyDescent="0.2">
      <c r="A1399" s="4" t="s">
        <v>3224</v>
      </c>
      <c r="B1399" s="5">
        <v>1442.0981250000002</v>
      </c>
      <c r="C1399" s="5">
        <f t="shared" si="43"/>
        <v>1442.0981250000002</v>
      </c>
      <c r="D1399" s="4">
        <v>1</v>
      </c>
      <c r="E1399" s="5" t="s">
        <v>10</v>
      </c>
      <c r="F1399" s="4" t="s">
        <v>3225</v>
      </c>
      <c r="G1399" s="4" t="s">
        <v>12</v>
      </c>
      <c r="H1399" s="4" t="s">
        <v>3224</v>
      </c>
      <c r="I1399" s="4" t="s">
        <v>22</v>
      </c>
      <c r="J1399" s="4" t="s">
        <v>200</v>
      </c>
      <c r="K1399" s="4" t="s">
        <v>90</v>
      </c>
      <c r="M1399">
        <f t="shared" si="44"/>
        <v>1297.8883125000002</v>
      </c>
    </row>
    <row r="1400" spans="1:25" ht="14" x14ac:dyDescent="0.2">
      <c r="A1400" s="4" t="s">
        <v>3226</v>
      </c>
      <c r="B1400" s="5">
        <v>9886.1372999999985</v>
      </c>
      <c r="C1400" s="5">
        <f t="shared" si="43"/>
        <v>353.0763321428571</v>
      </c>
      <c r="D1400" s="4">
        <v>28</v>
      </c>
      <c r="E1400" s="5" t="s">
        <v>10</v>
      </c>
      <c r="F1400" s="4" t="s">
        <v>789</v>
      </c>
      <c r="G1400" s="4" t="s">
        <v>12</v>
      </c>
      <c r="H1400" s="4" t="s">
        <v>789</v>
      </c>
      <c r="I1400" s="4" t="s">
        <v>22</v>
      </c>
      <c r="J1400" s="4" t="s">
        <v>140</v>
      </c>
      <c r="K1400" s="4" t="s">
        <v>90</v>
      </c>
      <c r="M1400">
        <f t="shared" si="44"/>
        <v>317.76869892857138</v>
      </c>
    </row>
    <row r="1401" spans="1:25" ht="14" x14ac:dyDescent="0.2">
      <c r="A1401" s="4" t="s">
        <v>3227</v>
      </c>
      <c r="B1401" s="5">
        <v>6771.2053500000011</v>
      </c>
      <c r="C1401" s="5">
        <f t="shared" si="43"/>
        <v>241.82876250000004</v>
      </c>
      <c r="D1401" s="4">
        <v>28</v>
      </c>
      <c r="E1401" s="5" t="s">
        <v>10</v>
      </c>
      <c r="F1401" s="4" t="s">
        <v>789</v>
      </c>
      <c r="G1401" s="4" t="s">
        <v>12</v>
      </c>
      <c r="H1401" s="4" t="s">
        <v>789</v>
      </c>
      <c r="I1401" s="4" t="s">
        <v>22</v>
      </c>
      <c r="J1401" s="4" t="s">
        <v>78</v>
      </c>
      <c r="K1401" s="4" t="s">
        <v>90</v>
      </c>
      <c r="M1401">
        <f t="shared" si="44"/>
        <v>217.64588625000005</v>
      </c>
    </row>
    <row r="1402" spans="1:25" ht="14" x14ac:dyDescent="0.2">
      <c r="A1402" s="4" t="s">
        <v>3228</v>
      </c>
      <c r="B1402" s="5">
        <v>6927.6175312500009</v>
      </c>
      <c r="C1402" s="5">
        <f t="shared" si="43"/>
        <v>230.92058437500003</v>
      </c>
      <c r="D1402" s="4">
        <v>30</v>
      </c>
      <c r="E1402" s="5" t="s">
        <v>10</v>
      </c>
      <c r="F1402" s="4" t="s">
        <v>3225</v>
      </c>
      <c r="G1402" s="4" t="s">
        <v>12</v>
      </c>
      <c r="H1402" s="4" t="s">
        <v>3229</v>
      </c>
      <c r="I1402" s="4" t="s">
        <v>22</v>
      </c>
      <c r="J1402" s="4" t="s">
        <v>603</v>
      </c>
      <c r="K1402" s="4" t="s">
        <v>90</v>
      </c>
      <c r="M1402">
        <f t="shared" si="44"/>
        <v>207.82852593750002</v>
      </c>
    </row>
    <row r="1403" spans="1:25" ht="14" x14ac:dyDescent="0.2">
      <c r="A1403" s="4" t="s">
        <v>3230</v>
      </c>
      <c r="B1403" s="5">
        <v>9335.9214000000011</v>
      </c>
      <c r="C1403" s="5">
        <f t="shared" si="43"/>
        <v>311.19738000000001</v>
      </c>
      <c r="D1403" s="4">
        <v>30</v>
      </c>
      <c r="E1403" s="5" t="s">
        <v>10</v>
      </c>
      <c r="F1403" s="4" t="s">
        <v>3225</v>
      </c>
      <c r="G1403" s="4" t="s">
        <v>12</v>
      </c>
      <c r="H1403" s="4" t="s">
        <v>3229</v>
      </c>
      <c r="I1403" s="4" t="s">
        <v>22</v>
      </c>
      <c r="J1403" s="4" t="s">
        <v>200</v>
      </c>
      <c r="K1403" s="4" t="s">
        <v>90</v>
      </c>
      <c r="M1403">
        <f t="shared" si="44"/>
        <v>280.07764200000003</v>
      </c>
    </row>
    <row r="1404" spans="1:25" ht="14" x14ac:dyDescent="0.2">
      <c r="A1404" s="4" t="s">
        <v>3231</v>
      </c>
      <c r="B1404" s="5">
        <v>998.37562500000013</v>
      </c>
      <c r="C1404" s="5">
        <f t="shared" si="43"/>
        <v>998.37562500000013</v>
      </c>
      <c r="D1404" s="4">
        <v>1</v>
      </c>
      <c r="E1404" s="5" t="s">
        <v>3232</v>
      </c>
      <c r="F1404" s="4" t="s">
        <v>1813</v>
      </c>
      <c r="G1404" s="4" t="s">
        <v>20</v>
      </c>
      <c r="H1404" s="4" t="s">
        <v>3233</v>
      </c>
      <c r="I1404" s="4" t="s">
        <v>22</v>
      </c>
      <c r="K1404" s="4" t="s">
        <v>53</v>
      </c>
      <c r="M1404">
        <f t="shared" si="44"/>
        <v>898.53806250000014</v>
      </c>
    </row>
    <row r="1405" spans="1:25" ht="14" x14ac:dyDescent="0.2">
      <c r="A1405" s="4" t="s">
        <v>3234</v>
      </c>
      <c r="B1405" s="5">
        <v>554.65312500000005</v>
      </c>
      <c r="C1405" s="5">
        <f t="shared" si="43"/>
        <v>55.465312500000003</v>
      </c>
      <c r="D1405" s="4">
        <v>10</v>
      </c>
      <c r="E1405" s="5" t="s">
        <v>10</v>
      </c>
      <c r="F1405" s="4" t="s">
        <v>1813</v>
      </c>
      <c r="G1405" s="4" t="s">
        <v>20</v>
      </c>
      <c r="H1405" s="4" t="s">
        <v>1813</v>
      </c>
      <c r="I1405" s="4" t="s">
        <v>22</v>
      </c>
      <c r="J1405" s="4" t="s">
        <v>95</v>
      </c>
      <c r="K1405" s="4" t="s">
        <v>53</v>
      </c>
      <c r="M1405">
        <f t="shared" si="44"/>
        <v>49.918781250000002</v>
      </c>
    </row>
    <row r="1406" spans="1:25" ht="14" x14ac:dyDescent="0.2">
      <c r="A1406" s="4" t="s">
        <v>3235</v>
      </c>
      <c r="B1406" s="5">
        <v>776.51437500000009</v>
      </c>
      <c r="C1406" s="5">
        <f t="shared" si="43"/>
        <v>77.651437500000014</v>
      </c>
      <c r="D1406" s="4">
        <v>10</v>
      </c>
      <c r="E1406" s="5" t="s">
        <v>10</v>
      </c>
      <c r="F1406" s="4" t="s">
        <v>1813</v>
      </c>
      <c r="G1406" s="4" t="s">
        <v>20</v>
      </c>
      <c r="H1406" s="4" t="s">
        <v>1813</v>
      </c>
      <c r="I1406" s="4" t="s">
        <v>22</v>
      </c>
      <c r="J1406" s="4" t="s">
        <v>52</v>
      </c>
      <c r="K1406" s="4" t="s">
        <v>53</v>
      </c>
      <c r="M1406">
        <f t="shared" si="44"/>
        <v>69.886293750000007</v>
      </c>
    </row>
    <row r="1407" spans="1:25" ht="14" x14ac:dyDescent="0.2">
      <c r="A1407" s="4" t="s">
        <v>3236</v>
      </c>
      <c r="B1407" s="5">
        <v>17811.021150000004</v>
      </c>
      <c r="C1407" s="5">
        <f t="shared" si="43"/>
        <v>17811.021150000004</v>
      </c>
      <c r="D1407" s="4">
        <v>1</v>
      </c>
      <c r="E1407" s="5" t="s">
        <v>874</v>
      </c>
      <c r="F1407" s="4" t="s">
        <v>3237</v>
      </c>
      <c r="G1407" s="4" t="s">
        <v>20</v>
      </c>
      <c r="H1407" s="4" t="s">
        <v>1813</v>
      </c>
      <c r="I1407" s="4" t="s">
        <v>22</v>
      </c>
      <c r="J1407" s="8">
        <v>7.4999999999999997E-3</v>
      </c>
      <c r="K1407" s="4" t="s">
        <v>53</v>
      </c>
      <c r="M1407">
        <f t="shared" si="44"/>
        <v>16029.919035000003</v>
      </c>
    </row>
    <row r="1408" spans="1:25" ht="14" x14ac:dyDescent="0.2">
      <c r="A1408" s="4" t="s">
        <v>3238</v>
      </c>
      <c r="B1408" s="5">
        <v>532.46699999999998</v>
      </c>
      <c r="C1408" s="5">
        <f t="shared" si="43"/>
        <v>532.46699999999998</v>
      </c>
      <c r="D1408" s="4">
        <v>1</v>
      </c>
      <c r="E1408" s="5" t="s">
        <v>296</v>
      </c>
      <c r="F1408" s="4" t="s">
        <v>3239</v>
      </c>
      <c r="G1408" s="4" t="s">
        <v>20</v>
      </c>
      <c r="H1408" s="4" t="s">
        <v>3238</v>
      </c>
      <c r="I1408" s="4" t="s">
        <v>22</v>
      </c>
      <c r="K1408" s="4" t="s">
        <v>53</v>
      </c>
      <c r="M1408">
        <f t="shared" si="44"/>
        <v>479.22029999999995</v>
      </c>
    </row>
    <row r="1409" spans="1:13" ht="14" x14ac:dyDescent="0.2">
      <c r="A1409" s="4" t="s">
        <v>3240</v>
      </c>
      <c r="B1409" s="5">
        <v>3106.0575000000003</v>
      </c>
      <c r="C1409" s="5">
        <f t="shared" si="43"/>
        <v>3106.0575000000003</v>
      </c>
      <c r="D1409" s="4">
        <v>1</v>
      </c>
      <c r="E1409" s="5" t="s">
        <v>181</v>
      </c>
      <c r="F1409" s="4" t="s">
        <v>3241</v>
      </c>
      <c r="G1409" s="4" t="s">
        <v>20</v>
      </c>
      <c r="H1409" s="4" t="s">
        <v>3242</v>
      </c>
      <c r="I1409" s="4" t="s">
        <v>22</v>
      </c>
      <c r="J1409" s="4" t="s">
        <v>3243</v>
      </c>
      <c r="K1409" s="4" t="s">
        <v>53</v>
      </c>
      <c r="M1409">
        <f t="shared" si="44"/>
        <v>2795.4517500000002</v>
      </c>
    </row>
    <row r="1410" spans="1:13" ht="14" x14ac:dyDescent="0.2">
      <c r="A1410" s="4" t="s">
        <v>3244</v>
      </c>
      <c r="B1410" s="5">
        <v>332.791875</v>
      </c>
      <c r="C1410" s="5">
        <f t="shared" si="43"/>
        <v>33.279187499999999</v>
      </c>
      <c r="D1410" s="4">
        <v>10</v>
      </c>
      <c r="E1410" s="5" t="s">
        <v>10</v>
      </c>
      <c r="F1410" s="4" t="s">
        <v>1813</v>
      </c>
      <c r="G1410" s="4" t="s">
        <v>20</v>
      </c>
      <c r="H1410" s="4" t="s">
        <v>3245</v>
      </c>
      <c r="I1410" s="4" t="s">
        <v>22</v>
      </c>
      <c r="J1410" s="4" t="s">
        <v>95</v>
      </c>
      <c r="K1410" s="4" t="s">
        <v>53</v>
      </c>
      <c r="M1410">
        <f t="shared" si="44"/>
        <v>29.951268749999997</v>
      </c>
    </row>
    <row r="1411" spans="1:13" ht="14" x14ac:dyDescent="0.2">
      <c r="A1411" s="4" t="s">
        <v>3246</v>
      </c>
      <c r="B1411" s="5">
        <v>554.65312500000005</v>
      </c>
      <c r="C1411" s="5">
        <f t="shared" ref="C1411:C1474" si="45">(B1411/D1411)</f>
        <v>55.465312500000003</v>
      </c>
      <c r="D1411" s="4">
        <v>10</v>
      </c>
      <c r="E1411" s="5" t="s">
        <v>10</v>
      </c>
      <c r="F1411" s="4" t="s">
        <v>1813</v>
      </c>
      <c r="G1411" s="4" t="s">
        <v>20</v>
      </c>
      <c r="H1411" s="4" t="s">
        <v>3245</v>
      </c>
      <c r="I1411" s="4" t="s">
        <v>22</v>
      </c>
      <c r="J1411" s="4" t="s">
        <v>52</v>
      </c>
      <c r="K1411" s="4" t="s">
        <v>53</v>
      </c>
      <c r="M1411">
        <f t="shared" si="44"/>
        <v>49.918781250000002</v>
      </c>
    </row>
    <row r="1412" spans="1:13" ht="14" x14ac:dyDescent="0.2">
      <c r="A1412" s="4" t="s">
        <v>3247</v>
      </c>
      <c r="B1412" s="5">
        <v>25469.671500000004</v>
      </c>
      <c r="C1412" s="5">
        <f t="shared" si="45"/>
        <v>909.63112500000011</v>
      </c>
      <c r="D1412" s="4">
        <v>28</v>
      </c>
      <c r="E1412" s="5" t="s">
        <v>10</v>
      </c>
      <c r="F1412" s="4" t="s">
        <v>493</v>
      </c>
      <c r="G1412" s="4" t="s">
        <v>12</v>
      </c>
      <c r="H1412" s="4" t="s">
        <v>3248</v>
      </c>
      <c r="I1412" s="4" t="s">
        <v>14</v>
      </c>
      <c r="J1412" s="4" t="s">
        <v>495</v>
      </c>
      <c r="K1412" s="4" t="s">
        <v>90</v>
      </c>
      <c r="M1412">
        <f t="shared" si="44"/>
        <v>818.66801250000003</v>
      </c>
    </row>
    <row r="1413" spans="1:13" ht="14" x14ac:dyDescent="0.2">
      <c r="A1413" s="4" t="s">
        <v>3249</v>
      </c>
      <c r="B1413" s="5">
        <v>25403.113125000003</v>
      </c>
      <c r="C1413" s="5">
        <f t="shared" si="45"/>
        <v>907.25404017857159</v>
      </c>
      <c r="D1413" s="4">
        <v>28</v>
      </c>
      <c r="E1413" s="5" t="s">
        <v>10</v>
      </c>
      <c r="F1413" s="4" t="s">
        <v>493</v>
      </c>
      <c r="G1413" s="4" t="s">
        <v>12</v>
      </c>
      <c r="H1413" s="4" t="s">
        <v>3248</v>
      </c>
      <c r="I1413" s="4" t="s">
        <v>14</v>
      </c>
      <c r="J1413" s="4" t="s">
        <v>497</v>
      </c>
      <c r="K1413" s="4" t="s">
        <v>90</v>
      </c>
      <c r="M1413">
        <f t="shared" si="44"/>
        <v>816.52863616071443</v>
      </c>
    </row>
    <row r="1414" spans="1:13" ht="14" x14ac:dyDescent="0.2">
      <c r="A1414" s="4" t="s">
        <v>3250</v>
      </c>
      <c r="B1414" s="5">
        <v>2163.1471875000002</v>
      </c>
      <c r="C1414" s="5">
        <f t="shared" si="45"/>
        <v>2163.1471875000002</v>
      </c>
      <c r="D1414" s="4">
        <v>1</v>
      </c>
      <c r="E1414" s="5" t="s">
        <v>55</v>
      </c>
      <c r="F1414" s="4" t="s">
        <v>1530</v>
      </c>
      <c r="G1414" s="4" t="s">
        <v>20</v>
      </c>
      <c r="H1414" s="4" t="s">
        <v>1530</v>
      </c>
      <c r="I1414" s="4" t="s">
        <v>22</v>
      </c>
      <c r="J1414" s="6">
        <v>0.02</v>
      </c>
      <c r="K1414" s="4" t="s">
        <v>103</v>
      </c>
      <c r="M1414">
        <f t="shared" si="44"/>
        <v>1946.8324687500001</v>
      </c>
    </row>
    <row r="1415" spans="1:13" ht="14" x14ac:dyDescent="0.2">
      <c r="A1415" s="4" t="s">
        <v>3251</v>
      </c>
      <c r="B1415" s="5">
        <v>5391.2283749999997</v>
      </c>
      <c r="C1415" s="5">
        <f t="shared" si="45"/>
        <v>5391.2283749999997</v>
      </c>
      <c r="D1415" s="4">
        <v>1</v>
      </c>
      <c r="E1415" s="5" t="s">
        <v>175</v>
      </c>
      <c r="F1415" s="4" t="s">
        <v>3252</v>
      </c>
      <c r="G1415" s="4" t="s">
        <v>20</v>
      </c>
      <c r="H1415" s="4" t="s">
        <v>3252</v>
      </c>
      <c r="I1415" s="4" t="s">
        <v>22</v>
      </c>
      <c r="J1415" s="4" t="s">
        <v>27</v>
      </c>
      <c r="K1415" s="4" t="s">
        <v>244</v>
      </c>
      <c r="M1415">
        <f t="shared" si="44"/>
        <v>4852.1055374999996</v>
      </c>
    </row>
    <row r="1416" spans="1:13" ht="14" x14ac:dyDescent="0.2">
      <c r="A1416" s="4" t="s">
        <v>3253</v>
      </c>
      <c r="B1416" s="5">
        <v>1774.89</v>
      </c>
      <c r="C1416" s="5">
        <f t="shared" si="45"/>
        <v>177.489</v>
      </c>
      <c r="D1416" s="4">
        <v>10</v>
      </c>
      <c r="E1416" s="5" t="s">
        <v>30</v>
      </c>
      <c r="F1416" s="4" t="s">
        <v>3026</v>
      </c>
      <c r="G1416" s="4" t="s">
        <v>20</v>
      </c>
      <c r="H1416" s="4" t="s">
        <v>3254</v>
      </c>
      <c r="I1416" s="4" t="s">
        <v>22</v>
      </c>
      <c r="K1416" s="4" t="s">
        <v>34</v>
      </c>
      <c r="M1416">
        <f t="shared" si="44"/>
        <v>159.74010000000001</v>
      </c>
    </row>
    <row r="1417" spans="1:13" ht="14" x14ac:dyDescent="0.2">
      <c r="A1417" s="4" t="s">
        <v>3255</v>
      </c>
      <c r="B1417" s="5">
        <v>3771.6412500000001</v>
      </c>
      <c r="C1417" s="5">
        <f t="shared" si="45"/>
        <v>3771.6412500000001</v>
      </c>
      <c r="D1417" s="4">
        <v>1</v>
      </c>
      <c r="E1417" s="5" t="s">
        <v>181</v>
      </c>
      <c r="F1417" s="4" t="s">
        <v>3026</v>
      </c>
      <c r="G1417" s="4" t="s">
        <v>20</v>
      </c>
      <c r="H1417" s="4" t="s">
        <v>3254</v>
      </c>
      <c r="I1417" s="4" t="s">
        <v>22</v>
      </c>
      <c r="K1417" s="4" t="s">
        <v>34</v>
      </c>
      <c r="M1417">
        <f t="shared" si="44"/>
        <v>3394.4771250000003</v>
      </c>
    </row>
    <row r="1418" spans="1:13" ht="14" x14ac:dyDescent="0.2">
      <c r="A1418" s="4" t="s">
        <v>3256</v>
      </c>
      <c r="B1418" s="5">
        <v>21076.818750000002</v>
      </c>
      <c r="C1418" s="5">
        <f t="shared" si="45"/>
        <v>334.5526785714286</v>
      </c>
      <c r="D1418" s="4">
        <v>63</v>
      </c>
      <c r="E1418" s="5" t="s">
        <v>10</v>
      </c>
      <c r="F1418" s="4" t="s">
        <v>2867</v>
      </c>
      <c r="G1418" s="4" t="s">
        <v>20</v>
      </c>
      <c r="H1418" s="4" t="s">
        <v>3257</v>
      </c>
      <c r="I1418" s="4" t="s">
        <v>14</v>
      </c>
      <c r="J1418" s="4">
        <v>30</v>
      </c>
      <c r="K1418" s="4" t="s">
        <v>155</v>
      </c>
      <c r="M1418">
        <f t="shared" si="44"/>
        <v>301.09741071428573</v>
      </c>
    </row>
    <row r="1419" spans="1:13" ht="14" x14ac:dyDescent="0.2">
      <c r="A1419" s="4" t="s">
        <v>3258</v>
      </c>
      <c r="B1419" s="5">
        <v>7543.2825000000003</v>
      </c>
      <c r="C1419" s="5">
        <f t="shared" si="45"/>
        <v>359.20392857142861</v>
      </c>
      <c r="D1419" s="4">
        <v>21</v>
      </c>
      <c r="E1419" s="5" t="s">
        <v>10</v>
      </c>
      <c r="F1419" s="4" t="s">
        <v>3259</v>
      </c>
      <c r="G1419" s="4" t="s">
        <v>20</v>
      </c>
      <c r="H1419" s="4" t="s">
        <v>3260</v>
      </c>
      <c r="I1419" s="4" t="s">
        <v>14</v>
      </c>
      <c r="K1419" s="4" t="s">
        <v>68</v>
      </c>
      <c r="M1419">
        <f t="shared" si="44"/>
        <v>323.28353571428573</v>
      </c>
    </row>
    <row r="1420" spans="1:13" ht="14" x14ac:dyDescent="0.2">
      <c r="A1420" s="4" t="s">
        <v>3261</v>
      </c>
      <c r="B1420" s="5">
        <v>7543.2825000000003</v>
      </c>
      <c r="C1420" s="5">
        <f t="shared" si="45"/>
        <v>269.40294642857145</v>
      </c>
      <c r="D1420" s="4">
        <v>28</v>
      </c>
      <c r="E1420" s="5" t="s">
        <v>10</v>
      </c>
      <c r="F1420" s="4" t="s">
        <v>3259</v>
      </c>
      <c r="G1420" s="4" t="s">
        <v>20</v>
      </c>
      <c r="H1420" s="4" t="s">
        <v>3262</v>
      </c>
      <c r="I1420" s="4" t="s">
        <v>14</v>
      </c>
      <c r="K1420" s="4" t="s">
        <v>68</v>
      </c>
      <c r="M1420">
        <f t="shared" si="44"/>
        <v>242.46265178571431</v>
      </c>
    </row>
    <row r="1421" spans="1:13" ht="14" x14ac:dyDescent="0.2">
      <c r="A1421" s="4" t="s">
        <v>3263</v>
      </c>
      <c r="B1421" s="5">
        <v>4606.9488562500001</v>
      </c>
      <c r="C1421" s="5">
        <f t="shared" si="45"/>
        <v>460.69488562499998</v>
      </c>
      <c r="D1421" s="4">
        <v>10</v>
      </c>
      <c r="E1421" s="5" t="s">
        <v>10</v>
      </c>
      <c r="F1421" s="4" t="s">
        <v>3264</v>
      </c>
      <c r="G1421" s="4" t="s">
        <v>20</v>
      </c>
      <c r="H1421" s="4" t="s">
        <v>3265</v>
      </c>
      <c r="I1421" s="4" t="s">
        <v>22</v>
      </c>
      <c r="J1421" s="4" t="s">
        <v>52</v>
      </c>
      <c r="K1421" s="4" t="s">
        <v>53</v>
      </c>
      <c r="M1421">
        <f t="shared" si="44"/>
        <v>414.62539706249999</v>
      </c>
    </row>
    <row r="1422" spans="1:13" ht="14" x14ac:dyDescent="0.2">
      <c r="A1422" s="4" t="s">
        <v>3266</v>
      </c>
      <c r="B1422" s="5">
        <v>2662.335</v>
      </c>
      <c r="C1422" s="5">
        <f t="shared" si="45"/>
        <v>88.744500000000002</v>
      </c>
      <c r="D1422" s="4">
        <v>30</v>
      </c>
      <c r="E1422" s="5" t="s">
        <v>10</v>
      </c>
      <c r="F1422" s="4" t="s">
        <v>138</v>
      </c>
      <c r="G1422" s="4" t="s">
        <v>20</v>
      </c>
      <c r="H1422" s="4" t="s">
        <v>3267</v>
      </c>
      <c r="I1422" s="4" t="s">
        <v>22</v>
      </c>
      <c r="J1422" s="4" t="s">
        <v>95</v>
      </c>
      <c r="K1422" s="4" t="s">
        <v>87</v>
      </c>
      <c r="M1422">
        <f t="shared" si="44"/>
        <v>79.870050000000006</v>
      </c>
    </row>
    <row r="1423" spans="1:13" ht="14" x14ac:dyDescent="0.2">
      <c r="A1423" s="4" t="s">
        <v>3268</v>
      </c>
      <c r="B1423" s="5">
        <v>5336.8723687500005</v>
      </c>
      <c r="C1423" s="5">
        <f t="shared" si="45"/>
        <v>190.60258459821429</v>
      </c>
      <c r="D1423" s="4">
        <v>28</v>
      </c>
      <c r="E1423" s="5" t="s">
        <v>10</v>
      </c>
      <c r="F1423" s="4" t="s">
        <v>3269</v>
      </c>
      <c r="G1423" s="4" t="s">
        <v>20</v>
      </c>
      <c r="H1423" s="4" t="s">
        <v>3270</v>
      </c>
      <c r="I1423" s="4" t="s">
        <v>22</v>
      </c>
      <c r="J1423" s="4" t="s">
        <v>95</v>
      </c>
      <c r="K1423" s="4" t="s">
        <v>68</v>
      </c>
      <c r="M1423">
        <f t="shared" si="44"/>
        <v>171.54232613839287</v>
      </c>
    </row>
    <row r="1424" spans="1:13" ht="14" x14ac:dyDescent="0.2">
      <c r="A1424" s="4" t="s">
        <v>3271</v>
      </c>
      <c r="B1424" s="5">
        <v>3549.78</v>
      </c>
      <c r="C1424" s="5">
        <f t="shared" si="45"/>
        <v>126.77785714285714</v>
      </c>
      <c r="D1424" s="4">
        <v>28</v>
      </c>
      <c r="E1424" s="5" t="s">
        <v>10</v>
      </c>
      <c r="F1424" s="4" t="s">
        <v>3272</v>
      </c>
      <c r="G1424" s="4" t="s">
        <v>20</v>
      </c>
      <c r="H1424" s="4" t="s">
        <v>3273</v>
      </c>
      <c r="I1424" s="4" t="s">
        <v>22</v>
      </c>
      <c r="J1424" s="4" t="s">
        <v>397</v>
      </c>
      <c r="K1424" s="4" t="s">
        <v>219</v>
      </c>
      <c r="M1424">
        <f t="shared" si="44"/>
        <v>114.10007142857143</v>
      </c>
    </row>
    <row r="1425" spans="1:25" ht="14" x14ac:dyDescent="0.2">
      <c r="A1425" s="7" t="s">
        <v>5385</v>
      </c>
      <c r="B1425" s="10">
        <v>10538.409375000001</v>
      </c>
      <c r="C1425" s="5">
        <f t="shared" si="45"/>
        <v>10538.409375000001</v>
      </c>
      <c r="D1425" s="9">
        <v>1</v>
      </c>
      <c r="E1425" s="10" t="s">
        <v>5217</v>
      </c>
      <c r="F1425" s="7" t="s">
        <v>5386</v>
      </c>
      <c r="G1425" s="7" t="s">
        <v>20</v>
      </c>
      <c r="H1425" s="7" t="s">
        <v>5387</v>
      </c>
      <c r="I1425" s="4" t="s">
        <v>22</v>
      </c>
      <c r="J1425" s="11">
        <v>4.0000000000000002E-4</v>
      </c>
      <c r="K1425" s="7" t="s">
        <v>5243</v>
      </c>
      <c r="L1425" s="4"/>
      <c r="M1425">
        <f t="shared" si="44"/>
        <v>9484.5684375000019</v>
      </c>
      <c r="N1425" s="3"/>
      <c r="O1425" s="3"/>
      <c r="P1425" s="3"/>
      <c r="Q1425" s="2"/>
      <c r="R1425" s="2"/>
      <c r="S1425" s="2"/>
      <c r="T1425" s="2"/>
      <c r="U1425" s="2"/>
      <c r="V1425" s="2"/>
      <c r="W1425" s="2"/>
      <c r="X1425" s="2"/>
      <c r="Y1425" s="2"/>
    </row>
    <row r="1426" spans="1:25" ht="14" x14ac:dyDescent="0.2">
      <c r="A1426" s="4" t="s">
        <v>3274</v>
      </c>
      <c r="B1426" s="5">
        <v>1852.5414375</v>
      </c>
      <c r="C1426" s="5">
        <f t="shared" si="45"/>
        <v>1852.5414375</v>
      </c>
      <c r="D1426" s="4">
        <v>1</v>
      </c>
      <c r="E1426" s="5" t="s">
        <v>175</v>
      </c>
      <c r="F1426" s="4" t="s">
        <v>3275</v>
      </c>
      <c r="G1426" s="4" t="s">
        <v>20</v>
      </c>
      <c r="H1426" s="4" t="s">
        <v>3276</v>
      </c>
      <c r="I1426" s="4" t="s">
        <v>22</v>
      </c>
      <c r="K1426" s="4" t="s">
        <v>179</v>
      </c>
      <c r="M1426">
        <f t="shared" si="44"/>
        <v>1667.2872937500001</v>
      </c>
    </row>
    <row r="1427" spans="1:25" ht="14" x14ac:dyDescent="0.2">
      <c r="A1427" s="4" t="s">
        <v>3277</v>
      </c>
      <c r="B1427" s="5">
        <v>5391.2283749999997</v>
      </c>
      <c r="C1427" s="5">
        <f t="shared" si="45"/>
        <v>5391.2283749999997</v>
      </c>
      <c r="D1427" s="4">
        <v>1</v>
      </c>
      <c r="E1427" s="5" t="s">
        <v>175</v>
      </c>
      <c r="F1427" s="4" t="s">
        <v>3278</v>
      </c>
      <c r="G1427" s="4" t="s">
        <v>20</v>
      </c>
      <c r="H1427" s="4" t="s">
        <v>3279</v>
      </c>
      <c r="I1427" s="4" t="s">
        <v>22</v>
      </c>
      <c r="J1427" s="4" t="s">
        <v>1437</v>
      </c>
      <c r="K1427" s="4" t="s">
        <v>244</v>
      </c>
      <c r="M1427">
        <f t="shared" si="44"/>
        <v>4852.1055374999996</v>
      </c>
    </row>
    <row r="1428" spans="1:25" ht="14" x14ac:dyDescent="0.2">
      <c r="A1428" s="4" t="s">
        <v>3280</v>
      </c>
      <c r="B1428" s="5">
        <v>8763.5193750000017</v>
      </c>
      <c r="C1428" s="5">
        <f t="shared" si="45"/>
        <v>8763.5193750000017</v>
      </c>
      <c r="D1428" s="4">
        <v>1</v>
      </c>
      <c r="E1428" s="5" t="s">
        <v>181</v>
      </c>
      <c r="F1428" s="4" t="s">
        <v>3281</v>
      </c>
      <c r="G1428" s="4" t="s">
        <v>20</v>
      </c>
      <c r="H1428" s="4" t="s">
        <v>3280</v>
      </c>
      <c r="I1428" s="4" t="s">
        <v>22</v>
      </c>
      <c r="K1428" s="4" t="s">
        <v>403</v>
      </c>
      <c r="M1428">
        <f t="shared" si="44"/>
        <v>7887.1674375000011</v>
      </c>
    </row>
    <row r="1429" spans="1:25" ht="14" x14ac:dyDescent="0.2">
      <c r="A1429" s="4" t="s">
        <v>3282</v>
      </c>
      <c r="B1429" s="5">
        <v>7432.3518750000003</v>
      </c>
      <c r="C1429" s="5">
        <f t="shared" si="45"/>
        <v>7432.3518750000003</v>
      </c>
      <c r="D1429" s="4">
        <v>1</v>
      </c>
      <c r="E1429" s="5" t="s">
        <v>181</v>
      </c>
      <c r="F1429" s="4" t="s">
        <v>3281</v>
      </c>
      <c r="G1429" s="4" t="s">
        <v>20</v>
      </c>
      <c r="H1429" s="4" t="s">
        <v>3282</v>
      </c>
      <c r="I1429" s="4" t="s">
        <v>22</v>
      </c>
      <c r="K1429" s="4" t="s">
        <v>403</v>
      </c>
      <c r="M1429">
        <f t="shared" si="44"/>
        <v>6689.1166874999999</v>
      </c>
    </row>
    <row r="1430" spans="1:25" ht="14" x14ac:dyDescent="0.2">
      <c r="A1430" s="4" t="s">
        <v>3283</v>
      </c>
      <c r="B1430" s="5">
        <v>958.44060000000013</v>
      </c>
      <c r="C1430" s="5">
        <f t="shared" si="45"/>
        <v>31.948020000000003</v>
      </c>
      <c r="D1430" s="4">
        <v>30</v>
      </c>
      <c r="E1430" s="5" t="s">
        <v>30</v>
      </c>
      <c r="F1430" s="4" t="s">
        <v>2458</v>
      </c>
      <c r="G1430" s="4" t="s">
        <v>20</v>
      </c>
      <c r="H1430" s="4" t="s">
        <v>3284</v>
      </c>
      <c r="I1430" s="4" t="s">
        <v>22</v>
      </c>
      <c r="K1430" s="4" t="s">
        <v>34</v>
      </c>
      <c r="M1430">
        <f t="shared" si="44"/>
        <v>28.753218000000004</v>
      </c>
    </row>
    <row r="1431" spans="1:25" ht="14" x14ac:dyDescent="0.2">
      <c r="A1431" s="4" t="s">
        <v>3285</v>
      </c>
      <c r="B1431" s="5">
        <v>11899.52814375</v>
      </c>
      <c r="C1431" s="5">
        <f t="shared" si="45"/>
        <v>424.98314799107141</v>
      </c>
      <c r="D1431" s="4">
        <v>28</v>
      </c>
      <c r="E1431" s="5" t="s">
        <v>10</v>
      </c>
      <c r="F1431" s="4" t="s">
        <v>3286</v>
      </c>
      <c r="G1431" s="4" t="s">
        <v>20</v>
      </c>
      <c r="H1431" s="4" t="s">
        <v>3286</v>
      </c>
      <c r="I1431" s="4" t="s">
        <v>22</v>
      </c>
      <c r="J1431" s="4" t="s">
        <v>140</v>
      </c>
      <c r="K1431" s="4" t="s">
        <v>53</v>
      </c>
      <c r="M1431">
        <f t="shared" si="44"/>
        <v>382.48483319196424</v>
      </c>
    </row>
    <row r="1432" spans="1:25" ht="14" x14ac:dyDescent="0.2">
      <c r="A1432" s="4" t="s">
        <v>3287</v>
      </c>
      <c r="B1432" s="5">
        <v>83419.83</v>
      </c>
      <c r="C1432" s="5">
        <f t="shared" si="45"/>
        <v>2780.6610000000001</v>
      </c>
      <c r="D1432" s="4">
        <v>30</v>
      </c>
      <c r="E1432" s="4" t="s">
        <v>10</v>
      </c>
      <c r="F1432" s="4" t="s">
        <v>3288</v>
      </c>
      <c r="G1432" s="4" t="s">
        <v>12</v>
      </c>
      <c r="H1432" s="4" t="s">
        <v>3289</v>
      </c>
      <c r="I1432" s="4" t="s">
        <v>22</v>
      </c>
      <c r="J1432" s="4" t="s">
        <v>3290</v>
      </c>
      <c r="K1432" s="4" t="s">
        <v>68</v>
      </c>
      <c r="M1432">
        <f t="shared" si="44"/>
        <v>2502.5949000000001</v>
      </c>
    </row>
    <row r="1433" spans="1:25" ht="14" x14ac:dyDescent="0.2">
      <c r="A1433" s="4" t="s">
        <v>3291</v>
      </c>
      <c r="B1433" s="5">
        <v>98588.483662500003</v>
      </c>
      <c r="C1433" s="5">
        <f t="shared" si="45"/>
        <v>3286.2827887500002</v>
      </c>
      <c r="D1433" s="4">
        <v>30</v>
      </c>
      <c r="E1433" s="5" t="s">
        <v>10</v>
      </c>
      <c r="F1433" s="4" t="s">
        <v>3292</v>
      </c>
      <c r="G1433" s="4" t="s">
        <v>12</v>
      </c>
      <c r="H1433" s="4" t="s">
        <v>3293</v>
      </c>
      <c r="I1433" s="4" t="s">
        <v>14</v>
      </c>
      <c r="J1433" s="4" t="s">
        <v>78</v>
      </c>
      <c r="K1433" s="4" t="s">
        <v>227</v>
      </c>
      <c r="M1433">
        <f t="shared" si="44"/>
        <v>2957.6545098750003</v>
      </c>
    </row>
    <row r="1434" spans="1:25" ht="14" x14ac:dyDescent="0.2">
      <c r="A1434" s="7" t="s">
        <v>5388</v>
      </c>
      <c r="B1434" s="10">
        <v>27954.517500000002</v>
      </c>
      <c r="C1434" s="5">
        <f t="shared" si="45"/>
        <v>931.81725000000006</v>
      </c>
      <c r="D1434" s="9">
        <v>30</v>
      </c>
      <c r="E1434" s="10" t="s">
        <v>5193</v>
      </c>
      <c r="F1434" s="7" t="s">
        <v>5389</v>
      </c>
      <c r="G1434" s="7" t="s">
        <v>12</v>
      </c>
      <c r="H1434" s="7" t="s">
        <v>5389</v>
      </c>
      <c r="I1434" s="4" t="s">
        <v>22</v>
      </c>
      <c r="J1434" s="7" t="s">
        <v>3294</v>
      </c>
      <c r="K1434" s="7" t="s">
        <v>227</v>
      </c>
      <c r="L1434" s="4"/>
      <c r="M1434">
        <f t="shared" si="44"/>
        <v>838.63552500000003</v>
      </c>
      <c r="N1434" s="3"/>
      <c r="O1434" s="3"/>
      <c r="P1434" s="3"/>
      <c r="Q1434" s="2"/>
      <c r="R1434" s="2"/>
      <c r="S1434" s="2"/>
      <c r="T1434" s="2"/>
      <c r="U1434" s="2"/>
      <c r="V1434" s="2"/>
      <c r="W1434" s="2"/>
      <c r="X1434" s="2"/>
      <c r="Y1434" s="2"/>
    </row>
    <row r="1435" spans="1:25" ht="14" x14ac:dyDescent="0.2">
      <c r="A1435" s="4" t="s">
        <v>3295</v>
      </c>
      <c r="B1435" s="5">
        <v>3106.0575000000003</v>
      </c>
      <c r="C1435" s="5">
        <f t="shared" si="45"/>
        <v>310.60575000000006</v>
      </c>
      <c r="D1435" s="4">
        <v>10</v>
      </c>
      <c r="E1435" s="5" t="s">
        <v>10</v>
      </c>
      <c r="F1435" s="4" t="s">
        <v>3296</v>
      </c>
      <c r="G1435" s="4" t="s">
        <v>20</v>
      </c>
      <c r="H1435" s="4" t="s">
        <v>3297</v>
      </c>
      <c r="I1435" s="4" t="s">
        <v>22</v>
      </c>
      <c r="J1435" s="4" t="s">
        <v>95</v>
      </c>
      <c r="K1435" s="4" t="s">
        <v>748</v>
      </c>
      <c r="M1435">
        <f t="shared" si="44"/>
        <v>279.54517500000003</v>
      </c>
    </row>
    <row r="1436" spans="1:25" ht="14" x14ac:dyDescent="0.2">
      <c r="A1436" s="4" t="s">
        <v>3298</v>
      </c>
      <c r="B1436" s="5">
        <v>3549.78</v>
      </c>
      <c r="C1436" s="5">
        <f t="shared" si="45"/>
        <v>295.815</v>
      </c>
      <c r="D1436" s="4">
        <v>12</v>
      </c>
      <c r="E1436" s="5" t="s">
        <v>10</v>
      </c>
      <c r="F1436" s="4" t="s">
        <v>3296</v>
      </c>
      <c r="G1436" s="4" t="s">
        <v>20</v>
      </c>
      <c r="H1436" s="4" t="s">
        <v>3299</v>
      </c>
      <c r="I1436" s="4" t="s">
        <v>22</v>
      </c>
      <c r="K1436" s="4" t="s">
        <v>748</v>
      </c>
      <c r="M1436">
        <f t="shared" si="44"/>
        <v>266.23349999999999</v>
      </c>
    </row>
    <row r="1437" spans="1:25" ht="14" x14ac:dyDescent="0.2">
      <c r="A1437" s="4" t="s">
        <v>3300</v>
      </c>
      <c r="B1437" s="5">
        <v>4423.9133250000004</v>
      </c>
      <c r="C1437" s="5">
        <f t="shared" si="45"/>
        <v>442.39133250000003</v>
      </c>
      <c r="D1437" s="4">
        <v>10</v>
      </c>
      <c r="E1437" s="5" t="s">
        <v>10</v>
      </c>
      <c r="F1437" s="4" t="s">
        <v>3301</v>
      </c>
      <c r="G1437" s="4" t="s">
        <v>20</v>
      </c>
      <c r="H1437" s="4" t="s">
        <v>3302</v>
      </c>
      <c r="I1437" s="4" t="s">
        <v>22</v>
      </c>
      <c r="K1437" s="4" t="s">
        <v>68</v>
      </c>
      <c r="M1437">
        <f t="shared" ref="M1437:M1500" si="46">C1437-(C1437* 10%)</f>
        <v>398.15219925000002</v>
      </c>
    </row>
    <row r="1438" spans="1:25" ht="14" x14ac:dyDescent="0.2">
      <c r="A1438" s="4" t="s">
        <v>3303</v>
      </c>
      <c r="B1438" s="5">
        <v>10538.409375000001</v>
      </c>
      <c r="C1438" s="5">
        <f t="shared" si="45"/>
        <v>10538.409375000001</v>
      </c>
      <c r="D1438" s="4">
        <v>1</v>
      </c>
      <c r="E1438" s="5" t="s">
        <v>175</v>
      </c>
      <c r="F1438" s="4" t="s">
        <v>1727</v>
      </c>
      <c r="G1438" s="4" t="s">
        <v>20</v>
      </c>
      <c r="H1438" s="4" t="s">
        <v>3304</v>
      </c>
      <c r="I1438" s="4" t="s">
        <v>22</v>
      </c>
      <c r="J1438" s="4" t="s">
        <v>1437</v>
      </c>
      <c r="K1438" s="4" t="s">
        <v>244</v>
      </c>
      <c r="M1438">
        <f t="shared" si="46"/>
        <v>9484.5684375000019</v>
      </c>
    </row>
    <row r="1439" spans="1:25" ht="14" x14ac:dyDescent="0.2">
      <c r="A1439" s="4" t="s">
        <v>3305</v>
      </c>
      <c r="B1439" s="5">
        <v>31948.020000000004</v>
      </c>
      <c r="C1439" s="5">
        <f t="shared" si="45"/>
        <v>31948.020000000004</v>
      </c>
      <c r="D1439" s="4">
        <v>1</v>
      </c>
      <c r="E1439" s="5" t="s">
        <v>181</v>
      </c>
      <c r="F1439" s="4" t="s">
        <v>3306</v>
      </c>
      <c r="G1439" s="4" t="s">
        <v>12</v>
      </c>
      <c r="H1439" s="4" t="s">
        <v>3307</v>
      </c>
      <c r="I1439" s="4" t="s">
        <v>14</v>
      </c>
      <c r="J1439" s="4" t="s">
        <v>3308</v>
      </c>
      <c r="K1439" s="4" t="s">
        <v>16</v>
      </c>
      <c r="M1439">
        <f t="shared" si="46"/>
        <v>28753.218000000004</v>
      </c>
    </row>
    <row r="1440" spans="1:25" ht="14" x14ac:dyDescent="0.2">
      <c r="A1440" s="4" t="s">
        <v>3309</v>
      </c>
      <c r="B1440" s="5">
        <v>26623.350000000002</v>
      </c>
      <c r="C1440" s="5">
        <f t="shared" si="45"/>
        <v>26623.350000000002</v>
      </c>
      <c r="D1440" s="4">
        <v>1</v>
      </c>
      <c r="E1440" s="5" t="s">
        <v>124</v>
      </c>
      <c r="F1440" s="4" t="s">
        <v>3310</v>
      </c>
      <c r="G1440" s="4" t="s">
        <v>12</v>
      </c>
      <c r="H1440" s="4" t="s">
        <v>3309</v>
      </c>
      <c r="I1440" s="4" t="s">
        <v>14</v>
      </c>
      <c r="J1440" s="4" t="s">
        <v>3311</v>
      </c>
      <c r="K1440" s="4" t="s">
        <v>16</v>
      </c>
      <c r="M1440">
        <f t="shared" si="46"/>
        <v>23961.015000000003</v>
      </c>
    </row>
    <row r="1441" spans="1:13" ht="14" x14ac:dyDescent="0.2">
      <c r="A1441" s="4" t="s">
        <v>3312</v>
      </c>
      <c r="B1441" s="5">
        <v>19494.948037499998</v>
      </c>
      <c r="C1441" s="5">
        <f t="shared" si="45"/>
        <v>649.83160124999995</v>
      </c>
      <c r="D1441" s="4">
        <v>30</v>
      </c>
      <c r="E1441" s="5" t="s">
        <v>10</v>
      </c>
      <c r="F1441" s="4" t="s">
        <v>3313</v>
      </c>
      <c r="G1441" s="4" t="s">
        <v>12</v>
      </c>
      <c r="H1441" s="4" t="s">
        <v>3313</v>
      </c>
      <c r="I1441" s="4" t="s">
        <v>22</v>
      </c>
      <c r="J1441" s="4" t="s">
        <v>140</v>
      </c>
      <c r="K1441" s="4" t="s">
        <v>227</v>
      </c>
      <c r="M1441">
        <f t="shared" si="46"/>
        <v>584.84844112499991</v>
      </c>
    </row>
    <row r="1442" spans="1:13" ht="14" x14ac:dyDescent="0.2">
      <c r="A1442" s="4" t="s">
        <v>3314</v>
      </c>
      <c r="B1442" s="5">
        <v>24800.759831250001</v>
      </c>
      <c r="C1442" s="5">
        <f t="shared" si="45"/>
        <v>24800.759831250001</v>
      </c>
      <c r="D1442" s="4">
        <v>1</v>
      </c>
      <c r="E1442" s="5" t="s">
        <v>10</v>
      </c>
      <c r="F1442" s="4" t="s">
        <v>3315</v>
      </c>
      <c r="G1442" s="4" t="s">
        <v>12</v>
      </c>
      <c r="H1442" s="4" t="s">
        <v>3313</v>
      </c>
      <c r="I1442" s="4" t="s">
        <v>22</v>
      </c>
      <c r="J1442" s="4" t="s">
        <v>95</v>
      </c>
      <c r="K1442" s="4" t="s">
        <v>68</v>
      </c>
      <c r="M1442">
        <f t="shared" si="46"/>
        <v>22320.683848125002</v>
      </c>
    </row>
    <row r="1443" spans="1:13" ht="14" x14ac:dyDescent="0.2">
      <c r="A1443" s="4" t="s">
        <v>3316</v>
      </c>
      <c r="B1443" s="5">
        <v>3484.3309312500005</v>
      </c>
      <c r="C1443" s="5">
        <f t="shared" si="45"/>
        <v>124.44039040178573</v>
      </c>
      <c r="D1443" s="4">
        <v>28</v>
      </c>
      <c r="E1443" s="5" t="s">
        <v>10</v>
      </c>
      <c r="F1443" s="4" t="s">
        <v>3317</v>
      </c>
      <c r="G1443" s="4" t="s">
        <v>12</v>
      </c>
      <c r="H1443" s="4" t="s">
        <v>3318</v>
      </c>
      <c r="I1443" s="4" t="s">
        <v>22</v>
      </c>
      <c r="J1443" s="4" t="s">
        <v>3319</v>
      </c>
      <c r="K1443" s="4" t="s">
        <v>90</v>
      </c>
      <c r="M1443">
        <f t="shared" si="46"/>
        <v>111.99635136160717</v>
      </c>
    </row>
    <row r="1444" spans="1:13" ht="14" x14ac:dyDescent="0.2">
      <c r="A1444" s="4" t="s">
        <v>3320</v>
      </c>
      <c r="B1444" s="5">
        <v>3106.0575000000003</v>
      </c>
      <c r="C1444" s="5">
        <f t="shared" si="45"/>
        <v>3106.0575000000003</v>
      </c>
      <c r="D1444" s="4">
        <v>1</v>
      </c>
      <c r="E1444" s="5" t="s">
        <v>950</v>
      </c>
      <c r="F1444" s="4" t="s">
        <v>3321</v>
      </c>
      <c r="G1444" s="4" t="s">
        <v>20</v>
      </c>
      <c r="H1444" s="4" t="s">
        <v>3320</v>
      </c>
      <c r="I1444" s="4" t="s">
        <v>22</v>
      </c>
      <c r="J1444" s="6">
        <v>0.25</v>
      </c>
      <c r="K1444" s="4" t="s">
        <v>2016</v>
      </c>
      <c r="M1444">
        <f t="shared" si="46"/>
        <v>2795.4517500000002</v>
      </c>
    </row>
    <row r="1445" spans="1:13" ht="14" x14ac:dyDescent="0.2">
      <c r="A1445" s="4" t="s">
        <v>3322</v>
      </c>
      <c r="B1445" s="5">
        <v>2163.1471875000002</v>
      </c>
      <c r="C1445" s="5">
        <f t="shared" si="45"/>
        <v>2163.1471875000002</v>
      </c>
      <c r="D1445" s="4">
        <v>1</v>
      </c>
      <c r="E1445" s="5" t="s">
        <v>181</v>
      </c>
      <c r="F1445" s="4" t="s">
        <v>3323</v>
      </c>
      <c r="G1445" s="4" t="s">
        <v>20</v>
      </c>
      <c r="H1445" s="4" t="s">
        <v>3322</v>
      </c>
      <c r="I1445" s="4" t="s">
        <v>22</v>
      </c>
      <c r="K1445" s="4" t="s">
        <v>403</v>
      </c>
      <c r="M1445">
        <f t="shared" si="46"/>
        <v>1946.8324687500001</v>
      </c>
    </row>
    <row r="1446" spans="1:13" ht="14" x14ac:dyDescent="0.2">
      <c r="A1446" s="4" t="s">
        <v>3324</v>
      </c>
      <c r="B1446" s="5">
        <v>1885.8206250000001</v>
      </c>
      <c r="C1446" s="5">
        <f t="shared" si="45"/>
        <v>1885.8206250000001</v>
      </c>
      <c r="D1446" s="4">
        <v>1</v>
      </c>
      <c r="E1446" s="5" t="s">
        <v>950</v>
      </c>
      <c r="F1446" s="4" t="s">
        <v>951</v>
      </c>
      <c r="G1446" s="4" t="s">
        <v>20</v>
      </c>
      <c r="H1446" s="4" t="s">
        <v>3325</v>
      </c>
      <c r="I1446" s="4" t="s">
        <v>22</v>
      </c>
      <c r="J1446" s="4" t="s">
        <v>3326</v>
      </c>
      <c r="K1446" s="4" t="s">
        <v>23</v>
      </c>
      <c r="M1446">
        <f t="shared" si="46"/>
        <v>1697.2385625000002</v>
      </c>
    </row>
    <row r="1447" spans="1:13" ht="14" x14ac:dyDescent="0.2">
      <c r="A1447" s="4" t="s">
        <v>3327</v>
      </c>
      <c r="B1447" s="5">
        <v>998.37562500000013</v>
      </c>
      <c r="C1447" s="5">
        <f t="shared" si="45"/>
        <v>998.37562500000013</v>
      </c>
      <c r="D1447" s="4">
        <v>1</v>
      </c>
      <c r="E1447" s="5" t="s">
        <v>202</v>
      </c>
      <c r="F1447" s="4" t="s">
        <v>3328</v>
      </c>
      <c r="G1447" s="4" t="s">
        <v>20</v>
      </c>
      <c r="H1447" s="4" t="s">
        <v>3327</v>
      </c>
      <c r="I1447" s="4" t="s">
        <v>22</v>
      </c>
      <c r="K1447" s="4" t="s">
        <v>406</v>
      </c>
      <c r="M1447">
        <f t="shared" si="46"/>
        <v>898.53806250000014</v>
      </c>
    </row>
    <row r="1448" spans="1:13" ht="14" x14ac:dyDescent="0.2">
      <c r="A1448" s="4" t="s">
        <v>3329</v>
      </c>
      <c r="B1448" s="5">
        <v>909.631125</v>
      </c>
      <c r="C1448" s="5">
        <f t="shared" si="45"/>
        <v>909.631125</v>
      </c>
      <c r="D1448" s="4">
        <v>1</v>
      </c>
      <c r="E1448" s="5" t="s">
        <v>701</v>
      </c>
      <c r="F1448" s="4" t="s">
        <v>3330</v>
      </c>
      <c r="G1448" s="4" t="s">
        <v>20</v>
      </c>
      <c r="H1448" s="4" t="s">
        <v>3329</v>
      </c>
      <c r="I1448" s="4" t="s">
        <v>22</v>
      </c>
      <c r="K1448" s="4" t="s">
        <v>28</v>
      </c>
      <c r="M1448">
        <f t="shared" si="46"/>
        <v>818.66801250000003</v>
      </c>
    </row>
    <row r="1449" spans="1:13" ht="14" x14ac:dyDescent="0.2">
      <c r="A1449" s="4" t="s">
        <v>3331</v>
      </c>
      <c r="B1449" s="5">
        <v>954.00337500000001</v>
      </c>
      <c r="C1449" s="5">
        <f t="shared" si="45"/>
        <v>954.00337500000001</v>
      </c>
      <c r="D1449" s="4">
        <v>1</v>
      </c>
      <c r="E1449" s="5" t="s">
        <v>10</v>
      </c>
      <c r="F1449" s="4" t="s">
        <v>3332</v>
      </c>
      <c r="G1449" s="4" t="s">
        <v>20</v>
      </c>
      <c r="H1449" s="4" t="s">
        <v>3331</v>
      </c>
      <c r="I1449" s="4" t="s">
        <v>22</v>
      </c>
      <c r="K1449" s="4" t="s">
        <v>28</v>
      </c>
      <c r="M1449">
        <f t="shared" si="46"/>
        <v>858.60303750000003</v>
      </c>
    </row>
    <row r="1450" spans="1:13" ht="14" x14ac:dyDescent="0.2">
      <c r="A1450" s="4" t="s">
        <v>3333</v>
      </c>
      <c r="B1450" s="5">
        <v>887.44500000000005</v>
      </c>
      <c r="C1450" s="5">
        <f t="shared" si="45"/>
        <v>887.44500000000005</v>
      </c>
      <c r="D1450" s="4">
        <v>1</v>
      </c>
      <c r="E1450" s="5" t="s">
        <v>25</v>
      </c>
      <c r="F1450" s="4" t="s">
        <v>3334</v>
      </c>
      <c r="G1450" s="4" t="s">
        <v>20</v>
      </c>
      <c r="H1450" s="4" t="s">
        <v>3333</v>
      </c>
      <c r="I1450" s="4" t="s">
        <v>22</v>
      </c>
      <c r="K1450" s="4" t="s">
        <v>28</v>
      </c>
      <c r="M1450">
        <f t="shared" si="46"/>
        <v>798.70050000000003</v>
      </c>
    </row>
    <row r="1451" spans="1:13" ht="14" x14ac:dyDescent="0.2">
      <c r="A1451" s="4" t="s">
        <v>3335</v>
      </c>
      <c r="B1451" s="5">
        <v>2440.4737500000001</v>
      </c>
      <c r="C1451" s="5">
        <f t="shared" si="45"/>
        <v>2440.4737500000001</v>
      </c>
      <c r="D1451" s="4">
        <v>1</v>
      </c>
      <c r="E1451" s="5" t="s">
        <v>25</v>
      </c>
      <c r="F1451" s="4" t="s">
        <v>3336</v>
      </c>
      <c r="G1451" s="4" t="s">
        <v>20</v>
      </c>
      <c r="H1451" s="4" t="s">
        <v>3335</v>
      </c>
      <c r="I1451" s="4" t="s">
        <v>22</v>
      </c>
      <c r="K1451" s="4" t="s">
        <v>406</v>
      </c>
      <c r="M1451">
        <f t="shared" si="46"/>
        <v>2196.426375</v>
      </c>
    </row>
    <row r="1452" spans="1:13" ht="14" x14ac:dyDescent="0.2">
      <c r="A1452" s="4" t="s">
        <v>3337</v>
      </c>
      <c r="B1452" s="5">
        <v>1291.2324749999998</v>
      </c>
      <c r="C1452" s="5">
        <f t="shared" si="45"/>
        <v>1291.2324749999998</v>
      </c>
      <c r="D1452" s="4">
        <v>1</v>
      </c>
      <c r="E1452" s="5" t="s">
        <v>25</v>
      </c>
      <c r="F1452" s="4" t="s">
        <v>3338</v>
      </c>
      <c r="G1452" s="4" t="s">
        <v>20</v>
      </c>
      <c r="H1452" s="4" t="s">
        <v>3337</v>
      </c>
      <c r="I1452" s="4" t="s">
        <v>22</v>
      </c>
      <c r="K1452" s="4" t="s">
        <v>108</v>
      </c>
      <c r="M1452">
        <f t="shared" si="46"/>
        <v>1162.1092274999999</v>
      </c>
    </row>
    <row r="1453" spans="1:13" ht="14" x14ac:dyDescent="0.2">
      <c r="A1453" s="4" t="s">
        <v>3339</v>
      </c>
      <c r="B1453" s="5">
        <v>2329.5431250000001</v>
      </c>
      <c r="C1453" s="5">
        <f t="shared" si="45"/>
        <v>2329.5431250000001</v>
      </c>
      <c r="D1453" s="4">
        <v>1</v>
      </c>
      <c r="E1453" s="5" t="s">
        <v>25</v>
      </c>
      <c r="F1453" s="4" t="s">
        <v>1541</v>
      </c>
      <c r="G1453" s="4" t="s">
        <v>20</v>
      </c>
      <c r="H1453" s="4" t="s">
        <v>3339</v>
      </c>
      <c r="I1453" s="4" t="s">
        <v>22</v>
      </c>
      <c r="K1453" s="4" t="s">
        <v>403</v>
      </c>
      <c r="M1453">
        <f t="shared" si="46"/>
        <v>2096.5888125000001</v>
      </c>
    </row>
    <row r="1454" spans="1:13" ht="14" x14ac:dyDescent="0.2">
      <c r="A1454" s="4" t="s">
        <v>3340</v>
      </c>
      <c r="B1454" s="5">
        <v>2163.1471875000002</v>
      </c>
      <c r="C1454" s="5">
        <f t="shared" si="45"/>
        <v>2163.1471875000002</v>
      </c>
      <c r="D1454" s="4">
        <v>1</v>
      </c>
      <c r="E1454" s="5" t="s">
        <v>25</v>
      </c>
      <c r="F1454" s="4" t="s">
        <v>3341</v>
      </c>
      <c r="G1454" s="4" t="s">
        <v>20</v>
      </c>
      <c r="H1454" s="4" t="s">
        <v>3340</v>
      </c>
      <c r="I1454" s="4" t="s">
        <v>22</v>
      </c>
      <c r="K1454" s="4" t="s">
        <v>28</v>
      </c>
      <c r="M1454">
        <f t="shared" si="46"/>
        <v>1946.8324687500001</v>
      </c>
    </row>
    <row r="1455" spans="1:13" ht="14" x14ac:dyDescent="0.2">
      <c r="A1455" s="4" t="s">
        <v>3342</v>
      </c>
      <c r="B1455" s="5">
        <v>2218.6125000000002</v>
      </c>
      <c r="C1455" s="5">
        <f t="shared" si="45"/>
        <v>2218.6125000000002</v>
      </c>
      <c r="D1455" s="4">
        <v>1</v>
      </c>
      <c r="E1455" s="5" t="s">
        <v>25</v>
      </c>
      <c r="F1455" s="4" t="s">
        <v>3343</v>
      </c>
      <c r="G1455" s="4" t="s">
        <v>20</v>
      </c>
      <c r="H1455" s="4" t="s">
        <v>3342</v>
      </c>
      <c r="I1455" s="4" t="s">
        <v>22</v>
      </c>
      <c r="K1455" s="4" t="s">
        <v>406</v>
      </c>
      <c r="M1455">
        <f t="shared" si="46"/>
        <v>1996.7512500000003</v>
      </c>
    </row>
    <row r="1456" spans="1:13" ht="14" x14ac:dyDescent="0.2">
      <c r="A1456" s="4" t="s">
        <v>3344</v>
      </c>
      <c r="B1456" s="5">
        <v>2606.8696875000001</v>
      </c>
      <c r="C1456" s="5">
        <f t="shared" si="45"/>
        <v>2606.8696875000001</v>
      </c>
      <c r="D1456" s="4">
        <v>1</v>
      </c>
      <c r="E1456" s="5" t="s">
        <v>25</v>
      </c>
      <c r="F1456" s="4" t="s">
        <v>3345</v>
      </c>
      <c r="G1456" s="4" t="s">
        <v>20</v>
      </c>
      <c r="H1456" s="4" t="s">
        <v>3344</v>
      </c>
      <c r="I1456" s="4" t="s">
        <v>22</v>
      </c>
      <c r="K1456" s="4" t="s">
        <v>406</v>
      </c>
      <c r="M1456">
        <f t="shared" si="46"/>
        <v>2346.1827187500003</v>
      </c>
    </row>
    <row r="1457" spans="1:13" ht="14" x14ac:dyDescent="0.2">
      <c r="A1457" s="4" t="s">
        <v>3346</v>
      </c>
      <c r="B1457" s="5">
        <v>2185.3333124999999</v>
      </c>
      <c r="C1457" s="5">
        <f t="shared" si="45"/>
        <v>2185.3333124999999</v>
      </c>
      <c r="D1457" s="4">
        <v>1</v>
      </c>
      <c r="E1457" s="5" t="s">
        <v>701</v>
      </c>
      <c r="F1457" s="4" t="s">
        <v>3347</v>
      </c>
      <c r="G1457" s="4" t="s">
        <v>20</v>
      </c>
      <c r="H1457" s="4" t="s">
        <v>3348</v>
      </c>
      <c r="I1457" s="4" t="s">
        <v>22</v>
      </c>
      <c r="K1457" s="4" t="s">
        <v>23</v>
      </c>
      <c r="M1457">
        <f t="shared" si="46"/>
        <v>1966.79998125</v>
      </c>
    </row>
    <row r="1458" spans="1:13" ht="14" x14ac:dyDescent="0.2">
      <c r="A1458" s="4" t="s">
        <v>3349</v>
      </c>
      <c r="B1458" s="5">
        <v>3316.8256875000002</v>
      </c>
      <c r="C1458" s="5">
        <f t="shared" si="45"/>
        <v>3316.8256875000002</v>
      </c>
      <c r="D1458" s="4">
        <v>1</v>
      </c>
      <c r="E1458" s="5" t="s">
        <v>59</v>
      </c>
      <c r="F1458" s="4" t="s">
        <v>3350</v>
      </c>
      <c r="G1458" s="4" t="s">
        <v>20</v>
      </c>
      <c r="H1458" s="4" t="s">
        <v>3351</v>
      </c>
      <c r="I1458" s="4" t="s">
        <v>14</v>
      </c>
      <c r="K1458" s="4" t="s">
        <v>179</v>
      </c>
      <c r="M1458">
        <f t="shared" si="46"/>
        <v>2985.1431187500002</v>
      </c>
    </row>
    <row r="1459" spans="1:13" ht="14" x14ac:dyDescent="0.2">
      <c r="A1459" s="4" t="s">
        <v>3352</v>
      </c>
      <c r="B1459" s="5">
        <v>8319.796875</v>
      </c>
      <c r="C1459" s="5">
        <f t="shared" si="45"/>
        <v>83.197968750000001</v>
      </c>
      <c r="D1459" s="4">
        <v>100</v>
      </c>
      <c r="E1459" s="5" t="s">
        <v>10</v>
      </c>
      <c r="F1459" s="4" t="s">
        <v>3350</v>
      </c>
      <c r="G1459" s="4" t="s">
        <v>20</v>
      </c>
      <c r="H1459" s="4" t="s">
        <v>3351</v>
      </c>
      <c r="I1459" s="4" t="s">
        <v>14</v>
      </c>
      <c r="K1459" s="4" t="s">
        <v>179</v>
      </c>
      <c r="M1459">
        <f t="shared" si="46"/>
        <v>74.878171875000007</v>
      </c>
    </row>
    <row r="1460" spans="1:13" ht="14" x14ac:dyDescent="0.2">
      <c r="A1460" s="4" t="s">
        <v>3353</v>
      </c>
      <c r="B1460" s="5">
        <v>0</v>
      </c>
      <c r="C1460" s="5">
        <f t="shared" si="45"/>
        <v>0</v>
      </c>
      <c r="D1460" s="4">
        <v>1</v>
      </c>
      <c r="E1460" s="5" t="s">
        <v>10</v>
      </c>
      <c r="F1460" s="4" t="s">
        <v>3353</v>
      </c>
      <c r="G1460" s="4" t="s">
        <v>12</v>
      </c>
      <c r="H1460" s="4" t="s">
        <v>3353</v>
      </c>
      <c r="I1460" s="4" t="s">
        <v>14</v>
      </c>
      <c r="J1460" s="4" t="s">
        <v>95</v>
      </c>
      <c r="K1460" s="4" t="s">
        <v>90</v>
      </c>
      <c r="M1460">
        <f t="shared" si="46"/>
        <v>0</v>
      </c>
    </row>
    <row r="1461" spans="1:13" ht="14" x14ac:dyDescent="0.2">
      <c r="A1461" s="4" t="s">
        <v>3354</v>
      </c>
      <c r="B1461" s="5">
        <v>7210.4906250000004</v>
      </c>
      <c r="C1461" s="5">
        <f t="shared" si="45"/>
        <v>257.5175223214286</v>
      </c>
      <c r="D1461" s="4">
        <v>28</v>
      </c>
      <c r="E1461" s="5" t="s">
        <v>10</v>
      </c>
      <c r="F1461" s="4" t="s">
        <v>194</v>
      </c>
      <c r="G1461" s="4" t="s">
        <v>20</v>
      </c>
      <c r="H1461" s="4" t="s">
        <v>194</v>
      </c>
      <c r="I1461" s="4" t="s">
        <v>22</v>
      </c>
      <c r="J1461" s="4" t="s">
        <v>146</v>
      </c>
      <c r="K1461" s="4" t="s">
        <v>179</v>
      </c>
      <c r="M1461">
        <f t="shared" si="46"/>
        <v>231.76577008928575</v>
      </c>
    </row>
    <row r="1462" spans="1:13" ht="14" x14ac:dyDescent="0.2">
      <c r="A1462" s="4" t="s">
        <v>3355</v>
      </c>
      <c r="B1462" s="5">
        <v>7432.3518750000003</v>
      </c>
      <c r="C1462" s="5">
        <f t="shared" si="45"/>
        <v>265.44113839285717</v>
      </c>
      <c r="D1462" s="4">
        <v>28</v>
      </c>
      <c r="E1462" s="5" t="s">
        <v>10</v>
      </c>
      <c r="F1462" s="4" t="s">
        <v>194</v>
      </c>
      <c r="G1462" s="4" t="s">
        <v>20</v>
      </c>
      <c r="H1462" s="4" t="s">
        <v>194</v>
      </c>
      <c r="I1462" s="4" t="s">
        <v>22</v>
      </c>
      <c r="J1462" s="4" t="s">
        <v>198</v>
      </c>
      <c r="K1462" s="4" t="s">
        <v>179</v>
      </c>
      <c r="M1462">
        <f t="shared" si="46"/>
        <v>238.89702455357144</v>
      </c>
    </row>
    <row r="1463" spans="1:13" ht="14" x14ac:dyDescent="0.2">
      <c r="A1463" s="4" t="s">
        <v>3356</v>
      </c>
      <c r="B1463" s="5">
        <v>7432.3518750000003</v>
      </c>
      <c r="C1463" s="5">
        <f t="shared" si="45"/>
        <v>265.44113839285717</v>
      </c>
      <c r="D1463" s="4">
        <v>28</v>
      </c>
      <c r="E1463" s="5" t="s">
        <v>10</v>
      </c>
      <c r="F1463" s="4" t="s">
        <v>194</v>
      </c>
      <c r="G1463" s="4" t="s">
        <v>20</v>
      </c>
      <c r="H1463" s="4" t="s">
        <v>194</v>
      </c>
      <c r="I1463" s="4" t="s">
        <v>22</v>
      </c>
      <c r="J1463" s="4" t="s">
        <v>200</v>
      </c>
      <c r="K1463" s="4" t="s">
        <v>179</v>
      </c>
      <c r="M1463">
        <f t="shared" si="46"/>
        <v>238.89702455357144</v>
      </c>
    </row>
    <row r="1464" spans="1:13" ht="14" x14ac:dyDescent="0.2">
      <c r="A1464" s="4" t="s">
        <v>3357</v>
      </c>
      <c r="B1464" s="5">
        <v>5324.67</v>
      </c>
      <c r="C1464" s="5">
        <f t="shared" si="45"/>
        <v>380.33357142857142</v>
      </c>
      <c r="D1464" s="4">
        <v>14</v>
      </c>
      <c r="E1464" s="5" t="s">
        <v>10</v>
      </c>
      <c r="F1464" s="4" t="s">
        <v>194</v>
      </c>
      <c r="G1464" s="4" t="s">
        <v>20</v>
      </c>
      <c r="H1464" s="4" t="s">
        <v>3358</v>
      </c>
      <c r="I1464" s="4" t="s">
        <v>22</v>
      </c>
      <c r="J1464" s="4" t="s">
        <v>146</v>
      </c>
      <c r="K1464" s="4" t="s">
        <v>179</v>
      </c>
      <c r="M1464">
        <f t="shared" si="46"/>
        <v>342.30021428571428</v>
      </c>
    </row>
    <row r="1465" spans="1:13" ht="14" x14ac:dyDescent="0.2">
      <c r="A1465" s="4" t="s">
        <v>3359</v>
      </c>
      <c r="B1465" s="5">
        <v>4880.9475000000002</v>
      </c>
      <c r="C1465" s="5">
        <f t="shared" si="45"/>
        <v>348.63910714285714</v>
      </c>
      <c r="D1465" s="4">
        <v>14</v>
      </c>
      <c r="E1465" s="5" t="s">
        <v>10</v>
      </c>
      <c r="F1465" s="4" t="s">
        <v>194</v>
      </c>
      <c r="G1465" s="4" t="s">
        <v>20</v>
      </c>
      <c r="H1465" s="4" t="s">
        <v>3358</v>
      </c>
      <c r="I1465" s="4" t="s">
        <v>22</v>
      </c>
      <c r="J1465" s="4" t="s">
        <v>198</v>
      </c>
      <c r="K1465" s="4" t="s">
        <v>179</v>
      </c>
      <c r="M1465">
        <f t="shared" si="46"/>
        <v>313.77519642857141</v>
      </c>
    </row>
    <row r="1466" spans="1:13" ht="14" x14ac:dyDescent="0.2">
      <c r="A1466" s="4" t="s">
        <v>3360</v>
      </c>
      <c r="B1466" s="5">
        <v>4659.0862500000003</v>
      </c>
      <c r="C1466" s="5">
        <f t="shared" si="45"/>
        <v>332.791875</v>
      </c>
      <c r="D1466" s="4">
        <v>14</v>
      </c>
      <c r="E1466" s="5" t="s">
        <v>10</v>
      </c>
      <c r="F1466" s="4" t="s">
        <v>194</v>
      </c>
      <c r="G1466" s="4" t="s">
        <v>20</v>
      </c>
      <c r="H1466" s="4" t="s">
        <v>3358</v>
      </c>
      <c r="I1466" s="4" t="s">
        <v>22</v>
      </c>
      <c r="J1466" s="4" t="s">
        <v>200</v>
      </c>
      <c r="K1466" s="4" t="s">
        <v>179</v>
      </c>
      <c r="M1466">
        <f t="shared" si="46"/>
        <v>299.51268750000003</v>
      </c>
    </row>
    <row r="1467" spans="1:13" ht="14" x14ac:dyDescent="0.2">
      <c r="A1467" s="4" t="s">
        <v>3361</v>
      </c>
      <c r="B1467" s="5">
        <v>4659.0862500000003</v>
      </c>
      <c r="C1467" s="5">
        <f t="shared" si="45"/>
        <v>465.90862500000003</v>
      </c>
      <c r="D1467" s="4">
        <v>10</v>
      </c>
      <c r="E1467" s="5" t="s">
        <v>10</v>
      </c>
      <c r="F1467" s="4" t="s">
        <v>3362</v>
      </c>
      <c r="G1467" s="4" t="s">
        <v>20</v>
      </c>
      <c r="H1467" s="4" t="s">
        <v>3363</v>
      </c>
      <c r="I1467" s="4" t="s">
        <v>14</v>
      </c>
      <c r="J1467" s="4" t="s">
        <v>737</v>
      </c>
      <c r="K1467" s="4" t="s">
        <v>179</v>
      </c>
      <c r="M1467">
        <f t="shared" si="46"/>
        <v>419.31776250000001</v>
      </c>
    </row>
    <row r="1468" spans="1:13" ht="14" x14ac:dyDescent="0.2">
      <c r="A1468" s="4" t="s">
        <v>3364</v>
      </c>
      <c r="B1468" s="5">
        <v>9872.8256250000013</v>
      </c>
      <c r="C1468" s="5">
        <f t="shared" si="45"/>
        <v>9872.8256250000013</v>
      </c>
      <c r="D1468" s="4">
        <v>1</v>
      </c>
      <c r="E1468" s="5" t="s">
        <v>59</v>
      </c>
      <c r="F1468" s="4" t="s">
        <v>3365</v>
      </c>
      <c r="G1468" s="4" t="s">
        <v>20</v>
      </c>
      <c r="H1468" s="4" t="s">
        <v>3366</v>
      </c>
      <c r="I1468" s="4" t="s">
        <v>14</v>
      </c>
      <c r="J1468" s="4" t="s">
        <v>3367</v>
      </c>
      <c r="K1468" s="4" t="s">
        <v>87</v>
      </c>
      <c r="M1468">
        <f t="shared" si="46"/>
        <v>8885.5430625000008</v>
      </c>
    </row>
    <row r="1469" spans="1:13" ht="14" x14ac:dyDescent="0.2">
      <c r="A1469" s="4" t="s">
        <v>3368</v>
      </c>
      <c r="B1469" s="5">
        <v>7099.56</v>
      </c>
      <c r="C1469" s="5">
        <f t="shared" si="45"/>
        <v>236.65200000000002</v>
      </c>
      <c r="D1469" s="4">
        <v>30</v>
      </c>
      <c r="E1469" s="5" t="s">
        <v>10</v>
      </c>
      <c r="F1469" s="4" t="s">
        <v>3365</v>
      </c>
      <c r="G1469" s="4" t="s">
        <v>20</v>
      </c>
      <c r="H1469" s="4" t="s">
        <v>3366</v>
      </c>
      <c r="I1469" s="4" t="s">
        <v>14</v>
      </c>
      <c r="J1469" s="4" t="s">
        <v>707</v>
      </c>
      <c r="K1469" s="4" t="s">
        <v>34</v>
      </c>
      <c r="M1469">
        <f t="shared" si="46"/>
        <v>212.98680000000002</v>
      </c>
    </row>
    <row r="1470" spans="1:13" ht="14" x14ac:dyDescent="0.2">
      <c r="A1470" s="4" t="s">
        <v>3369</v>
      </c>
      <c r="B1470" s="5">
        <v>9983.7562500000004</v>
      </c>
      <c r="C1470" s="5">
        <f t="shared" si="45"/>
        <v>332.791875</v>
      </c>
      <c r="D1470" s="4">
        <v>30</v>
      </c>
      <c r="E1470" s="5" t="s">
        <v>10</v>
      </c>
      <c r="F1470" s="4" t="s">
        <v>3370</v>
      </c>
      <c r="G1470" s="4" t="s">
        <v>20</v>
      </c>
      <c r="H1470" s="4" t="s">
        <v>3370</v>
      </c>
      <c r="I1470" s="4" t="s">
        <v>14</v>
      </c>
      <c r="J1470" s="4" t="s">
        <v>146</v>
      </c>
      <c r="K1470" s="4" t="s">
        <v>406</v>
      </c>
      <c r="M1470">
        <f t="shared" si="46"/>
        <v>299.51268750000003</v>
      </c>
    </row>
    <row r="1471" spans="1:13" ht="14" x14ac:dyDescent="0.2">
      <c r="A1471" s="4" t="s">
        <v>3371</v>
      </c>
      <c r="B1471" s="5">
        <v>3944.6930250000005</v>
      </c>
      <c r="C1471" s="5">
        <f t="shared" si="45"/>
        <v>3944.6930250000005</v>
      </c>
      <c r="D1471" s="4">
        <v>1</v>
      </c>
      <c r="E1471" s="5" t="s">
        <v>175</v>
      </c>
      <c r="F1471" s="4" t="s">
        <v>3264</v>
      </c>
      <c r="G1471" s="4" t="s">
        <v>20</v>
      </c>
      <c r="H1471" s="4" t="s">
        <v>3372</v>
      </c>
      <c r="I1471" s="4" t="s">
        <v>22</v>
      </c>
      <c r="K1471" s="4" t="s">
        <v>53</v>
      </c>
      <c r="M1471">
        <f t="shared" si="46"/>
        <v>3550.2237225000003</v>
      </c>
    </row>
    <row r="1472" spans="1:13" ht="14" x14ac:dyDescent="0.2">
      <c r="A1472" s="4" t="s">
        <v>3373</v>
      </c>
      <c r="B1472" s="5">
        <v>9872.8256250000013</v>
      </c>
      <c r="C1472" s="5">
        <f t="shared" si="45"/>
        <v>987.28256250000015</v>
      </c>
      <c r="D1472" s="4">
        <v>10</v>
      </c>
      <c r="E1472" s="5" t="s">
        <v>10</v>
      </c>
      <c r="F1472" s="4" t="s">
        <v>3374</v>
      </c>
      <c r="G1472" s="4" t="s">
        <v>20</v>
      </c>
      <c r="H1472" s="4" t="s">
        <v>3373</v>
      </c>
      <c r="I1472" s="4" t="s">
        <v>22</v>
      </c>
      <c r="J1472" s="4" t="s">
        <v>2578</v>
      </c>
      <c r="K1472" s="4" t="s">
        <v>53</v>
      </c>
      <c r="M1472">
        <f t="shared" si="46"/>
        <v>888.55430625000008</v>
      </c>
    </row>
    <row r="1473" spans="1:25" ht="14" x14ac:dyDescent="0.2">
      <c r="A1473" s="4" t="s">
        <v>3375</v>
      </c>
      <c r="B1473" s="5">
        <v>12757.021875</v>
      </c>
      <c r="C1473" s="5">
        <f t="shared" si="45"/>
        <v>3189.2554687500001</v>
      </c>
      <c r="D1473" s="4">
        <v>4</v>
      </c>
      <c r="E1473" s="5" t="s">
        <v>10</v>
      </c>
      <c r="F1473" s="4" t="s">
        <v>3264</v>
      </c>
      <c r="G1473" s="4" t="s">
        <v>20</v>
      </c>
      <c r="H1473" s="4" t="s">
        <v>3376</v>
      </c>
      <c r="I1473" s="4" t="s">
        <v>22</v>
      </c>
      <c r="J1473" s="4" t="s">
        <v>52</v>
      </c>
      <c r="K1473" s="4" t="s">
        <v>53</v>
      </c>
      <c r="M1473">
        <f t="shared" si="46"/>
        <v>2870.3299218749999</v>
      </c>
    </row>
    <row r="1474" spans="1:25" ht="14" x14ac:dyDescent="0.2">
      <c r="A1474" s="4" t="s">
        <v>3377</v>
      </c>
      <c r="B1474" s="5">
        <v>5435.600625</v>
      </c>
      <c r="C1474" s="5">
        <f t="shared" si="45"/>
        <v>5435.600625</v>
      </c>
      <c r="D1474" s="4">
        <v>1</v>
      </c>
      <c r="E1474" s="5" t="s">
        <v>59</v>
      </c>
      <c r="F1474" s="4" t="s">
        <v>3378</v>
      </c>
      <c r="G1474" s="4" t="s">
        <v>20</v>
      </c>
      <c r="H1474" s="4" t="s">
        <v>3379</v>
      </c>
      <c r="I1474" s="4" t="s">
        <v>22</v>
      </c>
      <c r="K1474" s="4" t="s">
        <v>34</v>
      </c>
      <c r="M1474">
        <f t="shared" si="46"/>
        <v>4892.0405625000003</v>
      </c>
    </row>
    <row r="1475" spans="1:25" ht="14" x14ac:dyDescent="0.2">
      <c r="A1475" s="4" t="s">
        <v>3380</v>
      </c>
      <c r="B1475" s="5">
        <v>3106.0575000000003</v>
      </c>
      <c r="C1475" s="5">
        <f t="shared" ref="C1475:C1538" si="47">(B1475/D1475)</f>
        <v>3106.0575000000003</v>
      </c>
      <c r="D1475" s="4">
        <v>1</v>
      </c>
      <c r="E1475" s="5" t="s">
        <v>1212</v>
      </c>
      <c r="F1475" s="4" t="s">
        <v>3381</v>
      </c>
      <c r="G1475" s="4" t="s">
        <v>20</v>
      </c>
      <c r="H1475" s="4" t="s">
        <v>3382</v>
      </c>
      <c r="I1475" s="4" t="s">
        <v>22</v>
      </c>
      <c r="J1475" s="4" t="s">
        <v>1215</v>
      </c>
      <c r="K1475" s="4" t="s">
        <v>34</v>
      </c>
      <c r="M1475">
        <f t="shared" si="46"/>
        <v>2795.4517500000002</v>
      </c>
    </row>
    <row r="1476" spans="1:25" ht="14" x14ac:dyDescent="0.2">
      <c r="A1476" s="4" t="s">
        <v>3383</v>
      </c>
      <c r="B1476" s="5">
        <v>4880.9475000000002</v>
      </c>
      <c r="C1476" s="5">
        <f t="shared" si="47"/>
        <v>4880.9475000000002</v>
      </c>
      <c r="D1476" s="4">
        <v>1</v>
      </c>
      <c r="E1476" s="5" t="s">
        <v>59</v>
      </c>
      <c r="F1476" s="4" t="s">
        <v>3383</v>
      </c>
      <c r="G1476" s="4" t="s">
        <v>20</v>
      </c>
      <c r="H1476" s="4" t="s">
        <v>3384</v>
      </c>
      <c r="I1476" s="4" t="s">
        <v>22</v>
      </c>
      <c r="J1476" s="4" t="s">
        <v>770</v>
      </c>
      <c r="K1476" s="4" t="s">
        <v>34</v>
      </c>
      <c r="M1476">
        <f t="shared" si="46"/>
        <v>4392.85275</v>
      </c>
    </row>
    <row r="1477" spans="1:25" ht="14" x14ac:dyDescent="0.2">
      <c r="A1477" s="4" t="s">
        <v>3385</v>
      </c>
      <c r="B1477" s="5">
        <v>5435.600625</v>
      </c>
      <c r="C1477" s="5">
        <f t="shared" si="47"/>
        <v>5435.600625</v>
      </c>
      <c r="D1477" s="4">
        <v>1</v>
      </c>
      <c r="E1477" s="5" t="s">
        <v>59</v>
      </c>
      <c r="F1477" s="4" t="s">
        <v>3386</v>
      </c>
      <c r="G1477" s="4" t="s">
        <v>20</v>
      </c>
      <c r="H1477" s="4" t="s">
        <v>3387</v>
      </c>
      <c r="I1477" s="4" t="s">
        <v>22</v>
      </c>
      <c r="J1477" s="4" t="s">
        <v>770</v>
      </c>
      <c r="K1477" s="4" t="s">
        <v>34</v>
      </c>
      <c r="M1477">
        <f t="shared" si="46"/>
        <v>4892.0405625000003</v>
      </c>
    </row>
    <row r="1478" spans="1:25" ht="14" x14ac:dyDescent="0.2">
      <c r="A1478" s="4" t="s">
        <v>3388</v>
      </c>
      <c r="B1478" s="5">
        <v>4991.8781250000002</v>
      </c>
      <c r="C1478" s="5">
        <f t="shared" si="47"/>
        <v>4991.8781250000002</v>
      </c>
      <c r="D1478" s="4">
        <v>1</v>
      </c>
      <c r="E1478" s="5" t="s">
        <v>1212</v>
      </c>
      <c r="F1478" s="4" t="s">
        <v>3389</v>
      </c>
      <c r="G1478" s="4" t="s">
        <v>20</v>
      </c>
      <c r="H1478" s="4" t="s">
        <v>3390</v>
      </c>
      <c r="I1478" s="4" t="s">
        <v>22</v>
      </c>
      <c r="J1478" s="4" t="s">
        <v>1215</v>
      </c>
      <c r="K1478" s="4" t="s">
        <v>34</v>
      </c>
      <c r="M1478">
        <f t="shared" si="46"/>
        <v>4492.6903124999999</v>
      </c>
    </row>
    <row r="1479" spans="1:25" ht="14" x14ac:dyDescent="0.2">
      <c r="A1479" s="4" t="s">
        <v>3391</v>
      </c>
      <c r="B1479" s="5">
        <v>2662.335</v>
      </c>
      <c r="C1479" s="5">
        <f t="shared" si="47"/>
        <v>2662.335</v>
      </c>
      <c r="D1479" s="4">
        <v>1</v>
      </c>
      <c r="E1479" s="5" t="s">
        <v>59</v>
      </c>
      <c r="F1479" s="4" t="s">
        <v>3391</v>
      </c>
      <c r="G1479" s="4" t="s">
        <v>20</v>
      </c>
      <c r="H1479" s="4" t="s">
        <v>3391</v>
      </c>
      <c r="I1479" s="4" t="s">
        <v>22</v>
      </c>
      <c r="J1479" s="4" t="s">
        <v>25</v>
      </c>
      <c r="K1479" s="4" t="s">
        <v>34</v>
      </c>
      <c r="M1479">
        <f t="shared" si="46"/>
        <v>2396.1015000000002</v>
      </c>
    </row>
    <row r="1480" spans="1:25" ht="14" x14ac:dyDescent="0.2">
      <c r="A1480" s="4" t="s">
        <v>3392</v>
      </c>
      <c r="B1480" s="5">
        <v>4659.0862500000003</v>
      </c>
      <c r="C1480" s="5">
        <f t="shared" si="47"/>
        <v>4659.0862500000003</v>
      </c>
      <c r="D1480" s="4">
        <v>1</v>
      </c>
      <c r="E1480" s="5" t="s">
        <v>59</v>
      </c>
      <c r="F1480" s="4" t="s">
        <v>3391</v>
      </c>
      <c r="G1480" s="4" t="s">
        <v>20</v>
      </c>
      <c r="H1480" s="4" t="s">
        <v>3393</v>
      </c>
      <c r="I1480" s="4" t="s">
        <v>14</v>
      </c>
      <c r="J1480" s="4" t="s">
        <v>1215</v>
      </c>
      <c r="K1480" s="4" t="s">
        <v>34</v>
      </c>
      <c r="M1480">
        <f t="shared" si="46"/>
        <v>4193.1776250000003</v>
      </c>
    </row>
    <row r="1481" spans="1:25" ht="14" x14ac:dyDescent="0.2">
      <c r="A1481" s="4" t="s">
        <v>3394</v>
      </c>
      <c r="B1481" s="5">
        <v>1996.7512500000003</v>
      </c>
      <c r="C1481" s="5">
        <f t="shared" si="47"/>
        <v>199.67512500000004</v>
      </c>
      <c r="D1481" s="4">
        <v>10</v>
      </c>
      <c r="E1481" s="5" t="s">
        <v>10</v>
      </c>
      <c r="F1481" s="4" t="s">
        <v>3394</v>
      </c>
      <c r="G1481" s="4" t="s">
        <v>20</v>
      </c>
      <c r="H1481" s="4" t="s">
        <v>60</v>
      </c>
      <c r="I1481" s="4" t="s">
        <v>22</v>
      </c>
      <c r="J1481" s="4" t="s">
        <v>25</v>
      </c>
      <c r="K1481" s="4" t="s">
        <v>34</v>
      </c>
      <c r="M1481">
        <f t="shared" si="46"/>
        <v>179.70761250000004</v>
      </c>
    </row>
    <row r="1482" spans="1:25" ht="14" x14ac:dyDescent="0.2">
      <c r="A1482" s="4" t="s">
        <v>3395</v>
      </c>
      <c r="B1482" s="5">
        <v>2196.4263750000005</v>
      </c>
      <c r="C1482" s="5">
        <f t="shared" si="47"/>
        <v>2196.4263750000005</v>
      </c>
      <c r="D1482" s="4">
        <v>1</v>
      </c>
      <c r="E1482" s="5" t="s">
        <v>59</v>
      </c>
      <c r="F1482" s="4" t="s">
        <v>3396</v>
      </c>
      <c r="G1482" s="4" t="s">
        <v>20</v>
      </c>
      <c r="H1482" s="4" t="s">
        <v>3397</v>
      </c>
      <c r="I1482" s="4" t="s">
        <v>22</v>
      </c>
      <c r="J1482" s="4" t="s">
        <v>3398</v>
      </c>
      <c r="K1482" s="4" t="s">
        <v>34</v>
      </c>
      <c r="M1482">
        <f t="shared" si="46"/>
        <v>1976.7837375000004</v>
      </c>
    </row>
    <row r="1483" spans="1:25" ht="14" x14ac:dyDescent="0.2">
      <c r="A1483" s="4" t="s">
        <v>3399</v>
      </c>
      <c r="B1483" s="5">
        <v>6101.1843750000007</v>
      </c>
      <c r="C1483" s="5">
        <f t="shared" si="47"/>
        <v>6101.1843750000007</v>
      </c>
      <c r="D1483" s="4">
        <v>1</v>
      </c>
      <c r="E1483" s="5" t="s">
        <v>55</v>
      </c>
      <c r="F1483" s="4" t="s">
        <v>741</v>
      </c>
      <c r="G1483" s="4" t="s">
        <v>20</v>
      </c>
      <c r="H1483" s="4" t="s">
        <v>3400</v>
      </c>
      <c r="I1483" s="4" t="s">
        <v>14</v>
      </c>
      <c r="J1483" s="6">
        <v>0.02</v>
      </c>
      <c r="K1483" s="4" t="s">
        <v>53</v>
      </c>
      <c r="M1483">
        <f t="shared" si="46"/>
        <v>5491.0659375000005</v>
      </c>
    </row>
    <row r="1484" spans="1:25" ht="14" x14ac:dyDescent="0.2">
      <c r="A1484" s="4" t="s">
        <v>3401</v>
      </c>
      <c r="B1484" s="5">
        <v>4326.2943750000004</v>
      </c>
      <c r="C1484" s="5">
        <f t="shared" si="47"/>
        <v>4326.2943750000004</v>
      </c>
      <c r="D1484" s="4">
        <v>1</v>
      </c>
      <c r="E1484" s="5" t="s">
        <v>55</v>
      </c>
      <c r="F1484" s="4" t="s">
        <v>741</v>
      </c>
      <c r="G1484" s="4" t="s">
        <v>20</v>
      </c>
      <c r="H1484" s="4" t="s">
        <v>741</v>
      </c>
      <c r="I1484" s="4" t="s">
        <v>22</v>
      </c>
      <c r="J1484" s="6">
        <v>0.02</v>
      </c>
      <c r="K1484" s="4" t="s">
        <v>103</v>
      </c>
      <c r="M1484">
        <f t="shared" si="46"/>
        <v>3893.6649375000002</v>
      </c>
    </row>
    <row r="1485" spans="1:25" ht="14" x14ac:dyDescent="0.2">
      <c r="A1485" s="4" t="s">
        <v>3402</v>
      </c>
      <c r="B1485" s="5">
        <v>2695.6141874999998</v>
      </c>
      <c r="C1485" s="5">
        <f t="shared" si="47"/>
        <v>2695.6141874999998</v>
      </c>
      <c r="D1485" s="4">
        <v>1</v>
      </c>
      <c r="E1485" s="5" t="s">
        <v>202</v>
      </c>
      <c r="F1485" s="4" t="s">
        <v>3403</v>
      </c>
      <c r="G1485" s="4" t="s">
        <v>20</v>
      </c>
      <c r="H1485" s="4" t="s">
        <v>3402</v>
      </c>
      <c r="I1485" s="4" t="s">
        <v>22</v>
      </c>
      <c r="K1485" s="4" t="s">
        <v>406</v>
      </c>
      <c r="M1485">
        <f t="shared" si="46"/>
        <v>2426.0527687499998</v>
      </c>
    </row>
    <row r="1486" spans="1:25" ht="14" x14ac:dyDescent="0.2">
      <c r="A1486" s="7" t="s">
        <v>5390</v>
      </c>
      <c r="B1486" s="10">
        <v>136444.66875000001</v>
      </c>
      <c r="C1486" s="5">
        <f t="shared" si="47"/>
        <v>2728.8933750000001</v>
      </c>
      <c r="D1486" s="9">
        <v>50</v>
      </c>
      <c r="E1486" s="10" t="s">
        <v>5193</v>
      </c>
      <c r="F1486" s="7" t="s">
        <v>5391</v>
      </c>
      <c r="G1486" s="7" t="s">
        <v>12</v>
      </c>
      <c r="H1486" s="7" t="s">
        <v>5392</v>
      </c>
      <c r="I1486" s="4" t="s">
        <v>22</v>
      </c>
      <c r="J1486" s="7" t="s">
        <v>207</v>
      </c>
      <c r="K1486" s="7" t="s">
        <v>1502</v>
      </c>
      <c r="L1486" s="4"/>
      <c r="M1486">
        <f t="shared" si="46"/>
        <v>2456.0040374999999</v>
      </c>
      <c r="N1486" s="3"/>
      <c r="O1486" s="3"/>
      <c r="P1486" s="3"/>
      <c r="Q1486" s="2"/>
      <c r="R1486" s="2"/>
      <c r="S1486" s="2"/>
      <c r="T1486" s="2"/>
      <c r="U1486" s="2"/>
      <c r="V1486" s="2"/>
      <c r="W1486" s="2"/>
      <c r="X1486" s="2"/>
      <c r="Y1486" s="2"/>
    </row>
    <row r="1487" spans="1:25" ht="14" x14ac:dyDescent="0.2">
      <c r="A1487" s="7" t="s">
        <v>5393</v>
      </c>
      <c r="B1487" s="10">
        <v>53690.422500000008</v>
      </c>
      <c r="C1487" s="5">
        <f t="shared" si="47"/>
        <v>894.84037500000011</v>
      </c>
      <c r="D1487" s="9">
        <v>60</v>
      </c>
      <c r="E1487" s="10" t="s">
        <v>5193</v>
      </c>
      <c r="F1487" s="7" t="s">
        <v>5391</v>
      </c>
      <c r="G1487" s="7" t="s">
        <v>12</v>
      </c>
      <c r="H1487" s="7" t="s">
        <v>5391</v>
      </c>
      <c r="I1487" s="4" t="s">
        <v>22</v>
      </c>
      <c r="J1487" s="7" t="s">
        <v>207</v>
      </c>
      <c r="K1487" s="7" t="s">
        <v>1502</v>
      </c>
      <c r="L1487" s="4"/>
      <c r="M1487">
        <f t="shared" si="46"/>
        <v>805.35633750000011</v>
      </c>
      <c r="N1487" s="3"/>
      <c r="O1487" s="3"/>
      <c r="P1487" s="3"/>
      <c r="Q1487" s="2"/>
      <c r="R1487" s="2"/>
      <c r="S1487" s="2"/>
      <c r="T1487" s="2"/>
      <c r="U1487" s="2"/>
      <c r="V1487" s="2"/>
      <c r="W1487" s="2"/>
      <c r="X1487" s="2"/>
      <c r="Y1487" s="2"/>
    </row>
    <row r="1488" spans="1:25" ht="14" x14ac:dyDescent="0.2">
      <c r="A1488" s="4" t="s">
        <v>3404</v>
      </c>
      <c r="B1488" s="5">
        <v>12202.368750000001</v>
      </c>
      <c r="C1488" s="5">
        <f t="shared" si="47"/>
        <v>12202.368750000001</v>
      </c>
      <c r="D1488" s="4">
        <v>1</v>
      </c>
      <c r="E1488" s="5" t="s">
        <v>55</v>
      </c>
      <c r="F1488" s="4" t="s">
        <v>3405</v>
      </c>
      <c r="G1488" s="4" t="s">
        <v>20</v>
      </c>
      <c r="H1488" s="4" t="s">
        <v>3405</v>
      </c>
      <c r="I1488" s="4" t="s">
        <v>22</v>
      </c>
      <c r="J1488" s="4" t="s">
        <v>3406</v>
      </c>
      <c r="K1488" s="4" t="s">
        <v>103</v>
      </c>
      <c r="M1488">
        <f t="shared" si="46"/>
        <v>10982.131875000001</v>
      </c>
    </row>
    <row r="1489" spans="1:13" ht="14" x14ac:dyDescent="0.2">
      <c r="A1489" s="4" t="s">
        <v>3407</v>
      </c>
      <c r="B1489" s="5">
        <v>10760.270625000001</v>
      </c>
      <c r="C1489" s="5">
        <f t="shared" si="47"/>
        <v>10760.270625000001</v>
      </c>
      <c r="D1489" s="4">
        <v>1</v>
      </c>
      <c r="E1489" s="5" t="s">
        <v>202</v>
      </c>
      <c r="F1489" s="4" t="s">
        <v>3408</v>
      </c>
      <c r="G1489" s="4" t="s">
        <v>20</v>
      </c>
      <c r="H1489" s="4" t="s">
        <v>3407</v>
      </c>
      <c r="I1489" s="4" t="s">
        <v>22</v>
      </c>
      <c r="J1489" s="6">
        <v>0.2</v>
      </c>
      <c r="K1489" s="4" t="s">
        <v>103</v>
      </c>
      <c r="M1489">
        <f t="shared" si="46"/>
        <v>9684.2435625000016</v>
      </c>
    </row>
    <row r="1490" spans="1:13" ht="14" x14ac:dyDescent="0.2">
      <c r="A1490" s="4" t="s">
        <v>3409</v>
      </c>
      <c r="B1490" s="5">
        <v>3106.0575000000003</v>
      </c>
      <c r="C1490" s="5">
        <f t="shared" si="47"/>
        <v>3106.0575000000003</v>
      </c>
      <c r="D1490" s="4">
        <v>1</v>
      </c>
      <c r="E1490" s="5" t="s">
        <v>55</v>
      </c>
      <c r="F1490" s="4" t="s">
        <v>1445</v>
      </c>
      <c r="G1490" s="4" t="s">
        <v>20</v>
      </c>
      <c r="H1490" s="4" t="s">
        <v>3410</v>
      </c>
      <c r="I1490" s="4" t="s">
        <v>22</v>
      </c>
      <c r="J1490" s="4" t="s">
        <v>3411</v>
      </c>
      <c r="K1490" s="4" t="s">
        <v>103</v>
      </c>
      <c r="M1490">
        <f t="shared" si="46"/>
        <v>2795.4517500000002</v>
      </c>
    </row>
    <row r="1491" spans="1:13" ht="14" x14ac:dyDescent="0.2">
      <c r="A1491" s="4" t="s">
        <v>3412</v>
      </c>
      <c r="B1491" s="5">
        <v>4215.3637500000004</v>
      </c>
      <c r="C1491" s="5">
        <f t="shared" si="47"/>
        <v>4215.3637500000004</v>
      </c>
      <c r="D1491" s="4">
        <v>1</v>
      </c>
      <c r="E1491" s="5" t="s">
        <v>55</v>
      </c>
      <c r="F1491" s="4" t="s">
        <v>1445</v>
      </c>
      <c r="G1491" s="4" t="s">
        <v>20</v>
      </c>
      <c r="H1491" s="4" t="s">
        <v>3410</v>
      </c>
      <c r="I1491" s="4" t="s">
        <v>22</v>
      </c>
      <c r="J1491" s="4" t="s">
        <v>3411</v>
      </c>
      <c r="K1491" s="4" t="s">
        <v>103</v>
      </c>
      <c r="M1491">
        <f t="shared" si="46"/>
        <v>3793.8273750000003</v>
      </c>
    </row>
    <row r="1492" spans="1:13" ht="14" x14ac:dyDescent="0.2">
      <c r="A1492" s="4" t="s">
        <v>3413</v>
      </c>
      <c r="B1492" s="5">
        <v>4991.8781250000002</v>
      </c>
      <c r="C1492" s="5">
        <f t="shared" si="47"/>
        <v>831.97968750000007</v>
      </c>
      <c r="D1492" s="4">
        <v>6</v>
      </c>
      <c r="E1492" s="5" t="s">
        <v>10</v>
      </c>
      <c r="F1492" s="4" t="s">
        <v>1004</v>
      </c>
      <c r="G1492" s="4" t="s">
        <v>20</v>
      </c>
      <c r="H1492" s="4" t="s">
        <v>3414</v>
      </c>
      <c r="I1492" s="4" t="s">
        <v>22</v>
      </c>
      <c r="K1492" s="4" t="s">
        <v>103</v>
      </c>
      <c r="M1492">
        <f t="shared" si="46"/>
        <v>748.7817187500001</v>
      </c>
    </row>
    <row r="1493" spans="1:13" ht="14" x14ac:dyDescent="0.2">
      <c r="A1493" s="4" t="s">
        <v>3415</v>
      </c>
      <c r="B1493" s="5">
        <v>7765.1437500000011</v>
      </c>
      <c r="C1493" s="5">
        <f t="shared" si="47"/>
        <v>7765.1437500000011</v>
      </c>
      <c r="D1493" s="4">
        <v>1</v>
      </c>
      <c r="E1493" s="5" t="s">
        <v>175</v>
      </c>
      <c r="F1493" s="4" t="s">
        <v>3416</v>
      </c>
      <c r="G1493" s="4" t="s">
        <v>20</v>
      </c>
      <c r="H1493" s="4" t="s">
        <v>3417</v>
      </c>
      <c r="I1493" s="4" t="s">
        <v>22</v>
      </c>
      <c r="J1493" s="6">
        <v>0.01</v>
      </c>
      <c r="K1493" s="4" t="s">
        <v>227</v>
      </c>
      <c r="M1493">
        <f t="shared" si="46"/>
        <v>6988.6293750000004</v>
      </c>
    </row>
    <row r="1494" spans="1:13" ht="14" x14ac:dyDescent="0.2">
      <c r="A1494" s="4" t="s">
        <v>3418</v>
      </c>
      <c r="B1494" s="5">
        <v>3716.1759375000001</v>
      </c>
      <c r="C1494" s="5">
        <f t="shared" si="47"/>
        <v>123.87253125000001</v>
      </c>
      <c r="D1494" s="4">
        <v>30</v>
      </c>
      <c r="E1494" s="5" t="s">
        <v>30</v>
      </c>
      <c r="F1494" s="4" t="s">
        <v>3419</v>
      </c>
      <c r="G1494" s="4" t="s">
        <v>20</v>
      </c>
      <c r="H1494" s="4" t="s">
        <v>3420</v>
      </c>
      <c r="I1494" s="4" t="s">
        <v>22</v>
      </c>
      <c r="K1494" s="4" t="s">
        <v>34</v>
      </c>
      <c r="M1494">
        <f t="shared" si="46"/>
        <v>111.48527812500001</v>
      </c>
    </row>
    <row r="1495" spans="1:13" ht="14" x14ac:dyDescent="0.2">
      <c r="A1495" s="4" t="s">
        <v>3421</v>
      </c>
      <c r="B1495" s="5">
        <v>2107.6818750000002</v>
      </c>
      <c r="C1495" s="5">
        <f t="shared" si="47"/>
        <v>2107.6818750000002</v>
      </c>
      <c r="D1495" s="4">
        <v>1</v>
      </c>
      <c r="E1495" s="5" t="s">
        <v>59</v>
      </c>
      <c r="F1495" s="4" t="s">
        <v>3419</v>
      </c>
      <c r="G1495" s="4" t="s">
        <v>20</v>
      </c>
      <c r="H1495" s="4" t="s">
        <v>3421</v>
      </c>
      <c r="I1495" s="4" t="s">
        <v>22</v>
      </c>
      <c r="K1495" s="4" t="s">
        <v>34</v>
      </c>
      <c r="M1495">
        <f t="shared" si="46"/>
        <v>1896.9136875000002</v>
      </c>
    </row>
    <row r="1496" spans="1:13" ht="14" x14ac:dyDescent="0.2">
      <c r="A1496" s="7" t="s">
        <v>5394</v>
      </c>
      <c r="B1496" s="10">
        <v>4991.8781250000002</v>
      </c>
      <c r="C1496" s="5">
        <f t="shared" si="47"/>
        <v>499.18781250000001</v>
      </c>
      <c r="D1496" s="9">
        <v>10</v>
      </c>
      <c r="E1496" s="10" t="s">
        <v>5193</v>
      </c>
      <c r="F1496" s="7" t="s">
        <v>5395</v>
      </c>
      <c r="H1496" s="7" t="s">
        <v>5396</v>
      </c>
      <c r="J1496" s="7" t="s">
        <v>5397</v>
      </c>
      <c r="K1496" s="7" t="s">
        <v>87</v>
      </c>
      <c r="M1496">
        <f t="shared" si="46"/>
        <v>449.26903125000001</v>
      </c>
    </row>
    <row r="1497" spans="1:13" ht="14" x14ac:dyDescent="0.2">
      <c r="A1497" s="4" t="s">
        <v>3422</v>
      </c>
      <c r="B1497" s="5">
        <v>2995.1268750000004</v>
      </c>
      <c r="C1497" s="5">
        <f t="shared" si="47"/>
        <v>299.51268750000003</v>
      </c>
      <c r="D1497" s="4">
        <v>10</v>
      </c>
      <c r="E1497" s="5" t="s">
        <v>10</v>
      </c>
      <c r="F1497" s="4" t="s">
        <v>1273</v>
      </c>
      <c r="G1497" s="4" t="s">
        <v>20</v>
      </c>
      <c r="H1497" s="4" t="s">
        <v>3423</v>
      </c>
      <c r="I1497" s="4" t="s">
        <v>22</v>
      </c>
      <c r="J1497" s="4" t="s">
        <v>78</v>
      </c>
      <c r="K1497" s="4" t="s">
        <v>68</v>
      </c>
      <c r="M1497">
        <f t="shared" si="46"/>
        <v>269.56141875000003</v>
      </c>
    </row>
    <row r="1498" spans="1:13" ht="14" x14ac:dyDescent="0.2">
      <c r="A1498" s="4" t="s">
        <v>3424</v>
      </c>
      <c r="B1498" s="5">
        <v>2336.1989625000006</v>
      </c>
      <c r="C1498" s="5">
        <f t="shared" si="47"/>
        <v>233.61989625000007</v>
      </c>
      <c r="D1498" s="4">
        <v>10</v>
      </c>
      <c r="E1498" s="5" t="s">
        <v>10</v>
      </c>
      <c r="F1498" s="4" t="s">
        <v>1976</v>
      </c>
      <c r="G1498" s="4" t="s">
        <v>20</v>
      </c>
      <c r="H1498" s="4" t="s">
        <v>1976</v>
      </c>
      <c r="I1498" s="4" t="s">
        <v>22</v>
      </c>
      <c r="J1498" s="4" t="s">
        <v>67</v>
      </c>
      <c r="K1498" s="4" t="s">
        <v>786</v>
      </c>
      <c r="M1498">
        <f t="shared" si="46"/>
        <v>210.25790662500006</v>
      </c>
    </row>
    <row r="1499" spans="1:13" ht="14" x14ac:dyDescent="0.2">
      <c r="A1499" s="4" t="s">
        <v>3425</v>
      </c>
      <c r="B1499" s="5">
        <v>3490.9867687500009</v>
      </c>
      <c r="C1499" s="5">
        <f t="shared" si="47"/>
        <v>124.6780988839286</v>
      </c>
      <c r="D1499" s="4">
        <v>28</v>
      </c>
      <c r="E1499" s="5" t="s">
        <v>10</v>
      </c>
      <c r="F1499" s="4" t="s">
        <v>1976</v>
      </c>
      <c r="G1499" s="4" t="s">
        <v>20</v>
      </c>
      <c r="H1499" s="4" t="s">
        <v>1976</v>
      </c>
      <c r="I1499" s="4" t="s">
        <v>22</v>
      </c>
      <c r="J1499" s="4" t="s">
        <v>207</v>
      </c>
      <c r="K1499" s="4" t="s">
        <v>87</v>
      </c>
      <c r="M1499">
        <f t="shared" si="46"/>
        <v>112.21028899553573</v>
      </c>
    </row>
    <row r="1500" spans="1:13" ht="14" x14ac:dyDescent="0.2">
      <c r="A1500" s="4" t="s">
        <v>3426</v>
      </c>
      <c r="B1500" s="5">
        <v>14864.703750000001</v>
      </c>
      <c r="C1500" s="5">
        <f t="shared" si="47"/>
        <v>495.49012500000003</v>
      </c>
      <c r="D1500" s="4">
        <v>30</v>
      </c>
      <c r="E1500" s="5" t="s">
        <v>30</v>
      </c>
      <c r="F1500" s="4" t="s">
        <v>3427</v>
      </c>
      <c r="G1500" s="4" t="s">
        <v>20</v>
      </c>
      <c r="H1500" s="4" t="s">
        <v>3428</v>
      </c>
      <c r="I1500" s="4" t="s">
        <v>14</v>
      </c>
      <c r="K1500" s="4" t="s">
        <v>34</v>
      </c>
      <c r="M1500">
        <f t="shared" si="46"/>
        <v>445.94111250000003</v>
      </c>
    </row>
    <row r="1501" spans="1:13" ht="14" x14ac:dyDescent="0.2">
      <c r="A1501" s="4" t="s">
        <v>3429</v>
      </c>
      <c r="B1501" s="5">
        <v>6101.1843750000007</v>
      </c>
      <c r="C1501" s="5">
        <f t="shared" si="47"/>
        <v>203.37281250000004</v>
      </c>
      <c r="D1501" s="4">
        <v>30</v>
      </c>
      <c r="E1501" s="5" t="s">
        <v>30</v>
      </c>
      <c r="F1501" s="4" t="s">
        <v>3430</v>
      </c>
      <c r="G1501" s="4" t="s">
        <v>20</v>
      </c>
      <c r="H1501" s="4" t="s">
        <v>3430</v>
      </c>
      <c r="I1501" s="4" t="s">
        <v>14</v>
      </c>
      <c r="K1501" s="4" t="s">
        <v>34</v>
      </c>
      <c r="M1501">
        <f t="shared" ref="M1501:M1564" si="48">C1501-(C1501* 10%)</f>
        <v>183.03553125000002</v>
      </c>
    </row>
    <row r="1502" spans="1:13" ht="14" x14ac:dyDescent="0.2">
      <c r="A1502" s="4" t="s">
        <v>3431</v>
      </c>
      <c r="B1502" s="5">
        <v>13311.675000000001</v>
      </c>
      <c r="C1502" s="5">
        <f t="shared" si="47"/>
        <v>443.72250000000003</v>
      </c>
      <c r="D1502" s="4">
        <v>30</v>
      </c>
      <c r="E1502" s="5" t="s">
        <v>10</v>
      </c>
      <c r="F1502" s="4" t="s">
        <v>3432</v>
      </c>
      <c r="G1502" s="4" t="s">
        <v>12</v>
      </c>
      <c r="H1502" s="4" t="s">
        <v>3433</v>
      </c>
      <c r="I1502" s="4" t="s">
        <v>14</v>
      </c>
      <c r="J1502" s="4" t="s">
        <v>603</v>
      </c>
      <c r="K1502" s="4" t="s">
        <v>90</v>
      </c>
      <c r="M1502">
        <f t="shared" si="48"/>
        <v>399.35025000000002</v>
      </c>
    </row>
    <row r="1503" spans="1:13" ht="14" x14ac:dyDescent="0.2">
      <c r="A1503" s="4" t="s">
        <v>3434</v>
      </c>
      <c r="B1503" s="5">
        <v>9983.7562500000004</v>
      </c>
      <c r="C1503" s="5">
        <f t="shared" si="47"/>
        <v>332.791875</v>
      </c>
      <c r="D1503" s="4">
        <v>30</v>
      </c>
      <c r="E1503" s="5" t="s">
        <v>10</v>
      </c>
      <c r="F1503" s="4" t="s">
        <v>3432</v>
      </c>
      <c r="G1503" s="4" t="s">
        <v>12</v>
      </c>
      <c r="H1503" s="4" t="s">
        <v>3435</v>
      </c>
      <c r="I1503" s="4" t="s">
        <v>14</v>
      </c>
      <c r="J1503" s="4" t="s">
        <v>761</v>
      </c>
      <c r="K1503" s="4" t="s">
        <v>90</v>
      </c>
      <c r="M1503">
        <f t="shared" si="48"/>
        <v>299.51268750000003</v>
      </c>
    </row>
    <row r="1504" spans="1:13" ht="14" x14ac:dyDescent="0.2">
      <c r="A1504" s="4" t="s">
        <v>3436</v>
      </c>
      <c r="B1504" s="5">
        <v>22186.125000000004</v>
      </c>
      <c r="C1504" s="5">
        <f t="shared" si="47"/>
        <v>739.53750000000014</v>
      </c>
      <c r="D1504" s="4">
        <v>30</v>
      </c>
      <c r="E1504" s="5" t="s">
        <v>10</v>
      </c>
      <c r="F1504" s="4" t="s">
        <v>3437</v>
      </c>
      <c r="G1504" s="4" t="s">
        <v>12</v>
      </c>
      <c r="H1504" s="4" t="s">
        <v>3438</v>
      </c>
      <c r="I1504" s="4" t="s">
        <v>14</v>
      </c>
      <c r="J1504" s="4" t="s">
        <v>3439</v>
      </c>
      <c r="K1504" s="4" t="s">
        <v>90</v>
      </c>
      <c r="M1504">
        <f t="shared" si="48"/>
        <v>665.58375000000012</v>
      </c>
    </row>
    <row r="1505" spans="1:25" ht="14" x14ac:dyDescent="0.2">
      <c r="A1505" s="4" t="s">
        <v>3440</v>
      </c>
      <c r="B1505" s="5">
        <v>22186.125000000004</v>
      </c>
      <c r="C1505" s="5">
        <f t="shared" si="47"/>
        <v>739.53750000000014</v>
      </c>
      <c r="D1505" s="4">
        <v>30</v>
      </c>
      <c r="E1505" s="5" t="s">
        <v>10</v>
      </c>
      <c r="F1505" s="4" t="s">
        <v>3441</v>
      </c>
      <c r="G1505" s="4" t="s">
        <v>12</v>
      </c>
      <c r="H1505" s="4" t="s">
        <v>3438</v>
      </c>
      <c r="I1505" s="4" t="s">
        <v>14</v>
      </c>
      <c r="J1505" s="4" t="s">
        <v>3442</v>
      </c>
      <c r="K1505" s="4" t="s">
        <v>90</v>
      </c>
      <c r="M1505">
        <f t="shared" si="48"/>
        <v>665.58375000000012</v>
      </c>
    </row>
    <row r="1506" spans="1:25" ht="14" x14ac:dyDescent="0.2">
      <c r="A1506" s="4" t="s">
        <v>3443</v>
      </c>
      <c r="B1506" s="5">
        <v>13977.258750000001</v>
      </c>
      <c r="C1506" s="5">
        <f t="shared" si="47"/>
        <v>465.90862500000003</v>
      </c>
      <c r="D1506" s="4">
        <v>30</v>
      </c>
      <c r="E1506" s="5" t="s">
        <v>10</v>
      </c>
      <c r="F1506" s="4" t="s">
        <v>3443</v>
      </c>
      <c r="G1506" s="4" t="s">
        <v>20</v>
      </c>
      <c r="H1506" s="4" t="s">
        <v>3443</v>
      </c>
      <c r="I1506" s="4" t="s">
        <v>22</v>
      </c>
      <c r="J1506" s="4" t="s">
        <v>25</v>
      </c>
      <c r="K1506" s="4" t="s">
        <v>34</v>
      </c>
      <c r="M1506">
        <f t="shared" si="48"/>
        <v>419.31776250000001</v>
      </c>
    </row>
    <row r="1507" spans="1:25" ht="14" x14ac:dyDescent="0.2">
      <c r="A1507" s="4" t="s">
        <v>3444</v>
      </c>
      <c r="B1507" s="5">
        <v>6433.9762500000006</v>
      </c>
      <c r="C1507" s="5">
        <f t="shared" si="47"/>
        <v>214.46587500000001</v>
      </c>
      <c r="D1507" s="4">
        <v>30</v>
      </c>
      <c r="E1507" s="5" t="s">
        <v>10</v>
      </c>
      <c r="F1507" s="4" t="s">
        <v>3445</v>
      </c>
      <c r="G1507" s="4" t="s">
        <v>12</v>
      </c>
      <c r="H1507" s="4" t="s">
        <v>3446</v>
      </c>
      <c r="I1507" s="4" t="s">
        <v>22</v>
      </c>
      <c r="J1507" s="4" t="s">
        <v>3447</v>
      </c>
      <c r="K1507" s="4" t="s">
        <v>90</v>
      </c>
      <c r="M1507">
        <f t="shared" si="48"/>
        <v>193.01928750000002</v>
      </c>
    </row>
    <row r="1508" spans="1:25" ht="14" x14ac:dyDescent="0.2">
      <c r="A1508" s="4" t="s">
        <v>3448</v>
      </c>
      <c r="B1508" s="5">
        <v>11093.062500000002</v>
      </c>
      <c r="C1508" s="5">
        <f t="shared" si="47"/>
        <v>369.76875000000007</v>
      </c>
      <c r="D1508" s="4">
        <v>30</v>
      </c>
      <c r="E1508" s="5" t="s">
        <v>10</v>
      </c>
      <c r="F1508" s="4" t="s">
        <v>3449</v>
      </c>
      <c r="G1508" s="4" t="s">
        <v>12</v>
      </c>
      <c r="H1508" s="4" t="s">
        <v>3450</v>
      </c>
      <c r="I1508" s="4" t="s">
        <v>22</v>
      </c>
      <c r="J1508" s="4" t="s">
        <v>200</v>
      </c>
      <c r="K1508" s="4" t="s">
        <v>90</v>
      </c>
      <c r="M1508">
        <f t="shared" si="48"/>
        <v>332.79187500000006</v>
      </c>
    </row>
    <row r="1509" spans="1:25" ht="14" x14ac:dyDescent="0.2">
      <c r="A1509" s="4" t="s">
        <v>3451</v>
      </c>
      <c r="B1509" s="5">
        <v>6212.1150000000007</v>
      </c>
      <c r="C1509" s="5">
        <f t="shared" si="47"/>
        <v>207.07050000000001</v>
      </c>
      <c r="D1509" s="4">
        <v>30</v>
      </c>
      <c r="E1509" s="5" t="s">
        <v>10</v>
      </c>
      <c r="F1509" s="4" t="s">
        <v>3449</v>
      </c>
      <c r="G1509" s="4" t="s">
        <v>12</v>
      </c>
      <c r="H1509" s="4" t="s">
        <v>3449</v>
      </c>
      <c r="I1509" s="4" t="s">
        <v>22</v>
      </c>
      <c r="J1509" s="4" t="s">
        <v>200</v>
      </c>
      <c r="K1509" s="4" t="s">
        <v>90</v>
      </c>
      <c r="M1509">
        <f t="shared" si="48"/>
        <v>186.36345</v>
      </c>
    </row>
    <row r="1510" spans="1:25" ht="14" x14ac:dyDescent="0.2">
      <c r="A1510" s="4" t="s">
        <v>3452</v>
      </c>
      <c r="B1510" s="5">
        <v>57683.925000000003</v>
      </c>
      <c r="C1510" s="5">
        <f t="shared" si="47"/>
        <v>57683.925000000003</v>
      </c>
      <c r="D1510" s="4">
        <v>1</v>
      </c>
      <c r="E1510" s="5" t="s">
        <v>25</v>
      </c>
      <c r="F1510" s="4" t="s">
        <v>3452</v>
      </c>
      <c r="G1510" s="4" t="s">
        <v>20</v>
      </c>
      <c r="H1510" s="4" t="s">
        <v>3452</v>
      </c>
      <c r="I1510" s="4" t="s">
        <v>22</v>
      </c>
      <c r="K1510" s="4" t="s">
        <v>28</v>
      </c>
      <c r="M1510">
        <f t="shared" si="48"/>
        <v>51915.532500000001</v>
      </c>
    </row>
    <row r="1511" spans="1:25" ht="14" x14ac:dyDescent="0.2">
      <c r="A1511" s="4" t="s">
        <v>3453</v>
      </c>
      <c r="B1511" s="5">
        <v>239.61015000000003</v>
      </c>
      <c r="C1511" s="5">
        <f t="shared" si="47"/>
        <v>239.61015000000003</v>
      </c>
      <c r="D1511" s="4">
        <v>1</v>
      </c>
      <c r="E1511" s="5" t="s">
        <v>25</v>
      </c>
      <c r="F1511" s="4" t="s">
        <v>3454</v>
      </c>
      <c r="G1511" s="4" t="s">
        <v>12</v>
      </c>
      <c r="H1511" s="4" t="s">
        <v>3454</v>
      </c>
      <c r="I1511" s="4" t="s">
        <v>22</v>
      </c>
      <c r="K1511" s="4" t="s">
        <v>28</v>
      </c>
      <c r="M1511">
        <f t="shared" si="48"/>
        <v>215.64913500000003</v>
      </c>
    </row>
    <row r="1512" spans="1:25" ht="14" x14ac:dyDescent="0.2">
      <c r="A1512" s="4" t="s">
        <v>3455</v>
      </c>
      <c r="B1512" s="5">
        <v>65892.791250000009</v>
      </c>
      <c r="C1512" s="5">
        <f t="shared" si="47"/>
        <v>3660.7106250000006</v>
      </c>
      <c r="D1512" s="4">
        <v>18</v>
      </c>
      <c r="E1512" s="5" t="s">
        <v>257</v>
      </c>
      <c r="F1512" s="4" t="s">
        <v>3456</v>
      </c>
      <c r="G1512" s="4" t="s">
        <v>20</v>
      </c>
      <c r="H1512" s="4" t="s">
        <v>3457</v>
      </c>
      <c r="I1512" s="4" t="s">
        <v>14</v>
      </c>
      <c r="J1512" s="4" t="s">
        <v>3458</v>
      </c>
      <c r="K1512" s="4" t="s">
        <v>406</v>
      </c>
      <c r="M1512">
        <f t="shared" si="48"/>
        <v>3294.6395625000005</v>
      </c>
    </row>
    <row r="1513" spans="1:25" ht="14" x14ac:dyDescent="0.2">
      <c r="A1513" s="4" t="s">
        <v>3459</v>
      </c>
      <c r="B1513" s="5">
        <v>65892.791250000009</v>
      </c>
      <c r="C1513" s="5">
        <f t="shared" si="47"/>
        <v>3660.7106250000006</v>
      </c>
      <c r="D1513" s="4">
        <v>18</v>
      </c>
      <c r="E1513" s="4" t="s">
        <v>257</v>
      </c>
      <c r="F1513" s="4" t="s">
        <v>3459</v>
      </c>
      <c r="G1513" s="4" t="s">
        <v>12</v>
      </c>
      <c r="H1513" s="4" t="s">
        <v>3460</v>
      </c>
      <c r="I1513" s="4" t="s">
        <v>14</v>
      </c>
      <c r="J1513" s="4" t="s">
        <v>25</v>
      </c>
      <c r="K1513" s="4" t="s">
        <v>219</v>
      </c>
      <c r="M1513">
        <f t="shared" si="48"/>
        <v>3294.6395625000005</v>
      </c>
    </row>
    <row r="1514" spans="1:25" ht="14" x14ac:dyDescent="0.2">
      <c r="A1514" s="4" t="s">
        <v>3461</v>
      </c>
      <c r="B1514" s="5">
        <v>8154.5102437500009</v>
      </c>
      <c r="C1514" s="5">
        <f t="shared" si="47"/>
        <v>81.545102437500006</v>
      </c>
      <c r="D1514" s="4">
        <v>100</v>
      </c>
      <c r="E1514" s="5" t="s">
        <v>10</v>
      </c>
      <c r="F1514" s="4" t="s">
        <v>1026</v>
      </c>
      <c r="G1514" s="4" t="s">
        <v>12</v>
      </c>
      <c r="H1514" s="4" t="s">
        <v>3462</v>
      </c>
      <c r="I1514" s="4" t="s">
        <v>22</v>
      </c>
      <c r="J1514" s="4" t="s">
        <v>200</v>
      </c>
      <c r="K1514" s="4" t="s">
        <v>68</v>
      </c>
      <c r="M1514">
        <f t="shared" si="48"/>
        <v>73.39059219375001</v>
      </c>
    </row>
    <row r="1515" spans="1:25" ht="14" x14ac:dyDescent="0.2">
      <c r="A1515" s="4" t="s">
        <v>3463</v>
      </c>
      <c r="B1515" s="5">
        <v>6762.3308999999999</v>
      </c>
      <c r="C1515" s="5">
        <f t="shared" si="47"/>
        <v>6762.3308999999999</v>
      </c>
      <c r="D1515" s="4">
        <v>1</v>
      </c>
      <c r="E1515" s="5" t="s">
        <v>257</v>
      </c>
      <c r="F1515" s="4" t="s">
        <v>3464</v>
      </c>
      <c r="G1515" s="4" t="s">
        <v>20</v>
      </c>
      <c r="H1515" s="4" t="s">
        <v>3463</v>
      </c>
      <c r="I1515" s="4" t="s">
        <v>22</v>
      </c>
      <c r="K1515" s="4" t="s">
        <v>53</v>
      </c>
      <c r="M1515">
        <f t="shared" si="48"/>
        <v>6086.0978100000002</v>
      </c>
    </row>
    <row r="1516" spans="1:25" ht="14" x14ac:dyDescent="0.2">
      <c r="A1516" s="4" t="s">
        <v>3465</v>
      </c>
      <c r="B1516" s="5">
        <v>3993.5025000000005</v>
      </c>
      <c r="C1516" s="5">
        <f t="shared" si="47"/>
        <v>3993.5025000000005</v>
      </c>
      <c r="D1516" s="4">
        <v>1</v>
      </c>
      <c r="E1516" s="5" t="s">
        <v>25</v>
      </c>
      <c r="F1516" s="4" t="s">
        <v>3466</v>
      </c>
      <c r="G1516" s="4" t="s">
        <v>20</v>
      </c>
      <c r="H1516" s="4" t="s">
        <v>3465</v>
      </c>
      <c r="I1516" s="4" t="s">
        <v>22</v>
      </c>
      <c r="K1516" s="4" t="s">
        <v>53</v>
      </c>
      <c r="M1516">
        <f t="shared" si="48"/>
        <v>3594.1522500000005</v>
      </c>
    </row>
    <row r="1517" spans="1:25" ht="14" x14ac:dyDescent="0.2">
      <c r="A1517" s="4" t="s">
        <v>3467</v>
      </c>
      <c r="B1517" s="5">
        <v>6611.4652500000002</v>
      </c>
      <c r="C1517" s="5">
        <f t="shared" si="47"/>
        <v>6611.4652500000002</v>
      </c>
      <c r="D1517" s="4">
        <v>1</v>
      </c>
      <c r="E1517" s="5" t="s">
        <v>59</v>
      </c>
      <c r="F1517" s="4" t="s">
        <v>346</v>
      </c>
      <c r="G1517" s="4" t="s">
        <v>20</v>
      </c>
      <c r="H1517" s="4" t="s">
        <v>3468</v>
      </c>
      <c r="I1517" s="4" t="s">
        <v>22</v>
      </c>
      <c r="J1517" s="4" t="s">
        <v>686</v>
      </c>
      <c r="K1517" s="4" t="s">
        <v>53</v>
      </c>
      <c r="M1517">
        <f t="shared" si="48"/>
        <v>5950.3187250000001</v>
      </c>
    </row>
    <row r="1518" spans="1:25" ht="14" x14ac:dyDescent="0.2">
      <c r="A1518" s="4" t="s">
        <v>3469</v>
      </c>
      <c r="B1518" s="5">
        <v>5102.8087500000001</v>
      </c>
      <c r="C1518" s="5">
        <f t="shared" si="47"/>
        <v>364.48633928571428</v>
      </c>
      <c r="D1518" s="4">
        <v>14</v>
      </c>
      <c r="E1518" s="5" t="s">
        <v>10</v>
      </c>
      <c r="F1518" s="4" t="s">
        <v>346</v>
      </c>
      <c r="G1518" s="4" t="s">
        <v>20</v>
      </c>
      <c r="H1518" s="4" t="s">
        <v>3468</v>
      </c>
      <c r="I1518" s="4" t="s">
        <v>22</v>
      </c>
      <c r="J1518" s="4" t="s">
        <v>362</v>
      </c>
      <c r="K1518" s="4" t="s">
        <v>53</v>
      </c>
      <c r="M1518">
        <f t="shared" si="48"/>
        <v>328.03770535714284</v>
      </c>
    </row>
    <row r="1519" spans="1:25" ht="14" x14ac:dyDescent="0.2">
      <c r="A1519" s="4" t="s">
        <v>3470</v>
      </c>
      <c r="B1519" s="5">
        <v>1774.89</v>
      </c>
      <c r="C1519" s="5">
        <f t="shared" si="47"/>
        <v>1774.89</v>
      </c>
      <c r="D1519" s="4">
        <v>1</v>
      </c>
      <c r="E1519" s="5" t="s">
        <v>59</v>
      </c>
      <c r="F1519" s="4" t="s">
        <v>3471</v>
      </c>
      <c r="G1519" s="4" t="s">
        <v>20</v>
      </c>
      <c r="H1519" s="4" t="s">
        <v>3472</v>
      </c>
      <c r="I1519" s="4" t="s">
        <v>22</v>
      </c>
      <c r="K1519" s="4" t="s">
        <v>118</v>
      </c>
      <c r="M1519">
        <f t="shared" si="48"/>
        <v>1597.4010000000001</v>
      </c>
    </row>
    <row r="1520" spans="1:25" ht="14" x14ac:dyDescent="0.2">
      <c r="A1520" s="7" t="s">
        <v>5398</v>
      </c>
      <c r="B1520" s="10">
        <v>48920.405625000007</v>
      </c>
      <c r="C1520" s="5">
        <f t="shared" si="47"/>
        <v>48920.405625000007</v>
      </c>
      <c r="D1520" s="9">
        <v>1</v>
      </c>
      <c r="E1520" s="10" t="s">
        <v>5176</v>
      </c>
      <c r="F1520" s="7" t="s">
        <v>5399</v>
      </c>
      <c r="G1520" s="7" t="s">
        <v>20</v>
      </c>
      <c r="H1520" s="7" t="s">
        <v>5400</v>
      </c>
      <c r="I1520" s="7" t="s">
        <v>14</v>
      </c>
      <c r="J1520" s="11">
        <v>1E-3</v>
      </c>
      <c r="K1520" s="7" t="s">
        <v>23</v>
      </c>
      <c r="L1520" s="4"/>
      <c r="M1520">
        <f t="shared" si="48"/>
        <v>44028.365062500008</v>
      </c>
      <c r="N1520" s="3"/>
      <c r="O1520" s="3"/>
      <c r="P1520" s="3"/>
      <c r="Q1520" s="2"/>
      <c r="R1520" s="2"/>
      <c r="S1520" s="2"/>
      <c r="T1520" s="2"/>
      <c r="U1520" s="2"/>
      <c r="V1520" s="2"/>
      <c r="W1520" s="2"/>
      <c r="X1520" s="2"/>
      <c r="Y1520" s="2"/>
    </row>
    <row r="1521" spans="1:13" ht="14" x14ac:dyDescent="0.2">
      <c r="A1521" s="4" t="s">
        <v>3473</v>
      </c>
      <c r="B1521" s="5">
        <v>1774.89</v>
      </c>
      <c r="C1521" s="5">
        <f t="shared" si="47"/>
        <v>1774.89</v>
      </c>
      <c r="D1521" s="4">
        <v>1</v>
      </c>
      <c r="E1521" s="5" t="s">
        <v>55</v>
      </c>
      <c r="F1521" s="4" t="s">
        <v>3474</v>
      </c>
      <c r="G1521" s="4" t="s">
        <v>20</v>
      </c>
      <c r="H1521" s="4" t="s">
        <v>3475</v>
      </c>
      <c r="I1521" s="4" t="s">
        <v>22</v>
      </c>
      <c r="K1521" s="4" t="s">
        <v>53</v>
      </c>
      <c r="M1521">
        <f t="shared" si="48"/>
        <v>1597.4010000000001</v>
      </c>
    </row>
    <row r="1522" spans="1:13" ht="14" x14ac:dyDescent="0.2">
      <c r="A1522" s="4" t="s">
        <v>3476</v>
      </c>
      <c r="B1522" s="5">
        <v>15052.620228750004</v>
      </c>
      <c r="C1522" s="5">
        <f t="shared" si="47"/>
        <v>1505.2620228750004</v>
      </c>
      <c r="D1522" s="4">
        <v>10</v>
      </c>
      <c r="E1522" s="5" t="s">
        <v>10</v>
      </c>
      <c r="F1522" s="4" t="s">
        <v>3477</v>
      </c>
      <c r="G1522" s="4" t="s">
        <v>12</v>
      </c>
      <c r="H1522" s="4" t="s">
        <v>3477</v>
      </c>
      <c r="I1522" s="4" t="s">
        <v>22</v>
      </c>
      <c r="J1522" s="4" t="s">
        <v>603</v>
      </c>
      <c r="K1522" s="4" t="s">
        <v>227</v>
      </c>
      <c r="M1522">
        <f t="shared" si="48"/>
        <v>1354.7358205875003</v>
      </c>
    </row>
    <row r="1523" spans="1:13" ht="14" x14ac:dyDescent="0.2">
      <c r="A1523" s="4" t="s">
        <v>3478</v>
      </c>
      <c r="B1523" s="5">
        <v>19912.0471875</v>
      </c>
      <c r="C1523" s="5">
        <f t="shared" si="47"/>
        <v>663.73490624999999</v>
      </c>
      <c r="D1523" s="4">
        <v>30</v>
      </c>
      <c r="E1523" s="5" t="s">
        <v>10</v>
      </c>
      <c r="F1523" s="4" t="s">
        <v>3478</v>
      </c>
      <c r="G1523" s="4" t="s">
        <v>20</v>
      </c>
      <c r="H1523" s="4" t="s">
        <v>3478</v>
      </c>
      <c r="I1523" s="4" t="s">
        <v>22</v>
      </c>
      <c r="J1523" s="4" t="s">
        <v>3479</v>
      </c>
      <c r="K1523" s="4" t="s">
        <v>227</v>
      </c>
      <c r="M1523">
        <f t="shared" si="48"/>
        <v>597.36141562499995</v>
      </c>
    </row>
    <row r="1524" spans="1:13" ht="14" x14ac:dyDescent="0.2">
      <c r="A1524" s="4" t="s">
        <v>3480</v>
      </c>
      <c r="B1524" s="5">
        <v>1996.7512500000003</v>
      </c>
      <c r="C1524" s="5">
        <f t="shared" si="47"/>
        <v>1996.7512500000003</v>
      </c>
      <c r="D1524" s="4">
        <v>1</v>
      </c>
      <c r="E1524" s="5" t="s">
        <v>55</v>
      </c>
      <c r="F1524" s="4" t="s">
        <v>3481</v>
      </c>
      <c r="G1524" s="4" t="s">
        <v>20</v>
      </c>
      <c r="H1524" s="4" t="s">
        <v>3482</v>
      </c>
      <c r="I1524" s="4" t="s">
        <v>22</v>
      </c>
      <c r="J1524" s="4" t="s">
        <v>1009</v>
      </c>
      <c r="K1524" s="4" t="s">
        <v>53</v>
      </c>
      <c r="M1524">
        <f t="shared" si="48"/>
        <v>1797.0761250000003</v>
      </c>
    </row>
    <row r="1525" spans="1:13" ht="14" x14ac:dyDescent="0.2">
      <c r="A1525" s="4" t="s">
        <v>3483</v>
      </c>
      <c r="B1525" s="5">
        <v>13866.328125000002</v>
      </c>
      <c r="C1525" s="5">
        <f t="shared" si="47"/>
        <v>13866.328125000002</v>
      </c>
      <c r="D1525" s="4">
        <v>1</v>
      </c>
      <c r="E1525" s="5" t="s">
        <v>175</v>
      </c>
      <c r="F1525" s="4" t="s">
        <v>3484</v>
      </c>
      <c r="G1525" s="4" t="s">
        <v>20</v>
      </c>
      <c r="H1525" s="4" t="s">
        <v>3484</v>
      </c>
      <c r="I1525" s="4" t="s">
        <v>22</v>
      </c>
      <c r="J1525" s="8">
        <v>1E-3</v>
      </c>
      <c r="K1525" s="4" t="s">
        <v>786</v>
      </c>
      <c r="M1525">
        <f t="shared" si="48"/>
        <v>12479.695312500002</v>
      </c>
    </row>
    <row r="1526" spans="1:13" ht="14" x14ac:dyDescent="0.2">
      <c r="A1526" s="4" t="s">
        <v>3485</v>
      </c>
      <c r="B1526" s="5">
        <v>3106.0575000000003</v>
      </c>
      <c r="C1526" s="5">
        <f t="shared" si="47"/>
        <v>3106.0575000000003</v>
      </c>
      <c r="D1526" s="4">
        <v>1</v>
      </c>
      <c r="E1526" s="5" t="s">
        <v>701</v>
      </c>
      <c r="F1526" s="4" t="s">
        <v>3486</v>
      </c>
      <c r="G1526" s="4" t="s">
        <v>20</v>
      </c>
      <c r="H1526" s="4" t="s">
        <v>3485</v>
      </c>
      <c r="I1526" s="4" t="s">
        <v>22</v>
      </c>
      <c r="J1526" s="4" t="s">
        <v>2338</v>
      </c>
      <c r="K1526" s="4" t="s">
        <v>23</v>
      </c>
      <c r="M1526">
        <f t="shared" si="48"/>
        <v>2795.4517500000002</v>
      </c>
    </row>
    <row r="1527" spans="1:13" ht="14" x14ac:dyDescent="0.2">
      <c r="A1527" s="4" t="s">
        <v>3348</v>
      </c>
      <c r="B1527" s="5">
        <v>2839.8240000000005</v>
      </c>
      <c r="C1527" s="5">
        <f t="shared" si="47"/>
        <v>2839.8240000000005</v>
      </c>
      <c r="D1527" s="4">
        <v>1</v>
      </c>
      <c r="E1527" s="5" t="s">
        <v>701</v>
      </c>
      <c r="F1527" s="4" t="s">
        <v>3486</v>
      </c>
      <c r="G1527" s="4" t="s">
        <v>20</v>
      </c>
      <c r="H1527" s="4" t="s">
        <v>3348</v>
      </c>
      <c r="I1527" s="4" t="s">
        <v>22</v>
      </c>
      <c r="J1527" s="4" t="s">
        <v>2338</v>
      </c>
      <c r="K1527" s="4" t="s">
        <v>23</v>
      </c>
      <c r="M1527">
        <f t="shared" si="48"/>
        <v>2555.8416000000007</v>
      </c>
    </row>
    <row r="1528" spans="1:13" ht="14" x14ac:dyDescent="0.2">
      <c r="A1528" s="4" t="s">
        <v>3487</v>
      </c>
      <c r="B1528" s="5">
        <v>21631.471875000003</v>
      </c>
      <c r="C1528" s="5">
        <f t="shared" si="47"/>
        <v>721.0490625000001</v>
      </c>
      <c r="D1528" s="4">
        <v>30</v>
      </c>
      <c r="E1528" s="5" t="s">
        <v>30</v>
      </c>
      <c r="F1528" s="4" t="s">
        <v>3488</v>
      </c>
      <c r="G1528" s="4" t="s">
        <v>12</v>
      </c>
      <c r="H1528" s="4" t="s">
        <v>3489</v>
      </c>
      <c r="I1528" s="4" t="s">
        <v>14</v>
      </c>
      <c r="J1528" s="4" t="s">
        <v>481</v>
      </c>
      <c r="K1528" s="4" t="s">
        <v>87</v>
      </c>
      <c r="M1528">
        <f t="shared" si="48"/>
        <v>648.94415625000011</v>
      </c>
    </row>
    <row r="1529" spans="1:13" ht="14" x14ac:dyDescent="0.2">
      <c r="A1529" s="4" t="s">
        <v>3490</v>
      </c>
      <c r="B1529" s="5">
        <v>19179.905062500002</v>
      </c>
      <c r="C1529" s="5">
        <f t="shared" si="47"/>
        <v>639.3301687500001</v>
      </c>
      <c r="D1529" s="4">
        <v>30</v>
      </c>
      <c r="E1529" s="5" t="s">
        <v>30</v>
      </c>
      <c r="F1529" s="4" t="s">
        <v>3488</v>
      </c>
      <c r="G1529" s="4" t="s">
        <v>12</v>
      </c>
      <c r="H1529" s="4" t="s">
        <v>3489</v>
      </c>
      <c r="I1529" s="4" t="s">
        <v>14</v>
      </c>
      <c r="J1529" s="4" t="s">
        <v>397</v>
      </c>
      <c r="K1529" s="4" t="s">
        <v>87</v>
      </c>
      <c r="M1529">
        <f t="shared" si="48"/>
        <v>575.39715187500008</v>
      </c>
    </row>
    <row r="1530" spans="1:13" ht="14" x14ac:dyDescent="0.2">
      <c r="A1530" s="4" t="s">
        <v>3491</v>
      </c>
      <c r="B1530" s="5">
        <v>8319.796875</v>
      </c>
      <c r="C1530" s="5">
        <f t="shared" si="47"/>
        <v>415.98984374999998</v>
      </c>
      <c r="D1530" s="4">
        <v>20</v>
      </c>
      <c r="E1530" s="5" t="s">
        <v>10</v>
      </c>
      <c r="F1530" s="4" t="s">
        <v>3492</v>
      </c>
      <c r="G1530" s="4" t="s">
        <v>12</v>
      </c>
      <c r="H1530" s="4" t="s">
        <v>3493</v>
      </c>
      <c r="I1530" s="4" t="s">
        <v>22</v>
      </c>
      <c r="J1530" s="4" t="s">
        <v>3494</v>
      </c>
      <c r="K1530" s="4" t="s">
        <v>34</v>
      </c>
      <c r="M1530">
        <f t="shared" si="48"/>
        <v>374.39085937499999</v>
      </c>
    </row>
    <row r="1531" spans="1:13" ht="14" x14ac:dyDescent="0.2">
      <c r="A1531" s="4" t="s">
        <v>3495</v>
      </c>
      <c r="B1531" s="5">
        <v>3882.5718750000005</v>
      </c>
      <c r="C1531" s="5">
        <f t="shared" si="47"/>
        <v>3882.5718750000005</v>
      </c>
      <c r="D1531" s="4">
        <v>1</v>
      </c>
      <c r="E1531" s="5" t="s">
        <v>55</v>
      </c>
      <c r="F1531" s="4" t="s">
        <v>1564</v>
      </c>
      <c r="G1531" s="4" t="s">
        <v>20</v>
      </c>
      <c r="H1531" s="4" t="s">
        <v>3496</v>
      </c>
      <c r="I1531" s="4" t="s">
        <v>22</v>
      </c>
      <c r="J1531" s="4" t="s">
        <v>3497</v>
      </c>
      <c r="K1531" s="4" t="s">
        <v>87</v>
      </c>
      <c r="M1531">
        <f t="shared" si="48"/>
        <v>3494.3146875000002</v>
      </c>
    </row>
    <row r="1532" spans="1:13" ht="14" x14ac:dyDescent="0.2">
      <c r="A1532" s="4" t="s">
        <v>3498</v>
      </c>
      <c r="B1532" s="5">
        <v>3327.9187500000003</v>
      </c>
      <c r="C1532" s="5">
        <f t="shared" si="47"/>
        <v>3327.9187500000003</v>
      </c>
      <c r="D1532" s="4">
        <v>1</v>
      </c>
      <c r="E1532" s="5" t="s">
        <v>55</v>
      </c>
      <c r="F1532" s="4" t="s">
        <v>1564</v>
      </c>
      <c r="G1532" s="4" t="s">
        <v>20</v>
      </c>
      <c r="H1532" s="4" t="s">
        <v>3499</v>
      </c>
      <c r="I1532" s="4" t="s">
        <v>22</v>
      </c>
      <c r="J1532" s="4" t="s">
        <v>3406</v>
      </c>
      <c r="K1532" s="4" t="s">
        <v>87</v>
      </c>
      <c r="M1532">
        <f t="shared" si="48"/>
        <v>2995.1268750000004</v>
      </c>
    </row>
    <row r="1533" spans="1:13" ht="14" x14ac:dyDescent="0.2">
      <c r="A1533" s="4" t="s">
        <v>3500</v>
      </c>
      <c r="B1533" s="5">
        <v>3549.78</v>
      </c>
      <c r="C1533" s="5">
        <f t="shared" si="47"/>
        <v>3549.78</v>
      </c>
      <c r="D1533" s="4">
        <v>1</v>
      </c>
      <c r="E1533" s="5" t="s">
        <v>55</v>
      </c>
      <c r="F1533" s="4" t="s">
        <v>3501</v>
      </c>
      <c r="G1533" s="4" t="s">
        <v>20</v>
      </c>
      <c r="H1533" s="4" t="s">
        <v>3502</v>
      </c>
      <c r="I1533" s="4" t="s">
        <v>22</v>
      </c>
      <c r="J1533" s="4" t="s">
        <v>3411</v>
      </c>
      <c r="K1533" s="4" t="s">
        <v>87</v>
      </c>
      <c r="M1533">
        <f t="shared" si="48"/>
        <v>3194.8020000000001</v>
      </c>
    </row>
    <row r="1534" spans="1:13" ht="14" x14ac:dyDescent="0.2">
      <c r="A1534" s="4" t="s">
        <v>3503</v>
      </c>
      <c r="B1534" s="5">
        <v>29058.277218750001</v>
      </c>
      <c r="C1534" s="5">
        <f t="shared" si="47"/>
        <v>290.58277218750004</v>
      </c>
      <c r="D1534" s="4">
        <v>100</v>
      </c>
      <c r="E1534" s="5" t="s">
        <v>10</v>
      </c>
      <c r="F1534" s="4" t="s">
        <v>3492</v>
      </c>
      <c r="G1534" s="4" t="s">
        <v>12</v>
      </c>
      <c r="H1534" s="4" t="s">
        <v>3504</v>
      </c>
      <c r="I1534" s="4" t="s">
        <v>22</v>
      </c>
      <c r="J1534" s="4" t="s">
        <v>3505</v>
      </c>
      <c r="K1534" s="4" t="s">
        <v>34</v>
      </c>
      <c r="M1534">
        <f t="shared" si="48"/>
        <v>261.52449496875005</v>
      </c>
    </row>
    <row r="1535" spans="1:13" ht="14" x14ac:dyDescent="0.2">
      <c r="A1535" s="4" t="s">
        <v>3506</v>
      </c>
      <c r="B1535" s="5">
        <v>24404.737500000003</v>
      </c>
      <c r="C1535" s="5">
        <f t="shared" si="47"/>
        <v>24404.737500000003</v>
      </c>
      <c r="D1535" s="4">
        <v>1</v>
      </c>
      <c r="E1535" s="5" t="s">
        <v>175</v>
      </c>
      <c r="F1535" s="4" t="s">
        <v>3484</v>
      </c>
      <c r="G1535" s="4" t="s">
        <v>20</v>
      </c>
      <c r="H1535" s="4" t="s">
        <v>3507</v>
      </c>
      <c r="I1535" s="4" t="s">
        <v>22</v>
      </c>
      <c r="J1535" s="8">
        <v>1E-3</v>
      </c>
      <c r="K1535" s="4" t="s">
        <v>87</v>
      </c>
      <c r="M1535">
        <f t="shared" si="48"/>
        <v>21964.263750000002</v>
      </c>
    </row>
    <row r="1536" spans="1:13" ht="14" x14ac:dyDescent="0.2">
      <c r="A1536" s="4" t="s">
        <v>3508</v>
      </c>
      <c r="B1536" s="5">
        <v>32169.881250000002</v>
      </c>
      <c r="C1536" s="5">
        <f t="shared" si="47"/>
        <v>32169.881250000002</v>
      </c>
      <c r="D1536" s="4">
        <v>1</v>
      </c>
      <c r="E1536" s="5" t="s">
        <v>175</v>
      </c>
      <c r="F1536" s="4" t="s">
        <v>3484</v>
      </c>
      <c r="G1536" s="4" t="s">
        <v>20</v>
      </c>
      <c r="H1536" s="4" t="s">
        <v>3509</v>
      </c>
      <c r="I1536" s="4" t="s">
        <v>14</v>
      </c>
      <c r="J1536" s="8">
        <v>1E-3</v>
      </c>
      <c r="K1536" s="4" t="s">
        <v>87</v>
      </c>
      <c r="M1536">
        <f t="shared" si="48"/>
        <v>28952.893125000002</v>
      </c>
    </row>
    <row r="1537" spans="1:25" ht="14" x14ac:dyDescent="0.2">
      <c r="A1537" s="4" t="s">
        <v>3510</v>
      </c>
      <c r="B1537" s="5">
        <v>17194.246875000001</v>
      </c>
      <c r="C1537" s="5">
        <f t="shared" si="47"/>
        <v>286.57078125000004</v>
      </c>
      <c r="D1537" s="4">
        <v>60</v>
      </c>
      <c r="E1537" s="5" t="s">
        <v>10</v>
      </c>
      <c r="F1537" s="4" t="s">
        <v>3511</v>
      </c>
      <c r="G1537" s="4" t="s">
        <v>12</v>
      </c>
      <c r="H1537" s="4" t="s">
        <v>3511</v>
      </c>
      <c r="I1537" s="4" t="s">
        <v>22</v>
      </c>
      <c r="J1537" s="4" t="s">
        <v>95</v>
      </c>
      <c r="K1537" s="4" t="s">
        <v>48</v>
      </c>
      <c r="M1537">
        <f t="shared" si="48"/>
        <v>257.91370312500004</v>
      </c>
    </row>
    <row r="1538" spans="1:25" ht="14" x14ac:dyDescent="0.2">
      <c r="A1538" s="4" t="s">
        <v>3512</v>
      </c>
      <c r="B1538" s="5">
        <v>17194.246875000001</v>
      </c>
      <c r="C1538" s="5">
        <f t="shared" si="47"/>
        <v>1228.1604910714286</v>
      </c>
      <c r="D1538" s="4">
        <v>14</v>
      </c>
      <c r="E1538" s="5" t="s">
        <v>10</v>
      </c>
      <c r="F1538" s="4" t="s">
        <v>3513</v>
      </c>
      <c r="G1538" s="4" t="s">
        <v>20</v>
      </c>
      <c r="H1538" s="4" t="s">
        <v>3514</v>
      </c>
      <c r="I1538" s="4" t="s">
        <v>14</v>
      </c>
      <c r="J1538" s="4" t="s">
        <v>148</v>
      </c>
      <c r="K1538" s="4" t="s">
        <v>748</v>
      </c>
      <c r="M1538">
        <f t="shared" si="48"/>
        <v>1105.3444419642858</v>
      </c>
    </row>
    <row r="1539" spans="1:25" ht="14" x14ac:dyDescent="0.2">
      <c r="A1539" s="4" t="s">
        <v>3515</v>
      </c>
      <c r="B1539" s="5">
        <v>18492.1351875</v>
      </c>
      <c r="C1539" s="5">
        <f t="shared" ref="C1539:C1602" si="49">(B1539/D1539)</f>
        <v>1320.8667991071429</v>
      </c>
      <c r="D1539" s="4">
        <v>14</v>
      </c>
      <c r="E1539" s="5" t="s">
        <v>10</v>
      </c>
      <c r="F1539" s="4" t="s">
        <v>3513</v>
      </c>
      <c r="G1539" s="4" t="s">
        <v>20</v>
      </c>
      <c r="H1539" s="4" t="s">
        <v>3514</v>
      </c>
      <c r="I1539" s="4" t="s">
        <v>14</v>
      </c>
      <c r="J1539" s="4" t="s">
        <v>495</v>
      </c>
      <c r="K1539" s="4" t="s">
        <v>748</v>
      </c>
      <c r="M1539">
        <f t="shared" si="48"/>
        <v>1188.7801191964286</v>
      </c>
    </row>
    <row r="1540" spans="1:25" ht="14" x14ac:dyDescent="0.2">
      <c r="A1540" s="4" t="s">
        <v>3516</v>
      </c>
      <c r="B1540" s="5">
        <v>6433.9762500000006</v>
      </c>
      <c r="C1540" s="5">
        <f t="shared" si="49"/>
        <v>643.39762500000006</v>
      </c>
      <c r="D1540" s="4">
        <v>10</v>
      </c>
      <c r="E1540" s="5" t="s">
        <v>10</v>
      </c>
      <c r="F1540" s="4" t="s">
        <v>3513</v>
      </c>
      <c r="G1540" s="4" t="s">
        <v>20</v>
      </c>
      <c r="H1540" s="4" t="s">
        <v>3514</v>
      </c>
      <c r="I1540" s="4" t="s">
        <v>14</v>
      </c>
      <c r="J1540" s="4" t="s">
        <v>495</v>
      </c>
      <c r="K1540" s="4" t="s">
        <v>748</v>
      </c>
      <c r="M1540">
        <f t="shared" si="48"/>
        <v>579.05786250000006</v>
      </c>
    </row>
    <row r="1541" spans="1:25" ht="14" x14ac:dyDescent="0.2">
      <c r="A1541" s="4" t="s">
        <v>3517</v>
      </c>
      <c r="B1541" s="5">
        <v>6433.9762500000006</v>
      </c>
      <c r="C1541" s="5">
        <f t="shared" si="49"/>
        <v>6433.9762500000006</v>
      </c>
      <c r="D1541" s="4">
        <v>1</v>
      </c>
      <c r="E1541" s="5" t="s">
        <v>124</v>
      </c>
      <c r="F1541" s="4" t="s">
        <v>3513</v>
      </c>
      <c r="G1541" s="4" t="s">
        <v>20</v>
      </c>
      <c r="H1541" s="4" t="s">
        <v>3514</v>
      </c>
      <c r="I1541" s="4" t="s">
        <v>14</v>
      </c>
      <c r="K1541" s="4" t="s">
        <v>748</v>
      </c>
      <c r="M1541">
        <f t="shared" si="48"/>
        <v>5790.5786250000001</v>
      </c>
    </row>
    <row r="1542" spans="1:25" ht="14" x14ac:dyDescent="0.2">
      <c r="A1542" s="4" t="s">
        <v>3518</v>
      </c>
      <c r="B1542" s="5">
        <v>887.44500000000005</v>
      </c>
      <c r="C1542" s="5">
        <f t="shared" si="49"/>
        <v>88.744500000000002</v>
      </c>
      <c r="D1542" s="4">
        <v>10</v>
      </c>
      <c r="E1542" s="5" t="s">
        <v>10</v>
      </c>
      <c r="F1542" s="4" t="s">
        <v>3518</v>
      </c>
      <c r="G1542" s="4" t="s">
        <v>12</v>
      </c>
      <c r="H1542" s="4" t="s">
        <v>3519</v>
      </c>
      <c r="I1542" s="4" t="s">
        <v>22</v>
      </c>
      <c r="J1542" s="4" t="s">
        <v>1172</v>
      </c>
      <c r="K1542" s="4" t="s">
        <v>34</v>
      </c>
      <c r="M1542">
        <f t="shared" si="48"/>
        <v>79.870050000000006</v>
      </c>
    </row>
    <row r="1543" spans="1:25" ht="14" x14ac:dyDescent="0.2">
      <c r="A1543" s="4" t="s">
        <v>3520</v>
      </c>
      <c r="B1543" s="5">
        <v>11314.923750000002</v>
      </c>
      <c r="C1543" s="5">
        <f t="shared" si="49"/>
        <v>377.16412500000007</v>
      </c>
      <c r="D1543" s="4">
        <v>30</v>
      </c>
      <c r="E1543" s="5" t="s">
        <v>10</v>
      </c>
      <c r="F1543" s="4" t="s">
        <v>144</v>
      </c>
      <c r="G1543" s="4" t="s">
        <v>12</v>
      </c>
      <c r="H1543" s="4" t="s">
        <v>3521</v>
      </c>
      <c r="I1543" s="4" t="s">
        <v>14</v>
      </c>
      <c r="J1543" s="4" t="s">
        <v>548</v>
      </c>
      <c r="K1543" s="4" t="s">
        <v>90</v>
      </c>
      <c r="M1543">
        <f t="shared" si="48"/>
        <v>339.44771250000008</v>
      </c>
    </row>
    <row r="1544" spans="1:25" ht="14" x14ac:dyDescent="0.2">
      <c r="A1544" s="4" t="s">
        <v>3522</v>
      </c>
      <c r="B1544" s="5">
        <v>4880.9475000000002</v>
      </c>
      <c r="C1544" s="5">
        <f t="shared" si="49"/>
        <v>162.69825</v>
      </c>
      <c r="D1544" s="4">
        <v>30</v>
      </c>
      <c r="E1544" s="5" t="s">
        <v>10</v>
      </c>
      <c r="F1544" s="4" t="s">
        <v>144</v>
      </c>
      <c r="G1544" s="4" t="s">
        <v>12</v>
      </c>
      <c r="H1544" s="4" t="s">
        <v>3521</v>
      </c>
      <c r="I1544" s="4" t="s">
        <v>22</v>
      </c>
      <c r="J1544" s="4" t="s">
        <v>148</v>
      </c>
      <c r="K1544" s="4" t="s">
        <v>90</v>
      </c>
      <c r="M1544">
        <f t="shared" si="48"/>
        <v>146.428425</v>
      </c>
    </row>
    <row r="1545" spans="1:25" ht="14" x14ac:dyDescent="0.2">
      <c r="A1545" s="4" t="s">
        <v>3523</v>
      </c>
      <c r="B1545" s="5">
        <v>665.58375000000001</v>
      </c>
      <c r="C1545" s="5">
        <f t="shared" si="49"/>
        <v>66.558374999999998</v>
      </c>
      <c r="D1545" s="4">
        <v>10</v>
      </c>
      <c r="E1545" s="5" t="s">
        <v>10</v>
      </c>
      <c r="F1545" s="4" t="s">
        <v>3523</v>
      </c>
      <c r="G1545" s="4" t="s">
        <v>12</v>
      </c>
      <c r="H1545" s="4" t="s">
        <v>3524</v>
      </c>
      <c r="I1545" s="4" t="s">
        <v>22</v>
      </c>
      <c r="J1545" s="4" t="s">
        <v>2012</v>
      </c>
      <c r="K1545" s="4" t="s">
        <v>90</v>
      </c>
      <c r="M1545">
        <f t="shared" si="48"/>
        <v>59.902537499999994</v>
      </c>
    </row>
    <row r="1546" spans="1:25" ht="14" x14ac:dyDescent="0.2">
      <c r="A1546" s="4" t="s">
        <v>3525</v>
      </c>
      <c r="B1546" s="5">
        <v>22075.194375000003</v>
      </c>
      <c r="C1546" s="5">
        <f t="shared" si="49"/>
        <v>735.83981250000011</v>
      </c>
      <c r="D1546" s="4">
        <v>30</v>
      </c>
      <c r="E1546" s="5" t="s">
        <v>10</v>
      </c>
      <c r="F1546" s="4" t="s">
        <v>3526</v>
      </c>
      <c r="G1546" s="4" t="s">
        <v>12</v>
      </c>
      <c r="H1546" s="4" t="s">
        <v>3521</v>
      </c>
      <c r="I1546" s="4" t="s">
        <v>22</v>
      </c>
      <c r="J1546" s="4" t="s">
        <v>1574</v>
      </c>
      <c r="K1546" s="4" t="s">
        <v>2629</v>
      </c>
      <c r="M1546">
        <f t="shared" si="48"/>
        <v>662.25583125000014</v>
      </c>
    </row>
    <row r="1547" spans="1:25" ht="14" x14ac:dyDescent="0.2">
      <c r="A1547" s="4" t="s">
        <v>3527</v>
      </c>
      <c r="B1547" s="5">
        <v>4659.0862500000003</v>
      </c>
      <c r="C1547" s="5">
        <f t="shared" si="49"/>
        <v>232.95431250000001</v>
      </c>
      <c r="D1547" s="4">
        <v>20</v>
      </c>
      <c r="E1547" s="5" t="s">
        <v>10</v>
      </c>
      <c r="F1547" s="4" t="s">
        <v>144</v>
      </c>
      <c r="G1547" s="4" t="s">
        <v>12</v>
      </c>
      <c r="H1547" s="4" t="s">
        <v>3528</v>
      </c>
      <c r="I1547" s="4" t="s">
        <v>22</v>
      </c>
      <c r="J1547" s="4" t="s">
        <v>148</v>
      </c>
      <c r="K1547" s="4" t="s">
        <v>90</v>
      </c>
      <c r="M1547">
        <f t="shared" si="48"/>
        <v>209.65888125000001</v>
      </c>
    </row>
    <row r="1548" spans="1:25" ht="14" x14ac:dyDescent="0.2">
      <c r="A1548" s="4" t="s">
        <v>3529</v>
      </c>
      <c r="B1548" s="5">
        <v>4437.2250000000004</v>
      </c>
      <c r="C1548" s="5">
        <f t="shared" si="49"/>
        <v>443.72250000000003</v>
      </c>
      <c r="D1548" s="4">
        <v>10</v>
      </c>
      <c r="E1548" s="5" t="s">
        <v>30</v>
      </c>
      <c r="F1548" s="4" t="s">
        <v>3530</v>
      </c>
      <c r="G1548" s="4" t="s">
        <v>20</v>
      </c>
      <c r="H1548" s="4" t="s">
        <v>3531</v>
      </c>
      <c r="I1548" s="4" t="s">
        <v>22</v>
      </c>
      <c r="K1548" s="4" t="s">
        <v>118</v>
      </c>
      <c r="M1548">
        <f t="shared" si="48"/>
        <v>399.35025000000002</v>
      </c>
    </row>
    <row r="1549" spans="1:25" ht="14" x14ac:dyDescent="0.2">
      <c r="A1549" s="7" t="s">
        <v>5401</v>
      </c>
      <c r="B1549" s="10">
        <v>3882.5718750000005</v>
      </c>
      <c r="C1549" s="5">
        <f t="shared" si="49"/>
        <v>647.09531250000009</v>
      </c>
      <c r="D1549" s="9">
        <v>6</v>
      </c>
      <c r="E1549" s="10" t="s">
        <v>5193</v>
      </c>
      <c r="F1549" s="7" t="s">
        <v>5402</v>
      </c>
      <c r="G1549" s="7" t="s">
        <v>20</v>
      </c>
      <c r="H1549" s="7" t="s">
        <v>5403</v>
      </c>
      <c r="I1549" s="4" t="s">
        <v>22</v>
      </c>
      <c r="J1549" s="7" t="s">
        <v>5404</v>
      </c>
      <c r="K1549" s="7" t="s">
        <v>108</v>
      </c>
      <c r="L1549" s="4"/>
      <c r="M1549">
        <f t="shared" si="48"/>
        <v>582.38578125000004</v>
      </c>
      <c r="N1549" s="3"/>
      <c r="O1549" s="3"/>
      <c r="P1549" s="3"/>
      <c r="Q1549" s="2"/>
      <c r="R1549" s="2"/>
      <c r="S1549" s="2"/>
      <c r="T1549" s="2"/>
      <c r="U1549" s="2"/>
      <c r="V1549" s="2"/>
      <c r="W1549" s="2"/>
      <c r="X1549" s="2"/>
      <c r="Y1549" s="2"/>
    </row>
    <row r="1550" spans="1:25" ht="14" x14ac:dyDescent="0.2">
      <c r="A1550" s="4" t="s">
        <v>3532</v>
      </c>
      <c r="B1550" s="5">
        <v>1663.9593750000001</v>
      </c>
      <c r="C1550" s="5">
        <f t="shared" si="49"/>
        <v>1663.9593750000001</v>
      </c>
      <c r="D1550" s="4">
        <v>1</v>
      </c>
      <c r="E1550" s="5" t="s">
        <v>59</v>
      </c>
      <c r="F1550" s="4" t="s">
        <v>3533</v>
      </c>
      <c r="G1550" s="4" t="s">
        <v>20</v>
      </c>
      <c r="H1550" s="4" t="s">
        <v>3534</v>
      </c>
      <c r="I1550" s="4" t="s">
        <v>22</v>
      </c>
      <c r="K1550" s="4" t="s">
        <v>118</v>
      </c>
      <c r="M1550">
        <f t="shared" si="48"/>
        <v>1497.5634375000002</v>
      </c>
    </row>
    <row r="1551" spans="1:25" ht="14" x14ac:dyDescent="0.2">
      <c r="A1551" s="4" t="s">
        <v>3535</v>
      </c>
      <c r="B1551" s="5">
        <v>1663.9593750000001</v>
      </c>
      <c r="C1551" s="5">
        <f t="shared" si="49"/>
        <v>1663.9593750000001</v>
      </c>
      <c r="D1551" s="4">
        <v>1</v>
      </c>
      <c r="E1551" s="5" t="s">
        <v>59</v>
      </c>
      <c r="F1551" s="4" t="s">
        <v>3536</v>
      </c>
      <c r="G1551" s="4" t="s">
        <v>20</v>
      </c>
      <c r="H1551" s="4" t="s">
        <v>3537</v>
      </c>
      <c r="I1551" s="4" t="s">
        <v>22</v>
      </c>
      <c r="K1551" s="4" t="s">
        <v>118</v>
      </c>
      <c r="M1551">
        <f t="shared" si="48"/>
        <v>1497.5634375000002</v>
      </c>
    </row>
    <row r="1552" spans="1:25" ht="14" x14ac:dyDescent="0.2">
      <c r="A1552" s="4" t="s">
        <v>3538</v>
      </c>
      <c r="B1552" s="5">
        <v>1220.2368750000001</v>
      </c>
      <c r="C1552" s="5">
        <f t="shared" si="49"/>
        <v>122.02368750000001</v>
      </c>
      <c r="D1552" s="4">
        <v>10</v>
      </c>
      <c r="E1552" s="5" t="s">
        <v>10</v>
      </c>
      <c r="F1552" s="4" t="s">
        <v>3538</v>
      </c>
      <c r="G1552" s="4" t="s">
        <v>12</v>
      </c>
      <c r="H1552" s="4" t="s">
        <v>3539</v>
      </c>
      <c r="I1552" s="4" t="s">
        <v>22</v>
      </c>
      <c r="J1552" s="4" t="s">
        <v>405</v>
      </c>
      <c r="K1552" s="4" t="s">
        <v>227</v>
      </c>
      <c r="M1552">
        <f t="shared" si="48"/>
        <v>109.82131875</v>
      </c>
    </row>
    <row r="1553" spans="1:25" ht="14" x14ac:dyDescent="0.2">
      <c r="A1553" s="7" t="s">
        <v>5405</v>
      </c>
      <c r="B1553" s="10">
        <v>3327.9187500000003</v>
      </c>
      <c r="C1553" s="5">
        <f t="shared" si="49"/>
        <v>277.32656250000002</v>
      </c>
      <c r="D1553" s="9">
        <v>12</v>
      </c>
      <c r="E1553" s="10" t="s">
        <v>5193</v>
      </c>
      <c r="F1553" s="7" t="s">
        <v>5406</v>
      </c>
      <c r="G1553" s="7" t="s">
        <v>20</v>
      </c>
      <c r="H1553" s="7" t="s">
        <v>5406</v>
      </c>
      <c r="I1553" s="4" t="s">
        <v>22</v>
      </c>
      <c r="J1553" s="7" t="s">
        <v>1696</v>
      </c>
      <c r="K1553" s="7" t="s">
        <v>227</v>
      </c>
      <c r="L1553" s="4"/>
      <c r="M1553">
        <f t="shared" si="48"/>
        <v>249.59390625000003</v>
      </c>
      <c r="N1553" s="3"/>
      <c r="O1553" s="3"/>
      <c r="P1553" s="3"/>
      <c r="Q1553" s="2"/>
      <c r="R1553" s="2"/>
      <c r="S1553" s="2"/>
      <c r="T1553" s="2"/>
      <c r="U1553" s="2"/>
      <c r="V1553" s="2"/>
      <c r="W1553" s="2"/>
      <c r="X1553" s="2"/>
      <c r="Y1553" s="2"/>
    </row>
    <row r="1554" spans="1:25" ht="14" x14ac:dyDescent="0.2">
      <c r="A1554" s="4" t="s">
        <v>3540</v>
      </c>
      <c r="B1554" s="5">
        <v>9191.9334487500018</v>
      </c>
      <c r="C1554" s="5">
        <f t="shared" si="49"/>
        <v>328.28333745535718</v>
      </c>
      <c r="D1554" s="4">
        <v>28</v>
      </c>
      <c r="E1554" s="5" t="s">
        <v>10</v>
      </c>
      <c r="F1554" s="4" t="s">
        <v>3541</v>
      </c>
      <c r="G1554" s="4" t="s">
        <v>20</v>
      </c>
      <c r="H1554" s="4" t="s">
        <v>3541</v>
      </c>
      <c r="I1554" s="4" t="s">
        <v>22</v>
      </c>
      <c r="J1554" s="4" t="s">
        <v>140</v>
      </c>
      <c r="K1554" s="4" t="s">
        <v>53</v>
      </c>
      <c r="M1554">
        <f t="shared" si="48"/>
        <v>295.45500370982148</v>
      </c>
    </row>
    <row r="1555" spans="1:25" ht="14" x14ac:dyDescent="0.2">
      <c r="A1555" s="4" t="s">
        <v>5407</v>
      </c>
      <c r="B1555" s="5">
        <v>91961.488125000003</v>
      </c>
      <c r="C1555" s="5">
        <f t="shared" si="49"/>
        <v>4598.0744062499998</v>
      </c>
      <c r="D1555" s="4">
        <v>20</v>
      </c>
      <c r="E1555" s="5" t="s">
        <v>10</v>
      </c>
      <c r="F1555" s="4" t="s">
        <v>5408</v>
      </c>
      <c r="G1555" s="4" t="s">
        <v>12</v>
      </c>
      <c r="H1555" s="4" t="s">
        <v>5409</v>
      </c>
      <c r="I1555" s="4" t="s">
        <v>22</v>
      </c>
      <c r="J1555" s="4" t="s">
        <v>5410</v>
      </c>
      <c r="K1555" s="4" t="s">
        <v>312</v>
      </c>
      <c r="M1555">
        <f t="shared" si="48"/>
        <v>4138.266965625</v>
      </c>
    </row>
    <row r="1556" spans="1:25" ht="14" x14ac:dyDescent="0.2">
      <c r="A1556" s="4" t="s">
        <v>3542</v>
      </c>
      <c r="B1556" s="5">
        <v>1663.9593750000001</v>
      </c>
      <c r="C1556" s="5">
        <f t="shared" si="49"/>
        <v>1663.9593750000001</v>
      </c>
      <c r="D1556" s="4">
        <v>1</v>
      </c>
      <c r="E1556" s="5" t="s">
        <v>55</v>
      </c>
      <c r="F1556" s="4" t="s">
        <v>3542</v>
      </c>
      <c r="G1556" s="4" t="s">
        <v>20</v>
      </c>
      <c r="H1556" s="4" t="s">
        <v>3542</v>
      </c>
      <c r="I1556" s="4" t="s">
        <v>22</v>
      </c>
      <c r="J1556" s="4" t="s">
        <v>3543</v>
      </c>
      <c r="K1556" s="4" t="s">
        <v>53</v>
      </c>
      <c r="M1556">
        <f t="shared" si="48"/>
        <v>1497.5634375000002</v>
      </c>
    </row>
    <row r="1557" spans="1:25" ht="14" x14ac:dyDescent="0.2">
      <c r="A1557" s="4" t="s">
        <v>3544</v>
      </c>
      <c r="B1557" s="5">
        <v>7432.3518750000003</v>
      </c>
      <c r="C1557" s="5">
        <f t="shared" si="49"/>
        <v>7432.3518750000003</v>
      </c>
      <c r="D1557" s="4">
        <v>1</v>
      </c>
      <c r="E1557" s="5" t="s">
        <v>55</v>
      </c>
      <c r="F1557" s="4" t="s">
        <v>2249</v>
      </c>
      <c r="G1557" s="4" t="s">
        <v>20</v>
      </c>
      <c r="H1557" s="4" t="s">
        <v>3545</v>
      </c>
      <c r="I1557" s="4" t="s">
        <v>14</v>
      </c>
      <c r="J1557" s="6">
        <v>0.02</v>
      </c>
      <c r="K1557" s="4" t="s">
        <v>103</v>
      </c>
      <c r="M1557">
        <f t="shared" si="48"/>
        <v>6689.1166874999999</v>
      </c>
    </row>
    <row r="1558" spans="1:25" ht="14" x14ac:dyDescent="0.2">
      <c r="A1558" s="4" t="s">
        <v>3546</v>
      </c>
      <c r="B1558" s="5">
        <v>25292.182500000003</v>
      </c>
      <c r="C1558" s="5">
        <f t="shared" si="49"/>
        <v>25292.182500000003</v>
      </c>
      <c r="D1558" s="4">
        <v>1</v>
      </c>
      <c r="E1558" s="5" t="s">
        <v>25</v>
      </c>
      <c r="F1558" s="4" t="s">
        <v>2249</v>
      </c>
      <c r="G1558" s="4" t="s">
        <v>20</v>
      </c>
      <c r="H1558" s="4" t="s">
        <v>3547</v>
      </c>
      <c r="I1558" s="4" t="s">
        <v>14</v>
      </c>
      <c r="J1558" s="6">
        <v>0.01</v>
      </c>
      <c r="K1558" s="4" t="s">
        <v>23</v>
      </c>
      <c r="M1558">
        <f t="shared" si="48"/>
        <v>22762.964250000001</v>
      </c>
    </row>
    <row r="1559" spans="1:25" ht="14" x14ac:dyDescent="0.2">
      <c r="A1559" s="4" t="s">
        <v>3548</v>
      </c>
      <c r="B1559" s="5">
        <v>16639.59375</v>
      </c>
      <c r="C1559" s="5">
        <f t="shared" si="49"/>
        <v>554.65312500000005</v>
      </c>
      <c r="D1559" s="4">
        <v>30</v>
      </c>
      <c r="E1559" s="5" t="s">
        <v>10</v>
      </c>
      <c r="F1559" s="4" t="s">
        <v>2249</v>
      </c>
      <c r="G1559" s="4" t="s">
        <v>20</v>
      </c>
      <c r="H1559" s="4" t="s">
        <v>3545</v>
      </c>
      <c r="I1559" s="4" t="s">
        <v>14</v>
      </c>
      <c r="J1559" s="4" t="s">
        <v>95</v>
      </c>
      <c r="K1559" s="4" t="s">
        <v>103</v>
      </c>
      <c r="M1559">
        <f t="shared" si="48"/>
        <v>499.18781250000006</v>
      </c>
    </row>
    <row r="1560" spans="1:25" ht="14" x14ac:dyDescent="0.2">
      <c r="A1560" s="7" t="s">
        <v>5411</v>
      </c>
      <c r="B1560" s="10">
        <v>4326.2943750000004</v>
      </c>
      <c r="C1560" s="5">
        <f t="shared" si="49"/>
        <v>432.62943750000005</v>
      </c>
      <c r="D1560" s="9">
        <v>10</v>
      </c>
      <c r="E1560" s="10" t="s">
        <v>5193</v>
      </c>
      <c r="F1560" s="7" t="s">
        <v>5412</v>
      </c>
      <c r="G1560" s="7" t="s">
        <v>20</v>
      </c>
      <c r="H1560" s="7" t="s">
        <v>85</v>
      </c>
      <c r="I1560" s="4" t="s">
        <v>14</v>
      </c>
      <c r="J1560" s="7" t="s">
        <v>5209</v>
      </c>
      <c r="K1560" s="7" t="s">
        <v>87</v>
      </c>
      <c r="L1560" s="4"/>
      <c r="M1560">
        <f t="shared" si="48"/>
        <v>389.36649375000002</v>
      </c>
      <c r="N1560" s="3"/>
      <c r="O1560" s="3"/>
      <c r="P1560" s="3"/>
      <c r="Q1560" s="2"/>
      <c r="R1560" s="2"/>
      <c r="S1560" s="2"/>
      <c r="T1560" s="2"/>
      <c r="U1560" s="2"/>
      <c r="V1560" s="2"/>
      <c r="W1560" s="2"/>
      <c r="X1560" s="2"/>
      <c r="Y1560" s="2"/>
    </row>
    <row r="1561" spans="1:25" ht="14" x14ac:dyDescent="0.2">
      <c r="A1561" s="4" t="s">
        <v>3549</v>
      </c>
      <c r="B1561" s="5">
        <v>1663.9593750000001</v>
      </c>
      <c r="C1561" s="5">
        <f t="shared" si="49"/>
        <v>1663.9593750000001</v>
      </c>
      <c r="D1561" s="4">
        <v>1</v>
      </c>
      <c r="E1561" s="5" t="s">
        <v>186</v>
      </c>
      <c r="F1561" s="4" t="s">
        <v>3550</v>
      </c>
      <c r="G1561" s="4" t="s">
        <v>20</v>
      </c>
      <c r="H1561" s="4" t="s">
        <v>3550</v>
      </c>
      <c r="I1561" s="4" t="s">
        <v>22</v>
      </c>
      <c r="J1561" s="4" t="s">
        <v>1125</v>
      </c>
      <c r="K1561" s="4" t="s">
        <v>118</v>
      </c>
      <c r="M1561">
        <f t="shared" si="48"/>
        <v>1497.5634375000002</v>
      </c>
    </row>
    <row r="1562" spans="1:25" ht="14" x14ac:dyDescent="0.2">
      <c r="A1562" s="4" t="s">
        <v>3551</v>
      </c>
      <c r="B1562" s="5">
        <v>25514.043750000001</v>
      </c>
      <c r="C1562" s="5">
        <f t="shared" si="49"/>
        <v>850.46812499999999</v>
      </c>
      <c r="D1562" s="4">
        <v>30</v>
      </c>
      <c r="E1562" s="5" t="s">
        <v>10</v>
      </c>
      <c r="F1562" s="4" t="s">
        <v>3552</v>
      </c>
      <c r="G1562" s="4" t="s">
        <v>20</v>
      </c>
      <c r="H1562" s="4" t="s">
        <v>3552</v>
      </c>
      <c r="I1562" s="4" t="s">
        <v>22</v>
      </c>
      <c r="J1562" s="4" t="s">
        <v>200</v>
      </c>
      <c r="K1562" s="4" t="s">
        <v>155</v>
      </c>
      <c r="M1562">
        <f t="shared" si="48"/>
        <v>765.4213125</v>
      </c>
    </row>
    <row r="1563" spans="1:25" ht="14" x14ac:dyDescent="0.2">
      <c r="A1563" s="4" t="s">
        <v>3553</v>
      </c>
      <c r="B1563" s="5">
        <v>2385.0084375000001</v>
      </c>
      <c r="C1563" s="5">
        <f t="shared" si="49"/>
        <v>119.250421875</v>
      </c>
      <c r="D1563" s="4">
        <v>20</v>
      </c>
      <c r="E1563" s="5" t="s">
        <v>10</v>
      </c>
      <c r="F1563" s="4" t="s">
        <v>3554</v>
      </c>
      <c r="G1563" s="4" t="s">
        <v>20</v>
      </c>
      <c r="H1563" s="4" t="s">
        <v>3555</v>
      </c>
      <c r="I1563" s="4" t="s">
        <v>22</v>
      </c>
      <c r="J1563" s="4" t="s">
        <v>140</v>
      </c>
      <c r="K1563" s="4" t="s">
        <v>87</v>
      </c>
      <c r="M1563">
        <f t="shared" si="48"/>
        <v>107.3253796875</v>
      </c>
    </row>
    <row r="1564" spans="1:25" ht="14" x14ac:dyDescent="0.2">
      <c r="A1564" s="4" t="s">
        <v>3556</v>
      </c>
      <c r="B1564" s="5">
        <v>7210.4906250000004</v>
      </c>
      <c r="C1564" s="5">
        <f t="shared" si="49"/>
        <v>360.52453125</v>
      </c>
      <c r="D1564" s="4">
        <v>20</v>
      </c>
      <c r="E1564" s="5" t="s">
        <v>10</v>
      </c>
      <c r="F1564" s="4" t="s">
        <v>3557</v>
      </c>
      <c r="G1564" s="4" t="s">
        <v>20</v>
      </c>
      <c r="H1564" s="4" t="s">
        <v>3558</v>
      </c>
      <c r="I1564" s="4" t="s">
        <v>22</v>
      </c>
      <c r="J1564" s="4" t="s">
        <v>3559</v>
      </c>
      <c r="K1564" s="4" t="s">
        <v>87</v>
      </c>
      <c r="M1564">
        <f t="shared" si="48"/>
        <v>324.472078125</v>
      </c>
    </row>
    <row r="1565" spans="1:25" ht="14" x14ac:dyDescent="0.2">
      <c r="A1565" s="7" t="s">
        <v>5413</v>
      </c>
      <c r="B1565" s="10">
        <v>47700.168750000004</v>
      </c>
      <c r="C1565" s="5">
        <f t="shared" si="49"/>
        <v>3975.0140625000004</v>
      </c>
      <c r="D1565" s="9">
        <v>12</v>
      </c>
      <c r="E1565" s="10" t="s">
        <v>5185</v>
      </c>
      <c r="F1565" s="7" t="s">
        <v>5414</v>
      </c>
      <c r="G1565" s="7" t="s">
        <v>12</v>
      </c>
      <c r="H1565" s="7" t="s">
        <v>5414</v>
      </c>
      <c r="I1565" s="7" t="s">
        <v>22</v>
      </c>
      <c r="J1565" s="7" t="s">
        <v>1084</v>
      </c>
      <c r="K1565" s="7" t="s">
        <v>68</v>
      </c>
      <c r="L1565" s="4"/>
      <c r="M1565">
        <f t="shared" ref="M1565:M1628" si="50">C1565-(C1565* 10%)</f>
        <v>3577.5126562500004</v>
      </c>
      <c r="N1565" s="3"/>
      <c r="O1565" s="3"/>
      <c r="P1565" s="3"/>
      <c r="Q1565" s="2"/>
      <c r="R1565" s="2"/>
      <c r="S1565" s="2"/>
      <c r="T1565" s="2"/>
      <c r="U1565" s="2"/>
      <c r="V1565" s="2"/>
      <c r="W1565" s="2"/>
      <c r="X1565" s="2"/>
      <c r="Y1565" s="2"/>
    </row>
    <row r="1566" spans="1:25" ht="14" x14ac:dyDescent="0.2">
      <c r="A1566" s="4" t="s">
        <v>3560</v>
      </c>
      <c r="B1566" s="5">
        <v>6655.8375000000005</v>
      </c>
      <c r="C1566" s="5">
        <f t="shared" si="49"/>
        <v>1109.3062500000001</v>
      </c>
      <c r="D1566" s="4">
        <v>6</v>
      </c>
      <c r="E1566" s="5" t="s">
        <v>124</v>
      </c>
      <c r="F1566" s="4" t="s">
        <v>3561</v>
      </c>
      <c r="G1566" s="4" t="s">
        <v>20</v>
      </c>
      <c r="H1566" s="4" t="s">
        <v>3561</v>
      </c>
      <c r="I1566" s="4" t="s">
        <v>22</v>
      </c>
      <c r="J1566" s="4" t="s">
        <v>3562</v>
      </c>
      <c r="K1566" s="4" t="s">
        <v>1555</v>
      </c>
      <c r="M1566">
        <f t="shared" si="50"/>
        <v>998.37562500000013</v>
      </c>
    </row>
    <row r="1567" spans="1:25" ht="14" x14ac:dyDescent="0.2">
      <c r="A1567" s="4" t="s">
        <v>3563</v>
      </c>
      <c r="B1567" s="5">
        <v>10538.409375000001</v>
      </c>
      <c r="C1567" s="5">
        <f t="shared" si="49"/>
        <v>105.38409375000001</v>
      </c>
      <c r="D1567" s="4">
        <v>100</v>
      </c>
      <c r="E1567" s="5" t="s">
        <v>10</v>
      </c>
      <c r="F1567" s="4" t="s">
        <v>3564</v>
      </c>
      <c r="G1567" s="4" t="s">
        <v>12</v>
      </c>
      <c r="H1567" s="4" t="s">
        <v>3565</v>
      </c>
      <c r="I1567" s="4" t="s">
        <v>22</v>
      </c>
      <c r="J1567" s="4" t="s">
        <v>3319</v>
      </c>
      <c r="K1567" s="4" t="s">
        <v>90</v>
      </c>
      <c r="M1567">
        <f t="shared" si="50"/>
        <v>94.845684375000005</v>
      </c>
    </row>
    <row r="1568" spans="1:25" ht="14" x14ac:dyDescent="0.2">
      <c r="A1568" s="4" t="s">
        <v>3566</v>
      </c>
      <c r="B1568" s="5">
        <v>11814.1115625</v>
      </c>
      <c r="C1568" s="5">
        <f t="shared" si="49"/>
        <v>1181.41115625</v>
      </c>
      <c r="D1568" s="4">
        <v>10</v>
      </c>
      <c r="E1568" s="5" t="s">
        <v>10</v>
      </c>
      <c r="F1568" s="4" t="s">
        <v>323</v>
      </c>
      <c r="G1568" s="4" t="s">
        <v>12</v>
      </c>
      <c r="H1568" s="4" t="s">
        <v>3567</v>
      </c>
      <c r="I1568" s="4" t="s">
        <v>14</v>
      </c>
      <c r="J1568" s="4" t="s">
        <v>146</v>
      </c>
      <c r="K1568" s="4" t="s">
        <v>90</v>
      </c>
      <c r="M1568">
        <f t="shared" si="50"/>
        <v>1063.2700406250001</v>
      </c>
    </row>
    <row r="1569" spans="1:25" ht="14" x14ac:dyDescent="0.2">
      <c r="A1569" s="4" t="s">
        <v>3568</v>
      </c>
      <c r="B1569" s="5">
        <v>32169.881250000002</v>
      </c>
      <c r="C1569" s="5">
        <f t="shared" si="49"/>
        <v>1072.329375</v>
      </c>
      <c r="D1569" s="4">
        <v>30</v>
      </c>
      <c r="E1569" s="5" t="s">
        <v>10</v>
      </c>
      <c r="F1569" s="4" t="s">
        <v>323</v>
      </c>
      <c r="G1569" s="4" t="s">
        <v>12</v>
      </c>
      <c r="H1569" s="4" t="s">
        <v>3567</v>
      </c>
      <c r="I1569" s="4" t="s">
        <v>14</v>
      </c>
      <c r="J1569" s="4" t="s">
        <v>146</v>
      </c>
      <c r="K1569" s="4" t="s">
        <v>90</v>
      </c>
      <c r="M1569">
        <f t="shared" si="50"/>
        <v>965.09643749999998</v>
      </c>
    </row>
    <row r="1570" spans="1:25" ht="14" x14ac:dyDescent="0.2">
      <c r="A1570" s="4" t="s">
        <v>3569</v>
      </c>
      <c r="B1570" s="5">
        <v>7654.2131250000011</v>
      </c>
      <c r="C1570" s="5">
        <f t="shared" si="49"/>
        <v>765.42131250000011</v>
      </c>
      <c r="D1570" s="4">
        <v>10</v>
      </c>
      <c r="E1570" s="5" t="s">
        <v>10</v>
      </c>
      <c r="F1570" s="4" t="s">
        <v>323</v>
      </c>
      <c r="G1570" s="4" t="s">
        <v>12</v>
      </c>
      <c r="H1570" s="4" t="s">
        <v>3567</v>
      </c>
      <c r="I1570" s="4" t="s">
        <v>14</v>
      </c>
      <c r="J1570" s="4" t="s">
        <v>200</v>
      </c>
      <c r="K1570" s="4" t="s">
        <v>90</v>
      </c>
      <c r="M1570">
        <f t="shared" si="50"/>
        <v>688.8791812500001</v>
      </c>
    </row>
    <row r="1571" spans="1:25" ht="14" x14ac:dyDescent="0.2">
      <c r="A1571" s="4" t="s">
        <v>3570</v>
      </c>
      <c r="B1571" s="5">
        <v>8319.796875</v>
      </c>
      <c r="C1571" s="5">
        <f t="shared" si="49"/>
        <v>332.791875</v>
      </c>
      <c r="D1571" s="4">
        <v>25</v>
      </c>
      <c r="E1571" s="5" t="s">
        <v>10</v>
      </c>
      <c r="F1571" s="4" t="s">
        <v>3571</v>
      </c>
      <c r="G1571" s="4" t="s">
        <v>20</v>
      </c>
      <c r="H1571" s="4" t="s">
        <v>3572</v>
      </c>
      <c r="I1571" s="4" t="s">
        <v>22</v>
      </c>
      <c r="J1571" s="4" t="s">
        <v>2613</v>
      </c>
      <c r="K1571" s="4" t="s">
        <v>87</v>
      </c>
      <c r="M1571">
        <f t="shared" si="50"/>
        <v>299.51268750000003</v>
      </c>
    </row>
    <row r="1572" spans="1:25" ht="14" x14ac:dyDescent="0.2">
      <c r="A1572" s="4" t="s">
        <v>3573</v>
      </c>
      <c r="B1572" s="5">
        <v>16639.59375</v>
      </c>
      <c r="C1572" s="5">
        <f t="shared" si="49"/>
        <v>166.3959375</v>
      </c>
      <c r="D1572" s="4">
        <v>100</v>
      </c>
      <c r="E1572" s="5" t="s">
        <v>10</v>
      </c>
      <c r="F1572" s="4" t="s">
        <v>3574</v>
      </c>
      <c r="G1572" s="4" t="s">
        <v>20</v>
      </c>
      <c r="H1572" s="4" t="s">
        <v>3572</v>
      </c>
      <c r="I1572" s="4" t="s">
        <v>22</v>
      </c>
      <c r="J1572" s="4" t="s">
        <v>495</v>
      </c>
      <c r="K1572" s="4" t="s">
        <v>87</v>
      </c>
      <c r="M1572">
        <f t="shared" si="50"/>
        <v>149.75634375000001</v>
      </c>
    </row>
    <row r="1573" spans="1:25" ht="14" x14ac:dyDescent="0.2">
      <c r="A1573" s="4" t="s">
        <v>3575</v>
      </c>
      <c r="B1573" s="5">
        <v>1885.8206250000001</v>
      </c>
      <c r="C1573" s="5">
        <f t="shared" si="49"/>
        <v>1885.8206250000001</v>
      </c>
      <c r="D1573" s="4">
        <v>1</v>
      </c>
      <c r="E1573" s="5" t="s">
        <v>59</v>
      </c>
      <c r="F1573" s="4" t="s">
        <v>3576</v>
      </c>
      <c r="G1573" s="4" t="s">
        <v>20</v>
      </c>
      <c r="H1573" s="4" t="s">
        <v>3575</v>
      </c>
      <c r="I1573" s="4" t="s">
        <v>22</v>
      </c>
      <c r="J1573" s="4" t="s">
        <v>3577</v>
      </c>
      <c r="K1573" s="4" t="s">
        <v>87</v>
      </c>
      <c r="M1573">
        <f t="shared" si="50"/>
        <v>1697.2385625000002</v>
      </c>
    </row>
    <row r="1574" spans="1:25" ht="14" x14ac:dyDescent="0.2">
      <c r="A1574" s="4" t="s">
        <v>3578</v>
      </c>
      <c r="B1574" s="5">
        <v>1663.9593750000001</v>
      </c>
      <c r="C1574" s="5">
        <f t="shared" si="49"/>
        <v>1663.9593750000001</v>
      </c>
      <c r="D1574" s="4">
        <v>1</v>
      </c>
      <c r="E1574" s="5" t="s">
        <v>59</v>
      </c>
      <c r="F1574" s="4" t="s">
        <v>3579</v>
      </c>
      <c r="G1574" s="4" t="s">
        <v>20</v>
      </c>
      <c r="H1574" s="4" t="s">
        <v>3578</v>
      </c>
      <c r="I1574" s="4" t="s">
        <v>22</v>
      </c>
      <c r="J1574" s="4" t="s">
        <v>2315</v>
      </c>
      <c r="K1574" s="4" t="s">
        <v>118</v>
      </c>
      <c r="M1574">
        <f t="shared" si="50"/>
        <v>1497.5634375000002</v>
      </c>
    </row>
    <row r="1575" spans="1:25" ht="14" x14ac:dyDescent="0.2">
      <c r="A1575" s="4" t="s">
        <v>3580</v>
      </c>
      <c r="B1575" s="5">
        <v>27178.003125000003</v>
      </c>
      <c r="C1575" s="5">
        <f t="shared" si="49"/>
        <v>27178.003125000003</v>
      </c>
      <c r="D1575" s="4">
        <v>1</v>
      </c>
      <c r="E1575" s="5" t="s">
        <v>124</v>
      </c>
      <c r="F1575" s="4" t="s">
        <v>125</v>
      </c>
      <c r="G1575" s="4" t="s">
        <v>12</v>
      </c>
      <c r="H1575" s="4" t="s">
        <v>3581</v>
      </c>
      <c r="I1575" s="4" t="s">
        <v>14</v>
      </c>
      <c r="J1575" s="4" t="s">
        <v>127</v>
      </c>
      <c r="K1575" s="4" t="s">
        <v>16</v>
      </c>
      <c r="M1575">
        <f t="shared" si="50"/>
        <v>24460.202812500003</v>
      </c>
    </row>
    <row r="1576" spans="1:25" ht="14" x14ac:dyDescent="0.2">
      <c r="A1576" s="4" t="s">
        <v>3582</v>
      </c>
      <c r="B1576" s="5">
        <v>31504.297500000004</v>
      </c>
      <c r="C1576" s="5">
        <f t="shared" si="49"/>
        <v>31504.297500000004</v>
      </c>
      <c r="D1576" s="4">
        <v>1</v>
      </c>
      <c r="E1576" s="5" t="s">
        <v>124</v>
      </c>
      <c r="F1576" s="4" t="s">
        <v>3582</v>
      </c>
      <c r="G1576" s="4" t="s">
        <v>12</v>
      </c>
      <c r="H1576" s="4" t="s">
        <v>3582</v>
      </c>
      <c r="I1576" s="4" t="s">
        <v>14</v>
      </c>
      <c r="J1576" s="4" t="s">
        <v>127</v>
      </c>
      <c r="K1576" s="4" t="s">
        <v>16</v>
      </c>
      <c r="M1576">
        <f t="shared" si="50"/>
        <v>28353.867750000005</v>
      </c>
    </row>
    <row r="1577" spans="1:25" ht="14" x14ac:dyDescent="0.2">
      <c r="A1577" s="4" t="s">
        <v>3583</v>
      </c>
      <c r="B1577" s="5">
        <v>31504.297500000004</v>
      </c>
      <c r="C1577" s="5">
        <f t="shared" si="49"/>
        <v>31504.297500000004</v>
      </c>
      <c r="D1577" s="4">
        <v>1</v>
      </c>
      <c r="E1577" s="5" t="s">
        <v>124</v>
      </c>
      <c r="F1577" s="4" t="s">
        <v>3582</v>
      </c>
      <c r="G1577" s="4" t="s">
        <v>12</v>
      </c>
      <c r="H1577" s="4" t="s">
        <v>3582</v>
      </c>
      <c r="I1577" s="4" t="s">
        <v>14</v>
      </c>
      <c r="J1577" s="4" t="s">
        <v>127</v>
      </c>
      <c r="K1577" s="4" t="s">
        <v>16</v>
      </c>
      <c r="M1577">
        <f t="shared" si="50"/>
        <v>28353.867750000005</v>
      </c>
    </row>
    <row r="1578" spans="1:25" ht="14" x14ac:dyDescent="0.2">
      <c r="A1578" s="7" t="s">
        <v>5415</v>
      </c>
      <c r="B1578" s="10">
        <v>33833.840625000004</v>
      </c>
      <c r="C1578" s="5">
        <f t="shared" si="49"/>
        <v>33833.840625000004</v>
      </c>
      <c r="D1578" s="9">
        <v>1</v>
      </c>
      <c r="E1578" s="10" t="s">
        <v>5359</v>
      </c>
      <c r="F1578" s="7" t="s">
        <v>5416</v>
      </c>
      <c r="G1578" s="7" t="s">
        <v>12</v>
      </c>
      <c r="H1578" s="7" t="s">
        <v>5417</v>
      </c>
      <c r="J1578" s="7" t="s">
        <v>127</v>
      </c>
      <c r="K1578" s="7" t="s">
        <v>16</v>
      </c>
      <c r="L1578" s="4"/>
      <c r="M1578">
        <f t="shared" si="50"/>
        <v>30450.456562500003</v>
      </c>
      <c r="N1578" s="3"/>
      <c r="O1578" s="3"/>
      <c r="P1578" s="3"/>
      <c r="Q1578" s="2"/>
      <c r="R1578" s="2"/>
      <c r="S1578" s="2"/>
      <c r="T1578" s="2"/>
      <c r="U1578" s="2"/>
      <c r="V1578" s="2"/>
      <c r="W1578" s="2"/>
      <c r="X1578" s="2"/>
      <c r="Y1578" s="2"/>
    </row>
    <row r="1579" spans="1:25" ht="14" x14ac:dyDescent="0.2">
      <c r="A1579" s="4" t="s">
        <v>3584</v>
      </c>
      <c r="B1579" s="5">
        <v>277.32656250000002</v>
      </c>
      <c r="C1579" s="5">
        <f t="shared" si="49"/>
        <v>277.32656250000002</v>
      </c>
      <c r="D1579" s="4">
        <v>1</v>
      </c>
      <c r="E1579" s="5" t="s">
        <v>25</v>
      </c>
      <c r="F1579" s="4" t="s">
        <v>3585</v>
      </c>
      <c r="G1579" s="4" t="s">
        <v>12</v>
      </c>
      <c r="H1579" s="4" t="s">
        <v>3586</v>
      </c>
      <c r="I1579" s="4" t="s">
        <v>14</v>
      </c>
      <c r="J1579" s="4" t="s">
        <v>25</v>
      </c>
      <c r="K1579" s="4" t="s">
        <v>417</v>
      </c>
      <c r="M1579">
        <f t="shared" si="50"/>
        <v>249.59390625000003</v>
      </c>
    </row>
    <row r="1580" spans="1:25" ht="14" x14ac:dyDescent="0.2">
      <c r="A1580" s="7" t="s">
        <v>5418</v>
      </c>
      <c r="B1580" s="10">
        <v>13866.328125000002</v>
      </c>
      <c r="C1580" s="5">
        <f t="shared" si="49"/>
        <v>138.66328125000001</v>
      </c>
      <c r="D1580" s="9">
        <v>100</v>
      </c>
      <c r="E1580" s="10" t="s">
        <v>5189</v>
      </c>
      <c r="F1580" s="7" t="s">
        <v>5419</v>
      </c>
      <c r="G1580" s="7" t="s">
        <v>20</v>
      </c>
      <c r="H1580" s="16" t="s">
        <v>5420</v>
      </c>
      <c r="I1580" s="16"/>
      <c r="J1580" s="7" t="s">
        <v>5421</v>
      </c>
      <c r="K1580" s="7" t="s">
        <v>34</v>
      </c>
      <c r="L1580" s="4"/>
      <c r="M1580">
        <f t="shared" si="50"/>
        <v>124.79695312500002</v>
      </c>
      <c r="N1580" s="3"/>
      <c r="O1580" s="3"/>
      <c r="P1580" s="3"/>
      <c r="Q1580" s="2"/>
      <c r="R1580" s="2"/>
      <c r="S1580" s="2"/>
      <c r="T1580" s="2"/>
      <c r="U1580" s="2"/>
      <c r="V1580" s="2"/>
      <c r="W1580" s="2"/>
      <c r="X1580" s="2"/>
      <c r="Y1580" s="2"/>
    </row>
    <row r="1581" spans="1:25" ht="14" x14ac:dyDescent="0.2">
      <c r="A1581" s="7" t="s">
        <v>5422</v>
      </c>
      <c r="B1581" s="10">
        <v>13866.328125000002</v>
      </c>
      <c r="C1581" s="5">
        <f t="shared" si="49"/>
        <v>462.21093750000006</v>
      </c>
      <c r="D1581" s="9">
        <v>30</v>
      </c>
      <c r="E1581" s="10" t="s">
        <v>5189</v>
      </c>
      <c r="F1581" s="7" t="s">
        <v>5423</v>
      </c>
      <c r="H1581" s="7" t="s">
        <v>5423</v>
      </c>
      <c r="I1581" s="7" t="s">
        <v>22</v>
      </c>
      <c r="J1581" s="7" t="s">
        <v>5179</v>
      </c>
      <c r="K1581" s="7" t="s">
        <v>87</v>
      </c>
      <c r="M1581">
        <f t="shared" si="50"/>
        <v>415.98984375000003</v>
      </c>
    </row>
    <row r="1582" spans="1:25" ht="14" x14ac:dyDescent="0.2">
      <c r="A1582" s="4" t="s">
        <v>3587</v>
      </c>
      <c r="B1582" s="5">
        <v>8319.796875</v>
      </c>
      <c r="C1582" s="5">
        <f t="shared" si="49"/>
        <v>693.31640625</v>
      </c>
      <c r="D1582" s="4">
        <v>12</v>
      </c>
      <c r="E1582" s="5" t="s">
        <v>10</v>
      </c>
      <c r="F1582" s="4" t="s">
        <v>182</v>
      </c>
      <c r="G1582" s="4" t="s">
        <v>20</v>
      </c>
      <c r="H1582" s="4" t="s">
        <v>3588</v>
      </c>
      <c r="I1582" s="4" t="s">
        <v>14</v>
      </c>
      <c r="J1582" s="4" t="s">
        <v>52</v>
      </c>
      <c r="K1582" s="4" t="s">
        <v>87</v>
      </c>
      <c r="M1582">
        <f t="shared" si="50"/>
        <v>623.98476562500002</v>
      </c>
    </row>
    <row r="1583" spans="1:25" ht="14" x14ac:dyDescent="0.2">
      <c r="A1583" s="4" t="s">
        <v>3589</v>
      </c>
      <c r="B1583" s="5">
        <v>8763.5193750000017</v>
      </c>
      <c r="C1583" s="5">
        <f t="shared" si="49"/>
        <v>730.29328125000018</v>
      </c>
      <c r="D1583" s="4">
        <v>12</v>
      </c>
      <c r="E1583" s="5" t="s">
        <v>10</v>
      </c>
      <c r="F1583" s="4" t="s">
        <v>182</v>
      </c>
      <c r="G1583" s="4" t="s">
        <v>20</v>
      </c>
      <c r="H1583" s="4" t="s">
        <v>3588</v>
      </c>
      <c r="I1583" s="4" t="s">
        <v>14</v>
      </c>
      <c r="J1583" s="4" t="s">
        <v>52</v>
      </c>
      <c r="K1583" s="4" t="s">
        <v>87</v>
      </c>
      <c r="M1583">
        <f t="shared" si="50"/>
        <v>657.26395312500017</v>
      </c>
    </row>
    <row r="1584" spans="1:25" ht="14" x14ac:dyDescent="0.2">
      <c r="A1584" s="7" t="s">
        <v>5424</v>
      </c>
      <c r="B1584" s="10">
        <v>5546.5312500000009</v>
      </c>
      <c r="C1584" s="5">
        <f t="shared" si="49"/>
        <v>5546.5312500000009</v>
      </c>
      <c r="D1584" s="9">
        <v>1</v>
      </c>
      <c r="E1584" s="10" t="s">
        <v>5425</v>
      </c>
      <c r="F1584" s="7" t="s">
        <v>3591</v>
      </c>
      <c r="G1584" s="7" t="s">
        <v>20</v>
      </c>
      <c r="H1584" s="7" t="s">
        <v>3591</v>
      </c>
      <c r="J1584" s="7" t="s">
        <v>5426</v>
      </c>
      <c r="K1584" s="7" t="s">
        <v>103</v>
      </c>
      <c r="L1584" s="4"/>
      <c r="M1584">
        <f t="shared" si="50"/>
        <v>4991.8781250000011</v>
      </c>
      <c r="N1584" s="3"/>
      <c r="O1584" s="3"/>
      <c r="P1584" s="3"/>
      <c r="Q1584" s="2"/>
      <c r="R1584" s="2"/>
      <c r="S1584" s="2"/>
      <c r="T1584" s="2"/>
      <c r="U1584" s="2"/>
      <c r="V1584" s="2"/>
      <c r="W1584" s="2"/>
      <c r="X1584" s="2"/>
      <c r="Y1584" s="2"/>
    </row>
    <row r="1585" spans="1:25" ht="14" x14ac:dyDescent="0.2">
      <c r="A1585" s="4" t="s">
        <v>3590</v>
      </c>
      <c r="B1585" s="5">
        <v>3882.5718750000005</v>
      </c>
      <c r="C1585" s="5">
        <f t="shared" si="49"/>
        <v>388.25718750000004</v>
      </c>
      <c r="D1585" s="4">
        <v>10</v>
      </c>
      <c r="E1585" s="5" t="s">
        <v>10</v>
      </c>
      <c r="F1585" s="4" t="s">
        <v>3591</v>
      </c>
      <c r="G1585" s="4" t="s">
        <v>20</v>
      </c>
      <c r="H1585" s="4" t="s">
        <v>3591</v>
      </c>
      <c r="I1585" s="4" t="s">
        <v>22</v>
      </c>
      <c r="J1585" s="4" t="s">
        <v>3592</v>
      </c>
      <c r="K1585" s="4" t="s">
        <v>103</v>
      </c>
      <c r="M1585">
        <f t="shared" si="50"/>
        <v>349.43146875000002</v>
      </c>
    </row>
    <row r="1586" spans="1:25" ht="14" x14ac:dyDescent="0.2">
      <c r="A1586" s="4" t="s">
        <v>3593</v>
      </c>
      <c r="B1586" s="5">
        <v>4215.3637500000004</v>
      </c>
      <c r="C1586" s="5">
        <f t="shared" si="49"/>
        <v>4215.3637500000004</v>
      </c>
      <c r="D1586" s="4">
        <v>1</v>
      </c>
      <c r="E1586" s="5" t="s">
        <v>181</v>
      </c>
      <c r="F1586" s="4" t="s">
        <v>3591</v>
      </c>
      <c r="G1586" s="4" t="s">
        <v>20</v>
      </c>
      <c r="H1586" s="4" t="s">
        <v>3594</v>
      </c>
      <c r="I1586" s="4" t="s">
        <v>22</v>
      </c>
      <c r="J1586" s="4" t="s">
        <v>3595</v>
      </c>
      <c r="K1586" s="4" t="s">
        <v>103</v>
      </c>
      <c r="M1586">
        <f t="shared" si="50"/>
        <v>3793.8273750000003</v>
      </c>
    </row>
    <row r="1587" spans="1:25" ht="14" x14ac:dyDescent="0.2">
      <c r="A1587" s="4" t="s">
        <v>3596</v>
      </c>
      <c r="B1587" s="5">
        <v>9429.1031250000015</v>
      </c>
      <c r="C1587" s="5">
        <f t="shared" si="49"/>
        <v>673.50736607142869</v>
      </c>
      <c r="D1587" s="4">
        <v>14</v>
      </c>
      <c r="E1587" s="5" t="s">
        <v>10</v>
      </c>
      <c r="F1587" s="4" t="s">
        <v>3597</v>
      </c>
      <c r="G1587" s="4" t="s">
        <v>20</v>
      </c>
      <c r="H1587" s="4" t="s">
        <v>3597</v>
      </c>
      <c r="I1587" s="4" t="s">
        <v>22</v>
      </c>
      <c r="J1587" s="4" t="s">
        <v>3595</v>
      </c>
      <c r="K1587" s="4" t="s">
        <v>103</v>
      </c>
      <c r="M1587">
        <f t="shared" si="50"/>
        <v>606.15662946428586</v>
      </c>
    </row>
    <row r="1588" spans="1:25" ht="14" x14ac:dyDescent="0.2">
      <c r="A1588" s="4" t="s">
        <v>3598</v>
      </c>
      <c r="B1588" s="5">
        <v>4165.44496875</v>
      </c>
      <c r="C1588" s="5">
        <f t="shared" si="49"/>
        <v>208.2722484375</v>
      </c>
      <c r="D1588" s="4">
        <v>20</v>
      </c>
      <c r="E1588" s="5" t="s">
        <v>10</v>
      </c>
      <c r="F1588" s="4" t="s">
        <v>3599</v>
      </c>
      <c r="G1588" s="4" t="s">
        <v>20</v>
      </c>
      <c r="H1588" s="4" t="s">
        <v>3600</v>
      </c>
      <c r="I1588" s="4" t="s">
        <v>22</v>
      </c>
      <c r="J1588" s="4" t="s">
        <v>15</v>
      </c>
      <c r="K1588" s="4" t="s">
        <v>227</v>
      </c>
      <c r="M1588">
        <f t="shared" si="50"/>
        <v>187.44502359374999</v>
      </c>
    </row>
    <row r="1589" spans="1:25" ht="14" x14ac:dyDescent="0.2">
      <c r="A1589" s="4" t="s">
        <v>3601</v>
      </c>
      <c r="B1589" s="5">
        <v>6433.9762500000006</v>
      </c>
      <c r="C1589" s="5">
        <f t="shared" si="49"/>
        <v>643.39762500000006</v>
      </c>
      <c r="D1589" s="4">
        <v>10</v>
      </c>
      <c r="E1589" s="5" t="s">
        <v>10</v>
      </c>
      <c r="F1589" s="4" t="s">
        <v>840</v>
      </c>
      <c r="G1589" s="4" t="s">
        <v>20</v>
      </c>
      <c r="H1589" s="4" t="s">
        <v>3602</v>
      </c>
      <c r="I1589" s="4" t="s">
        <v>22</v>
      </c>
      <c r="J1589" s="4" t="s">
        <v>95</v>
      </c>
      <c r="K1589" s="4" t="s">
        <v>53</v>
      </c>
      <c r="M1589">
        <f t="shared" si="50"/>
        <v>579.05786250000006</v>
      </c>
    </row>
    <row r="1590" spans="1:25" ht="14" x14ac:dyDescent="0.2">
      <c r="A1590" s="4" t="s">
        <v>3603</v>
      </c>
      <c r="B1590" s="5">
        <v>9872.8256250000013</v>
      </c>
      <c r="C1590" s="5">
        <f t="shared" si="49"/>
        <v>987.28256250000015</v>
      </c>
      <c r="D1590" s="4">
        <v>10</v>
      </c>
      <c r="E1590" s="5" t="s">
        <v>10</v>
      </c>
      <c r="F1590" s="4" t="s">
        <v>840</v>
      </c>
      <c r="G1590" s="4" t="s">
        <v>20</v>
      </c>
      <c r="H1590" s="4" t="s">
        <v>3602</v>
      </c>
      <c r="I1590" s="4" t="s">
        <v>22</v>
      </c>
      <c r="J1590" s="4" t="s">
        <v>52</v>
      </c>
      <c r="K1590" s="4" t="s">
        <v>53</v>
      </c>
      <c r="M1590">
        <f t="shared" si="50"/>
        <v>888.55430625000008</v>
      </c>
    </row>
    <row r="1591" spans="1:25" ht="14" x14ac:dyDescent="0.2">
      <c r="A1591" s="4" t="s">
        <v>3604</v>
      </c>
      <c r="B1591" s="5">
        <v>8319.796875</v>
      </c>
      <c r="C1591" s="5">
        <f t="shared" si="49"/>
        <v>8319.796875</v>
      </c>
      <c r="D1591" s="4">
        <v>1</v>
      </c>
      <c r="E1591" s="5" t="s">
        <v>181</v>
      </c>
      <c r="F1591" s="4" t="s">
        <v>840</v>
      </c>
      <c r="G1591" s="4" t="s">
        <v>20</v>
      </c>
      <c r="H1591" s="4" t="s">
        <v>3605</v>
      </c>
      <c r="I1591" s="4" t="s">
        <v>22</v>
      </c>
      <c r="J1591" s="4" t="s">
        <v>1848</v>
      </c>
      <c r="K1591" s="4" t="s">
        <v>53</v>
      </c>
      <c r="M1591">
        <f t="shared" si="50"/>
        <v>7487.8171874999998</v>
      </c>
    </row>
    <row r="1592" spans="1:25" ht="14" x14ac:dyDescent="0.2">
      <c r="A1592" s="4" t="s">
        <v>3606</v>
      </c>
      <c r="B1592" s="5">
        <v>6766.7681250000005</v>
      </c>
      <c r="C1592" s="5">
        <f t="shared" si="49"/>
        <v>6766.7681250000005</v>
      </c>
      <c r="D1592" s="4">
        <v>1</v>
      </c>
      <c r="E1592" s="5" t="s">
        <v>181</v>
      </c>
      <c r="F1592" s="4" t="s">
        <v>840</v>
      </c>
      <c r="G1592" s="4" t="s">
        <v>20</v>
      </c>
      <c r="H1592" s="4" t="s">
        <v>3607</v>
      </c>
      <c r="I1592" s="4" t="s">
        <v>22</v>
      </c>
      <c r="J1592" s="4" t="s">
        <v>1848</v>
      </c>
      <c r="K1592" s="4" t="s">
        <v>53</v>
      </c>
      <c r="M1592">
        <f t="shared" si="50"/>
        <v>6090.0913125000006</v>
      </c>
    </row>
    <row r="1593" spans="1:25" ht="14" x14ac:dyDescent="0.2">
      <c r="A1593" s="4" t="s">
        <v>3608</v>
      </c>
      <c r="B1593" s="5">
        <v>3216.9881250000003</v>
      </c>
      <c r="C1593" s="5">
        <f t="shared" si="49"/>
        <v>3216.9881250000003</v>
      </c>
      <c r="D1593" s="4">
        <v>1</v>
      </c>
      <c r="E1593" s="5" t="s">
        <v>124</v>
      </c>
      <c r="F1593" s="4" t="s">
        <v>694</v>
      </c>
      <c r="G1593" s="4" t="s">
        <v>20</v>
      </c>
      <c r="H1593" s="4" t="s">
        <v>3609</v>
      </c>
      <c r="I1593" s="4" t="s">
        <v>22</v>
      </c>
      <c r="J1593" s="4" t="s">
        <v>696</v>
      </c>
      <c r="K1593" s="4" t="s">
        <v>53</v>
      </c>
      <c r="M1593">
        <f t="shared" si="50"/>
        <v>2895.2893125000001</v>
      </c>
    </row>
    <row r="1594" spans="1:25" ht="14" x14ac:dyDescent="0.2">
      <c r="A1594" s="4" t="s">
        <v>3610</v>
      </c>
      <c r="B1594" s="5">
        <v>3882.5718750000005</v>
      </c>
      <c r="C1594" s="5">
        <f t="shared" si="49"/>
        <v>388.25718750000004</v>
      </c>
      <c r="D1594" s="4">
        <v>10</v>
      </c>
      <c r="E1594" s="5" t="s">
        <v>10</v>
      </c>
      <c r="F1594" s="4" t="s">
        <v>1110</v>
      </c>
      <c r="G1594" s="4" t="s">
        <v>20</v>
      </c>
      <c r="H1594" s="4" t="s">
        <v>3611</v>
      </c>
      <c r="I1594" s="4" t="s">
        <v>22</v>
      </c>
      <c r="J1594" s="4" t="s">
        <v>207</v>
      </c>
      <c r="K1594" s="4" t="s">
        <v>53</v>
      </c>
      <c r="M1594">
        <f t="shared" si="50"/>
        <v>349.43146875000002</v>
      </c>
    </row>
    <row r="1595" spans="1:25" ht="14" x14ac:dyDescent="0.2">
      <c r="A1595" s="4" t="s">
        <v>3612</v>
      </c>
      <c r="B1595" s="5">
        <v>4991.8781250000002</v>
      </c>
      <c r="C1595" s="5">
        <f t="shared" si="49"/>
        <v>4991.8781250000002</v>
      </c>
      <c r="D1595" s="4">
        <v>1</v>
      </c>
      <c r="E1595" s="5" t="s">
        <v>175</v>
      </c>
      <c r="F1595" s="4" t="s">
        <v>1604</v>
      </c>
      <c r="G1595" s="4" t="s">
        <v>20</v>
      </c>
      <c r="H1595" s="4" t="s">
        <v>3613</v>
      </c>
      <c r="I1595" s="4" t="s">
        <v>22</v>
      </c>
      <c r="J1595" s="8">
        <v>1E-3</v>
      </c>
      <c r="K1595" s="4" t="s">
        <v>23</v>
      </c>
      <c r="M1595">
        <f t="shared" si="50"/>
        <v>4492.6903124999999</v>
      </c>
    </row>
    <row r="1596" spans="1:25" ht="14" x14ac:dyDescent="0.2">
      <c r="A1596" s="4" t="s">
        <v>3614</v>
      </c>
      <c r="B1596" s="5">
        <v>4193.1776250000003</v>
      </c>
      <c r="C1596" s="5">
        <f t="shared" si="49"/>
        <v>4193.1776250000003</v>
      </c>
      <c r="D1596" s="4">
        <v>1</v>
      </c>
      <c r="E1596" s="5" t="s">
        <v>175</v>
      </c>
      <c r="F1596" s="4" t="s">
        <v>3615</v>
      </c>
      <c r="G1596" s="4" t="s">
        <v>20</v>
      </c>
      <c r="H1596" s="4" t="s">
        <v>3616</v>
      </c>
      <c r="I1596" s="4" t="s">
        <v>22</v>
      </c>
      <c r="J1596" s="4" t="s">
        <v>3617</v>
      </c>
      <c r="K1596" s="4" t="s">
        <v>23</v>
      </c>
      <c r="M1596">
        <f t="shared" si="50"/>
        <v>3773.8598625000004</v>
      </c>
    </row>
    <row r="1597" spans="1:25" ht="14" x14ac:dyDescent="0.2">
      <c r="A1597" s="4" t="s">
        <v>3618</v>
      </c>
      <c r="B1597" s="5">
        <v>39347.092687500008</v>
      </c>
      <c r="C1597" s="5">
        <f t="shared" si="49"/>
        <v>655.78487812500009</v>
      </c>
      <c r="D1597" s="4">
        <v>60</v>
      </c>
      <c r="E1597" s="5" t="s">
        <v>973</v>
      </c>
      <c r="F1597" s="4" t="s">
        <v>3618</v>
      </c>
      <c r="G1597" s="4" t="s">
        <v>20</v>
      </c>
      <c r="H1597" s="4" t="s">
        <v>3618</v>
      </c>
      <c r="I1597" s="4" t="s">
        <v>14</v>
      </c>
      <c r="J1597" s="4" t="s">
        <v>25</v>
      </c>
      <c r="K1597" s="4" t="s">
        <v>34</v>
      </c>
      <c r="M1597">
        <f t="shared" si="50"/>
        <v>590.20639031250005</v>
      </c>
    </row>
    <row r="1598" spans="1:25" ht="14" x14ac:dyDescent="0.2">
      <c r="A1598" s="7" t="s">
        <v>5427</v>
      </c>
      <c r="B1598" s="10">
        <v>13866.328125000002</v>
      </c>
      <c r="C1598" s="5">
        <f t="shared" si="49"/>
        <v>462.21093750000006</v>
      </c>
      <c r="D1598" s="9">
        <v>30</v>
      </c>
      <c r="E1598" s="10" t="s">
        <v>5193</v>
      </c>
      <c r="F1598" s="7" t="s">
        <v>330</v>
      </c>
      <c r="G1598" s="7" t="s">
        <v>20</v>
      </c>
      <c r="H1598" s="7" t="s">
        <v>5428</v>
      </c>
      <c r="J1598" s="7" t="s">
        <v>328</v>
      </c>
      <c r="K1598" s="7" t="s">
        <v>90</v>
      </c>
      <c r="L1598" s="4"/>
      <c r="M1598">
        <f t="shared" si="50"/>
        <v>415.98984375000003</v>
      </c>
      <c r="N1598" s="3"/>
      <c r="O1598" s="3"/>
      <c r="P1598" s="3"/>
      <c r="Q1598" s="2"/>
      <c r="R1598" s="2"/>
      <c r="S1598" s="2"/>
      <c r="T1598" s="2"/>
      <c r="U1598" s="2"/>
      <c r="V1598" s="2"/>
      <c r="W1598" s="2"/>
      <c r="X1598" s="2"/>
      <c r="Y1598" s="2"/>
    </row>
    <row r="1599" spans="1:25" ht="14" x14ac:dyDescent="0.2">
      <c r="A1599" s="7" t="s">
        <v>5429</v>
      </c>
      <c r="B1599" s="10">
        <v>21631.471875000003</v>
      </c>
      <c r="C1599" s="5">
        <f t="shared" si="49"/>
        <v>21631.471875000003</v>
      </c>
      <c r="D1599" s="9">
        <v>1</v>
      </c>
      <c r="E1599" s="10" t="s">
        <v>5176</v>
      </c>
      <c r="F1599" s="7" t="s">
        <v>5430</v>
      </c>
      <c r="G1599" s="7" t="s">
        <v>12</v>
      </c>
      <c r="H1599" s="7" t="s">
        <v>5430</v>
      </c>
      <c r="J1599" s="7" t="s">
        <v>25</v>
      </c>
      <c r="K1599" s="7" t="s">
        <v>23</v>
      </c>
      <c r="L1599" s="4"/>
      <c r="M1599">
        <f t="shared" si="50"/>
        <v>19468.324687500004</v>
      </c>
      <c r="N1599" s="3"/>
      <c r="O1599" s="3"/>
      <c r="P1599" s="3"/>
      <c r="Q1599" s="2"/>
      <c r="R1599" s="2"/>
      <c r="S1599" s="2"/>
      <c r="T1599" s="2"/>
      <c r="U1599" s="2"/>
      <c r="V1599" s="2"/>
      <c r="W1599" s="2"/>
      <c r="X1599" s="2"/>
      <c r="Y1599" s="2"/>
    </row>
    <row r="1600" spans="1:25" ht="14" x14ac:dyDescent="0.2">
      <c r="A1600" s="4" t="s">
        <v>3619</v>
      </c>
      <c r="B1600" s="5">
        <v>4437.2250000000004</v>
      </c>
      <c r="C1600" s="5">
        <f t="shared" si="49"/>
        <v>443.72250000000003</v>
      </c>
      <c r="D1600" s="4">
        <v>10</v>
      </c>
      <c r="E1600" s="5" t="s">
        <v>10</v>
      </c>
      <c r="F1600" s="4" t="s">
        <v>3620</v>
      </c>
      <c r="G1600" s="4" t="s">
        <v>20</v>
      </c>
      <c r="H1600" s="4" t="s">
        <v>3621</v>
      </c>
      <c r="I1600" s="4" t="s">
        <v>22</v>
      </c>
      <c r="J1600" s="4" t="s">
        <v>95</v>
      </c>
      <c r="K1600" s="4" t="s">
        <v>53</v>
      </c>
      <c r="M1600">
        <f t="shared" si="50"/>
        <v>399.35025000000002</v>
      </c>
    </row>
    <row r="1601" spans="1:13" ht="14" x14ac:dyDescent="0.2">
      <c r="A1601" s="4" t="s">
        <v>3622</v>
      </c>
      <c r="B1601" s="5">
        <v>4326.2943750000004</v>
      </c>
      <c r="C1601" s="5">
        <f t="shared" si="49"/>
        <v>309.0210267857143</v>
      </c>
      <c r="D1601" s="4">
        <v>14</v>
      </c>
      <c r="E1601" s="5" t="s">
        <v>10</v>
      </c>
      <c r="F1601" s="4" t="s">
        <v>3622</v>
      </c>
      <c r="G1601" s="4" t="s">
        <v>20</v>
      </c>
      <c r="H1601" s="4" t="s">
        <v>3622</v>
      </c>
      <c r="I1601" s="4" t="s">
        <v>22</v>
      </c>
      <c r="J1601" s="4" t="s">
        <v>1084</v>
      </c>
      <c r="K1601" s="4" t="s">
        <v>53</v>
      </c>
      <c r="M1601">
        <f t="shared" si="50"/>
        <v>278.11892410714285</v>
      </c>
    </row>
    <row r="1602" spans="1:13" ht="14" x14ac:dyDescent="0.2">
      <c r="A1602" s="4" t="s">
        <v>3623</v>
      </c>
      <c r="B1602" s="5">
        <v>4991.8781250000002</v>
      </c>
      <c r="C1602" s="5">
        <f t="shared" si="49"/>
        <v>499.18781250000001</v>
      </c>
      <c r="D1602" s="4">
        <v>10</v>
      </c>
      <c r="E1602" s="5" t="s">
        <v>10</v>
      </c>
      <c r="F1602" s="4" t="s">
        <v>3623</v>
      </c>
      <c r="G1602" s="4" t="s">
        <v>20</v>
      </c>
      <c r="H1602" s="4" t="s">
        <v>3623</v>
      </c>
      <c r="I1602" s="4" t="s">
        <v>22</v>
      </c>
      <c r="J1602" s="4" t="s">
        <v>2578</v>
      </c>
      <c r="K1602" s="4" t="s">
        <v>53</v>
      </c>
      <c r="M1602">
        <f t="shared" si="50"/>
        <v>449.26903125000001</v>
      </c>
    </row>
    <row r="1603" spans="1:13" ht="14" x14ac:dyDescent="0.2">
      <c r="A1603" s="4" t="s">
        <v>3624</v>
      </c>
      <c r="B1603" s="5">
        <v>2773.2656250000005</v>
      </c>
      <c r="C1603" s="5">
        <f t="shared" ref="C1603:C1666" si="51">(B1603/D1603)</f>
        <v>2773.2656250000005</v>
      </c>
      <c r="D1603" s="4">
        <v>1</v>
      </c>
      <c r="E1603" s="5" t="s">
        <v>3625</v>
      </c>
      <c r="F1603" s="4" t="s">
        <v>3624</v>
      </c>
      <c r="G1603" s="4" t="s">
        <v>20</v>
      </c>
      <c r="H1603" s="4" t="s">
        <v>3626</v>
      </c>
      <c r="I1603" s="4" t="s">
        <v>22</v>
      </c>
      <c r="J1603" s="4" t="s">
        <v>25</v>
      </c>
      <c r="K1603" s="4" t="s">
        <v>244</v>
      </c>
      <c r="M1603">
        <f t="shared" si="50"/>
        <v>2495.9390625000005</v>
      </c>
    </row>
    <row r="1604" spans="1:13" ht="14" x14ac:dyDescent="0.2">
      <c r="A1604" s="4" t="s">
        <v>3627</v>
      </c>
      <c r="B1604" s="5">
        <v>7210.4906250000004</v>
      </c>
      <c r="C1604" s="5">
        <f t="shared" si="51"/>
        <v>721.04906249999999</v>
      </c>
      <c r="D1604" s="4">
        <v>10</v>
      </c>
      <c r="E1604" s="5" t="s">
        <v>10</v>
      </c>
      <c r="F1604" s="4" t="s">
        <v>1745</v>
      </c>
      <c r="G1604" s="4" t="s">
        <v>20</v>
      </c>
      <c r="H1604" s="4" t="s">
        <v>3628</v>
      </c>
      <c r="I1604" s="4" t="s">
        <v>22</v>
      </c>
      <c r="J1604" s="4" t="s">
        <v>95</v>
      </c>
      <c r="K1604" s="4" t="s">
        <v>53</v>
      </c>
      <c r="M1604">
        <f t="shared" si="50"/>
        <v>648.94415624999999</v>
      </c>
    </row>
    <row r="1605" spans="1:13" ht="14" x14ac:dyDescent="0.2">
      <c r="A1605" s="4" t="s">
        <v>3629</v>
      </c>
      <c r="B1605" s="5">
        <v>10205.6175</v>
      </c>
      <c r="C1605" s="5">
        <f t="shared" si="51"/>
        <v>364.48633928571428</v>
      </c>
      <c r="D1605" s="4">
        <v>28</v>
      </c>
      <c r="E1605" s="5" t="s">
        <v>10</v>
      </c>
      <c r="F1605" s="4" t="s">
        <v>3630</v>
      </c>
      <c r="G1605" s="4" t="s">
        <v>12</v>
      </c>
      <c r="H1605" s="4" t="s">
        <v>3631</v>
      </c>
      <c r="I1605" s="4" t="s">
        <v>22</v>
      </c>
      <c r="J1605" s="4" t="s">
        <v>146</v>
      </c>
      <c r="K1605" s="4" t="s">
        <v>227</v>
      </c>
      <c r="M1605">
        <f t="shared" si="50"/>
        <v>328.03770535714284</v>
      </c>
    </row>
    <row r="1606" spans="1:13" ht="14" x14ac:dyDescent="0.2">
      <c r="A1606" s="4" t="s">
        <v>3632</v>
      </c>
      <c r="B1606" s="5">
        <v>9429.1031250000015</v>
      </c>
      <c r="C1606" s="5">
        <f t="shared" si="51"/>
        <v>336.75368303571435</v>
      </c>
      <c r="D1606" s="4">
        <v>28</v>
      </c>
      <c r="E1606" s="5" t="s">
        <v>10</v>
      </c>
      <c r="F1606" s="4" t="s">
        <v>3630</v>
      </c>
      <c r="G1606" s="4" t="s">
        <v>12</v>
      </c>
      <c r="H1606" s="4" t="s">
        <v>3633</v>
      </c>
      <c r="I1606" s="4" t="s">
        <v>22</v>
      </c>
      <c r="J1606" s="4" t="s">
        <v>200</v>
      </c>
      <c r="K1606" s="4" t="s">
        <v>227</v>
      </c>
      <c r="M1606">
        <f t="shared" si="50"/>
        <v>303.07831473214293</v>
      </c>
    </row>
    <row r="1607" spans="1:13" ht="14" x14ac:dyDescent="0.2">
      <c r="A1607" s="4" t="s">
        <v>3634</v>
      </c>
      <c r="B1607" s="5">
        <v>7765.1437500000011</v>
      </c>
      <c r="C1607" s="5">
        <f t="shared" si="51"/>
        <v>277.32656250000002</v>
      </c>
      <c r="D1607" s="4">
        <v>28</v>
      </c>
      <c r="E1607" s="5" t="s">
        <v>10</v>
      </c>
      <c r="F1607" s="4" t="s">
        <v>3630</v>
      </c>
      <c r="G1607" s="4" t="s">
        <v>12</v>
      </c>
      <c r="H1607" s="4" t="s">
        <v>3630</v>
      </c>
      <c r="I1607" s="4" t="s">
        <v>22</v>
      </c>
      <c r="J1607" s="4" t="s">
        <v>146</v>
      </c>
      <c r="K1607" s="4" t="s">
        <v>227</v>
      </c>
      <c r="M1607">
        <f t="shared" si="50"/>
        <v>249.59390625000003</v>
      </c>
    </row>
    <row r="1608" spans="1:13" ht="14" x14ac:dyDescent="0.2">
      <c r="A1608" s="4" t="s">
        <v>3635</v>
      </c>
      <c r="B1608" s="5">
        <v>4659.0862500000003</v>
      </c>
      <c r="C1608" s="5">
        <f t="shared" si="51"/>
        <v>166.3959375</v>
      </c>
      <c r="D1608" s="4">
        <v>28</v>
      </c>
      <c r="E1608" s="5" t="s">
        <v>10</v>
      </c>
      <c r="F1608" s="4" t="s">
        <v>3630</v>
      </c>
      <c r="G1608" s="4" t="s">
        <v>12</v>
      </c>
      <c r="H1608" s="4" t="s">
        <v>3630</v>
      </c>
      <c r="I1608" s="4" t="s">
        <v>22</v>
      </c>
      <c r="J1608" s="4" t="s">
        <v>603</v>
      </c>
      <c r="K1608" s="4" t="s">
        <v>227</v>
      </c>
      <c r="M1608">
        <f t="shared" si="50"/>
        <v>149.75634375000001</v>
      </c>
    </row>
    <row r="1609" spans="1:13" ht="14" x14ac:dyDescent="0.2">
      <c r="A1609" s="4" t="s">
        <v>3636</v>
      </c>
      <c r="B1609" s="5">
        <v>5546.5312500000009</v>
      </c>
      <c r="C1609" s="5">
        <f t="shared" si="51"/>
        <v>198.09040178571431</v>
      </c>
      <c r="D1609" s="4">
        <v>28</v>
      </c>
      <c r="E1609" s="5" t="s">
        <v>10</v>
      </c>
      <c r="F1609" s="4" t="s">
        <v>3630</v>
      </c>
      <c r="G1609" s="4" t="s">
        <v>12</v>
      </c>
      <c r="H1609" s="4" t="s">
        <v>3630</v>
      </c>
      <c r="I1609" s="4" t="s">
        <v>22</v>
      </c>
      <c r="J1609" s="4" t="s">
        <v>200</v>
      </c>
      <c r="K1609" s="4" t="s">
        <v>227</v>
      </c>
      <c r="M1609">
        <f t="shared" si="50"/>
        <v>178.28136160714288</v>
      </c>
    </row>
    <row r="1610" spans="1:13" ht="14" x14ac:dyDescent="0.2">
      <c r="A1610" s="4" t="s">
        <v>3637</v>
      </c>
      <c r="B1610" s="5">
        <v>3106.0575000000003</v>
      </c>
      <c r="C1610" s="5">
        <f t="shared" si="51"/>
        <v>3106.0575000000003</v>
      </c>
      <c r="D1610" s="4">
        <v>1</v>
      </c>
      <c r="E1610" s="5" t="s">
        <v>170</v>
      </c>
      <c r="F1610" s="4" t="s">
        <v>3637</v>
      </c>
      <c r="G1610" s="4" t="s">
        <v>20</v>
      </c>
      <c r="H1610" s="4" t="s">
        <v>3637</v>
      </c>
      <c r="I1610" s="4" t="s">
        <v>14</v>
      </c>
      <c r="K1610" s="4" t="s">
        <v>118</v>
      </c>
      <c r="M1610">
        <f t="shared" si="50"/>
        <v>2795.4517500000002</v>
      </c>
    </row>
    <row r="1611" spans="1:13" ht="14" x14ac:dyDescent="0.2">
      <c r="A1611" s="4" t="s">
        <v>3638</v>
      </c>
      <c r="B1611" s="5">
        <v>8874.4500000000007</v>
      </c>
      <c r="C1611" s="5">
        <f t="shared" si="51"/>
        <v>8874.4500000000007</v>
      </c>
      <c r="D1611" s="4">
        <v>1</v>
      </c>
      <c r="E1611" s="5" t="s">
        <v>25</v>
      </c>
      <c r="F1611" s="4" t="s">
        <v>3638</v>
      </c>
      <c r="G1611" s="4" t="s">
        <v>20</v>
      </c>
      <c r="H1611" s="4" t="s">
        <v>3638</v>
      </c>
      <c r="I1611" s="4" t="s">
        <v>14</v>
      </c>
      <c r="K1611" s="4" t="s">
        <v>118</v>
      </c>
      <c r="M1611">
        <f t="shared" si="50"/>
        <v>7987.005000000001</v>
      </c>
    </row>
    <row r="1612" spans="1:13" ht="14" x14ac:dyDescent="0.2">
      <c r="A1612" s="4" t="s">
        <v>3639</v>
      </c>
      <c r="B1612" s="5">
        <v>8652.5887500000008</v>
      </c>
      <c r="C1612" s="5">
        <f t="shared" si="51"/>
        <v>8652.5887500000008</v>
      </c>
      <c r="D1612" s="4">
        <v>1</v>
      </c>
      <c r="E1612" s="5" t="s">
        <v>25</v>
      </c>
      <c r="F1612" s="4" t="s">
        <v>3639</v>
      </c>
      <c r="G1612" s="4" t="s">
        <v>20</v>
      </c>
      <c r="H1612" s="4" t="s">
        <v>3639</v>
      </c>
      <c r="I1612" s="4" t="s">
        <v>14</v>
      </c>
      <c r="K1612" s="4" t="s">
        <v>118</v>
      </c>
      <c r="M1612">
        <f t="shared" si="50"/>
        <v>7787.3298750000004</v>
      </c>
    </row>
    <row r="1613" spans="1:13" ht="14" x14ac:dyDescent="0.2">
      <c r="A1613" s="4" t="s">
        <v>3640</v>
      </c>
      <c r="B1613" s="5">
        <v>6655.8375000000005</v>
      </c>
      <c r="C1613" s="5">
        <f t="shared" si="51"/>
        <v>665.58375000000001</v>
      </c>
      <c r="D1613" s="4">
        <v>10</v>
      </c>
      <c r="E1613" s="5" t="s">
        <v>10</v>
      </c>
      <c r="F1613" s="4" t="s">
        <v>1658</v>
      </c>
      <c r="G1613" s="4" t="s">
        <v>20</v>
      </c>
      <c r="H1613" s="4" t="s">
        <v>3641</v>
      </c>
      <c r="I1613" s="4" t="s">
        <v>14</v>
      </c>
      <c r="J1613" s="4" t="s">
        <v>140</v>
      </c>
      <c r="K1613" s="4" t="s">
        <v>786</v>
      </c>
      <c r="M1613">
        <f t="shared" si="50"/>
        <v>599.02537500000005</v>
      </c>
    </row>
    <row r="1614" spans="1:13" ht="14" x14ac:dyDescent="0.2">
      <c r="A1614" s="4" t="s">
        <v>3642</v>
      </c>
      <c r="B1614" s="5">
        <v>4991.8781250000002</v>
      </c>
      <c r="C1614" s="5">
        <f t="shared" si="51"/>
        <v>249.59390625</v>
      </c>
      <c r="D1614" s="4">
        <v>20</v>
      </c>
      <c r="E1614" s="5" t="s">
        <v>10</v>
      </c>
      <c r="F1614" s="4" t="s">
        <v>1658</v>
      </c>
      <c r="G1614" s="4" t="s">
        <v>20</v>
      </c>
      <c r="H1614" s="4" t="s">
        <v>3643</v>
      </c>
      <c r="I1614" s="4" t="s">
        <v>14</v>
      </c>
      <c r="J1614" s="4" t="s">
        <v>78</v>
      </c>
      <c r="K1614" s="4" t="s">
        <v>786</v>
      </c>
      <c r="M1614">
        <f t="shared" si="50"/>
        <v>224.63451562500001</v>
      </c>
    </row>
    <row r="1615" spans="1:13" ht="14" x14ac:dyDescent="0.2">
      <c r="A1615" s="4" t="s">
        <v>3644</v>
      </c>
      <c r="B1615" s="5">
        <v>6433.9762500000006</v>
      </c>
      <c r="C1615" s="5">
        <f t="shared" si="51"/>
        <v>643.39762500000006</v>
      </c>
      <c r="D1615" s="4">
        <v>10</v>
      </c>
      <c r="E1615" s="5" t="s">
        <v>10</v>
      </c>
      <c r="F1615" s="4" t="s">
        <v>1658</v>
      </c>
      <c r="G1615" s="4" t="s">
        <v>20</v>
      </c>
      <c r="H1615" s="4" t="s">
        <v>3645</v>
      </c>
      <c r="I1615" s="4" t="s">
        <v>14</v>
      </c>
      <c r="J1615" s="4" t="s">
        <v>397</v>
      </c>
      <c r="K1615" s="4" t="s">
        <v>786</v>
      </c>
      <c r="M1615">
        <f t="shared" si="50"/>
        <v>579.05786250000006</v>
      </c>
    </row>
    <row r="1616" spans="1:13" ht="14" x14ac:dyDescent="0.2">
      <c r="A1616" s="4" t="s">
        <v>3646</v>
      </c>
      <c r="B1616" s="5">
        <v>10538.409375000001</v>
      </c>
      <c r="C1616" s="5">
        <f t="shared" si="51"/>
        <v>2107.6818750000002</v>
      </c>
      <c r="D1616" s="4">
        <v>5</v>
      </c>
      <c r="E1616" s="5" t="s">
        <v>10</v>
      </c>
      <c r="F1616" s="4" t="s">
        <v>1268</v>
      </c>
      <c r="G1616" s="4" t="s">
        <v>20</v>
      </c>
      <c r="H1616" s="4" t="s">
        <v>3647</v>
      </c>
      <c r="I1616" s="4" t="s">
        <v>14</v>
      </c>
      <c r="K1616" s="4" t="s">
        <v>87</v>
      </c>
      <c r="M1616">
        <f t="shared" si="50"/>
        <v>1896.9136875000002</v>
      </c>
    </row>
    <row r="1617" spans="1:25" ht="14" x14ac:dyDescent="0.2">
      <c r="A1617" s="4" t="s">
        <v>3648</v>
      </c>
      <c r="B1617" s="5">
        <v>14420.981250000001</v>
      </c>
      <c r="C1617" s="5">
        <f t="shared" si="51"/>
        <v>14420.981250000001</v>
      </c>
      <c r="D1617" s="4">
        <v>1</v>
      </c>
      <c r="E1617" s="5" t="s">
        <v>874</v>
      </c>
      <c r="F1617" s="4" t="s">
        <v>1268</v>
      </c>
      <c r="G1617" s="4" t="s">
        <v>20</v>
      </c>
      <c r="H1617" s="4" t="s">
        <v>3648</v>
      </c>
      <c r="I1617" s="4" t="s">
        <v>14</v>
      </c>
      <c r="J1617" s="4" t="s">
        <v>78</v>
      </c>
      <c r="K1617" s="4" t="s">
        <v>87</v>
      </c>
      <c r="M1617">
        <f t="shared" si="50"/>
        <v>12978.883125</v>
      </c>
    </row>
    <row r="1618" spans="1:25" ht="14" x14ac:dyDescent="0.2">
      <c r="A1618" s="4" t="s">
        <v>3649</v>
      </c>
      <c r="B1618" s="5">
        <v>35168.336043750009</v>
      </c>
      <c r="C1618" s="5">
        <f t="shared" si="51"/>
        <v>1256.0120015625002</v>
      </c>
      <c r="D1618" s="4">
        <v>28</v>
      </c>
      <c r="E1618" s="5" t="s">
        <v>10</v>
      </c>
      <c r="F1618" s="4" t="s">
        <v>3650</v>
      </c>
      <c r="G1618" s="4" t="s">
        <v>12</v>
      </c>
      <c r="H1618" s="4" t="s">
        <v>3651</v>
      </c>
      <c r="I1618" s="4" t="s">
        <v>14</v>
      </c>
      <c r="J1618" s="4" t="s">
        <v>495</v>
      </c>
      <c r="K1618" s="4" t="s">
        <v>90</v>
      </c>
      <c r="M1618">
        <f t="shared" si="50"/>
        <v>1130.4108014062501</v>
      </c>
    </row>
    <row r="1619" spans="1:25" ht="14" x14ac:dyDescent="0.2">
      <c r="A1619" s="4" t="s">
        <v>3652</v>
      </c>
      <c r="B1619" s="5">
        <v>27235.68705</v>
      </c>
      <c r="C1619" s="5">
        <f t="shared" si="51"/>
        <v>972.7031089285714</v>
      </c>
      <c r="D1619" s="4">
        <v>28</v>
      </c>
      <c r="E1619" s="5" t="s">
        <v>10</v>
      </c>
      <c r="F1619" s="4" t="s">
        <v>3653</v>
      </c>
      <c r="G1619" s="4" t="s">
        <v>12</v>
      </c>
      <c r="H1619" s="4" t="s">
        <v>3654</v>
      </c>
      <c r="I1619" s="4" t="s">
        <v>22</v>
      </c>
      <c r="J1619" s="4" t="s">
        <v>1047</v>
      </c>
      <c r="K1619" s="4" t="s">
        <v>90</v>
      </c>
      <c r="M1619">
        <f t="shared" si="50"/>
        <v>875.43279803571431</v>
      </c>
    </row>
    <row r="1620" spans="1:25" ht="14" x14ac:dyDescent="0.2">
      <c r="A1620" s="4" t="s">
        <v>3655</v>
      </c>
      <c r="B1620" s="5">
        <v>8319.796875</v>
      </c>
      <c r="C1620" s="5">
        <f t="shared" si="51"/>
        <v>277.32656250000002</v>
      </c>
      <c r="D1620" s="4">
        <v>30</v>
      </c>
      <c r="E1620" s="5" t="s">
        <v>10</v>
      </c>
      <c r="F1620" s="4" t="s">
        <v>3650</v>
      </c>
      <c r="G1620" s="4" t="s">
        <v>12</v>
      </c>
      <c r="H1620" s="4" t="s">
        <v>3656</v>
      </c>
      <c r="I1620" s="4" t="s">
        <v>22</v>
      </c>
      <c r="J1620" s="4" t="s">
        <v>148</v>
      </c>
      <c r="K1620" s="4" t="s">
        <v>90</v>
      </c>
      <c r="M1620">
        <f t="shared" si="50"/>
        <v>249.59390625000003</v>
      </c>
    </row>
    <row r="1621" spans="1:25" ht="14" x14ac:dyDescent="0.2">
      <c r="A1621" s="4" t="s">
        <v>3657</v>
      </c>
      <c r="B1621" s="5">
        <v>9429.1031250000015</v>
      </c>
      <c r="C1621" s="5">
        <f t="shared" si="51"/>
        <v>314.30343750000003</v>
      </c>
      <c r="D1621" s="4">
        <v>30</v>
      </c>
      <c r="E1621" s="5" t="s">
        <v>10</v>
      </c>
      <c r="F1621" s="4" t="s">
        <v>3650</v>
      </c>
      <c r="G1621" s="4" t="s">
        <v>12</v>
      </c>
      <c r="H1621" s="4" t="s">
        <v>3656</v>
      </c>
      <c r="I1621" s="4" t="s">
        <v>22</v>
      </c>
      <c r="J1621" s="4" t="s">
        <v>495</v>
      </c>
      <c r="K1621" s="4" t="s">
        <v>90</v>
      </c>
      <c r="M1621">
        <f t="shared" si="50"/>
        <v>282.87309375000001</v>
      </c>
    </row>
    <row r="1622" spans="1:25" ht="14" x14ac:dyDescent="0.2">
      <c r="A1622" s="7" t="s">
        <v>5431</v>
      </c>
      <c r="B1622" s="10">
        <v>13034.348437500001</v>
      </c>
      <c r="C1622" s="5">
        <f t="shared" si="51"/>
        <v>13034.348437500001</v>
      </c>
      <c r="D1622" s="9">
        <v>1</v>
      </c>
      <c r="E1622" s="10" t="s">
        <v>5217</v>
      </c>
      <c r="F1622" s="7" t="s">
        <v>5432</v>
      </c>
      <c r="G1622" s="7" t="s">
        <v>12</v>
      </c>
      <c r="H1622" s="16" t="s">
        <v>5433</v>
      </c>
      <c r="I1622" s="16"/>
      <c r="J1622" s="11">
        <v>1E-3</v>
      </c>
      <c r="K1622" s="7" t="s">
        <v>5243</v>
      </c>
      <c r="L1622" s="4"/>
      <c r="M1622">
        <f t="shared" si="50"/>
        <v>11730.91359375</v>
      </c>
      <c r="N1622" s="3"/>
      <c r="O1622" s="3"/>
      <c r="P1622" s="3"/>
      <c r="Q1622" s="2"/>
      <c r="R1622" s="2"/>
      <c r="S1622" s="2"/>
      <c r="T1622" s="2"/>
      <c r="U1622" s="2"/>
      <c r="V1622" s="2"/>
      <c r="W1622" s="2"/>
      <c r="X1622" s="2"/>
      <c r="Y1622" s="2"/>
    </row>
    <row r="1623" spans="1:25" ht="14" x14ac:dyDescent="0.2">
      <c r="A1623" s="4" t="s">
        <v>3658</v>
      </c>
      <c r="B1623" s="5">
        <v>10538.409375000001</v>
      </c>
      <c r="C1623" s="5">
        <f t="shared" si="51"/>
        <v>10538.409375000001</v>
      </c>
      <c r="D1623" s="4">
        <v>1</v>
      </c>
      <c r="E1623" s="5" t="s">
        <v>175</v>
      </c>
      <c r="F1623" s="4" t="s">
        <v>3659</v>
      </c>
      <c r="G1623" s="4" t="s">
        <v>20</v>
      </c>
      <c r="H1623" s="4" t="s">
        <v>3660</v>
      </c>
      <c r="I1623" s="4" t="s">
        <v>22</v>
      </c>
      <c r="J1623" s="8">
        <v>1E-3</v>
      </c>
      <c r="K1623" s="4" t="s">
        <v>179</v>
      </c>
      <c r="M1623">
        <f t="shared" si="50"/>
        <v>9484.5684375000019</v>
      </c>
    </row>
    <row r="1624" spans="1:25" ht="14" x14ac:dyDescent="0.2">
      <c r="A1624" s="4" t="s">
        <v>3661</v>
      </c>
      <c r="B1624" s="5">
        <v>9983.7562500000004</v>
      </c>
      <c r="C1624" s="5">
        <f t="shared" si="51"/>
        <v>9983.7562500000004</v>
      </c>
      <c r="D1624" s="4">
        <v>1</v>
      </c>
      <c r="E1624" s="5" t="s">
        <v>175</v>
      </c>
      <c r="F1624" s="4" t="s">
        <v>3659</v>
      </c>
      <c r="G1624" s="4" t="s">
        <v>20</v>
      </c>
      <c r="H1624" s="4" t="s">
        <v>3662</v>
      </c>
      <c r="I1624" s="4" t="s">
        <v>22</v>
      </c>
      <c r="J1624" s="8">
        <v>1E-3</v>
      </c>
      <c r="K1624" s="4" t="s">
        <v>179</v>
      </c>
      <c r="M1624">
        <f t="shared" si="50"/>
        <v>8985.3806249999998</v>
      </c>
    </row>
    <row r="1625" spans="1:25" ht="14" x14ac:dyDescent="0.2">
      <c r="A1625" s="4" t="s">
        <v>3663</v>
      </c>
      <c r="B1625" s="5">
        <v>6493.5000000000009</v>
      </c>
      <c r="C1625" s="5">
        <f t="shared" si="51"/>
        <v>216.45000000000002</v>
      </c>
      <c r="D1625" s="4">
        <v>30</v>
      </c>
      <c r="E1625" s="5" t="s">
        <v>10</v>
      </c>
      <c r="F1625" s="4" t="s">
        <v>3630</v>
      </c>
      <c r="G1625" s="4" t="s">
        <v>12</v>
      </c>
      <c r="H1625" s="4" t="s">
        <v>3664</v>
      </c>
      <c r="I1625" s="4" t="s">
        <v>22</v>
      </c>
      <c r="J1625" s="4" t="s">
        <v>146</v>
      </c>
      <c r="K1625" s="4" t="s">
        <v>227</v>
      </c>
      <c r="M1625">
        <f t="shared" si="50"/>
        <v>194.80500000000001</v>
      </c>
    </row>
    <row r="1626" spans="1:25" ht="14" x14ac:dyDescent="0.2">
      <c r="A1626" s="4" t="s">
        <v>3665</v>
      </c>
      <c r="B1626" s="5">
        <v>6168.8250000000007</v>
      </c>
      <c r="C1626" s="5">
        <f t="shared" si="51"/>
        <v>205.62750000000003</v>
      </c>
      <c r="D1626" s="4">
        <v>30</v>
      </c>
      <c r="E1626" s="5" t="s">
        <v>10</v>
      </c>
      <c r="F1626" s="4" t="s">
        <v>3630</v>
      </c>
      <c r="G1626" s="4" t="s">
        <v>12</v>
      </c>
      <c r="H1626" s="4" t="s">
        <v>3664</v>
      </c>
      <c r="I1626" s="4" t="s">
        <v>22</v>
      </c>
      <c r="J1626" s="4" t="s">
        <v>200</v>
      </c>
      <c r="K1626" s="4" t="s">
        <v>227</v>
      </c>
      <c r="M1626">
        <f t="shared" si="50"/>
        <v>185.06475000000003</v>
      </c>
    </row>
    <row r="1627" spans="1:25" ht="14" x14ac:dyDescent="0.2">
      <c r="A1627" s="4" t="s">
        <v>3666</v>
      </c>
      <c r="B1627" s="5">
        <v>3882.5718750000005</v>
      </c>
      <c r="C1627" s="5">
        <f t="shared" si="51"/>
        <v>194.12859375000002</v>
      </c>
      <c r="D1627" s="4">
        <v>20</v>
      </c>
      <c r="E1627" s="5" t="s">
        <v>30</v>
      </c>
      <c r="F1627" s="4" t="s">
        <v>2355</v>
      </c>
      <c r="G1627" s="4" t="s">
        <v>20</v>
      </c>
      <c r="H1627" s="4" t="s">
        <v>3667</v>
      </c>
      <c r="I1627" s="4" t="s">
        <v>22</v>
      </c>
      <c r="J1627" s="4" t="s">
        <v>148</v>
      </c>
      <c r="K1627" s="4" t="s">
        <v>748</v>
      </c>
      <c r="M1627">
        <f t="shared" si="50"/>
        <v>174.71573437500001</v>
      </c>
    </row>
    <row r="1628" spans="1:25" ht="14" x14ac:dyDescent="0.2">
      <c r="A1628" s="4" t="s">
        <v>3668</v>
      </c>
      <c r="B1628" s="5">
        <v>17637.969375000001</v>
      </c>
      <c r="C1628" s="5">
        <f t="shared" si="51"/>
        <v>17637.969375000001</v>
      </c>
      <c r="D1628" s="4">
        <v>1</v>
      </c>
      <c r="E1628" s="5" t="s">
        <v>30</v>
      </c>
      <c r="F1628" s="4" t="s">
        <v>3669</v>
      </c>
      <c r="G1628" s="4" t="s">
        <v>20</v>
      </c>
      <c r="H1628" s="4" t="s">
        <v>3670</v>
      </c>
      <c r="I1628" s="4" t="s">
        <v>22</v>
      </c>
      <c r="J1628" s="4" t="s">
        <v>3671</v>
      </c>
      <c r="K1628" s="4" t="s">
        <v>748</v>
      </c>
      <c r="M1628">
        <f t="shared" si="50"/>
        <v>15874.172437500001</v>
      </c>
    </row>
    <row r="1629" spans="1:25" ht="14" x14ac:dyDescent="0.2">
      <c r="A1629" s="4" t="s">
        <v>3672</v>
      </c>
      <c r="B1629" s="5">
        <v>6988.6293750000004</v>
      </c>
      <c r="C1629" s="5">
        <f t="shared" si="51"/>
        <v>232.95431250000001</v>
      </c>
      <c r="D1629" s="4">
        <v>30</v>
      </c>
      <c r="E1629" s="5" t="s">
        <v>10</v>
      </c>
      <c r="F1629" s="4" t="s">
        <v>3672</v>
      </c>
      <c r="G1629" s="4" t="s">
        <v>20</v>
      </c>
      <c r="H1629" s="4" t="s">
        <v>3673</v>
      </c>
      <c r="I1629" s="4" t="s">
        <v>22</v>
      </c>
      <c r="J1629" s="4" t="s">
        <v>25</v>
      </c>
      <c r="K1629" s="4" t="s">
        <v>34</v>
      </c>
      <c r="M1629">
        <f t="shared" ref="M1629:M1692" si="52">C1629-(C1629* 10%)</f>
        <v>209.65888125000001</v>
      </c>
    </row>
    <row r="1630" spans="1:25" ht="14" x14ac:dyDescent="0.2">
      <c r="A1630" s="4" t="s">
        <v>3674</v>
      </c>
      <c r="B1630" s="5">
        <v>14143.6546875</v>
      </c>
      <c r="C1630" s="5">
        <f t="shared" si="51"/>
        <v>471.45515625000002</v>
      </c>
      <c r="D1630" s="4">
        <v>30</v>
      </c>
      <c r="E1630" s="5" t="s">
        <v>973</v>
      </c>
      <c r="F1630" s="4" t="s">
        <v>3674</v>
      </c>
      <c r="G1630" s="4" t="s">
        <v>20</v>
      </c>
      <c r="H1630" s="4" t="s">
        <v>3674</v>
      </c>
      <c r="I1630" s="4" t="s">
        <v>22</v>
      </c>
      <c r="J1630" s="4" t="s">
        <v>25</v>
      </c>
      <c r="K1630" s="4" t="s">
        <v>34</v>
      </c>
      <c r="M1630">
        <f t="shared" si="52"/>
        <v>424.30964062500004</v>
      </c>
    </row>
    <row r="1631" spans="1:25" ht="14" x14ac:dyDescent="0.2">
      <c r="A1631" s="4" t="s">
        <v>3675</v>
      </c>
      <c r="B1631" s="5">
        <v>14975.634375000001</v>
      </c>
      <c r="C1631" s="5">
        <f t="shared" si="51"/>
        <v>499.18781250000006</v>
      </c>
      <c r="D1631" s="4">
        <v>30</v>
      </c>
      <c r="E1631" s="5" t="s">
        <v>30</v>
      </c>
      <c r="F1631" s="4" t="s">
        <v>3676</v>
      </c>
      <c r="G1631" s="4" t="s">
        <v>20</v>
      </c>
      <c r="H1631" s="4" t="s">
        <v>3677</v>
      </c>
      <c r="I1631" s="4" t="s">
        <v>22</v>
      </c>
      <c r="K1631" s="4" t="s">
        <v>34</v>
      </c>
      <c r="M1631">
        <f t="shared" si="52"/>
        <v>449.26903125000007</v>
      </c>
    </row>
    <row r="1632" spans="1:25" ht="14" x14ac:dyDescent="0.2">
      <c r="A1632" s="4" t="s">
        <v>3678</v>
      </c>
      <c r="B1632" s="5">
        <v>3549.78</v>
      </c>
      <c r="C1632" s="5">
        <f t="shared" si="51"/>
        <v>126.77785714285714</v>
      </c>
      <c r="D1632" s="4">
        <v>28</v>
      </c>
      <c r="E1632" s="5" t="s">
        <v>30</v>
      </c>
      <c r="F1632" s="4" t="s">
        <v>2355</v>
      </c>
      <c r="G1632" s="4" t="s">
        <v>20</v>
      </c>
      <c r="H1632" s="4" t="s">
        <v>2355</v>
      </c>
      <c r="I1632" s="4" t="s">
        <v>22</v>
      </c>
      <c r="J1632" s="4" t="s">
        <v>148</v>
      </c>
      <c r="K1632" s="4" t="s">
        <v>748</v>
      </c>
      <c r="M1632">
        <f t="shared" si="52"/>
        <v>114.10007142857143</v>
      </c>
    </row>
    <row r="1633" spans="1:25" ht="14" x14ac:dyDescent="0.2">
      <c r="A1633" s="4" t="s">
        <v>3679</v>
      </c>
      <c r="B1633" s="5">
        <v>3993.5025000000005</v>
      </c>
      <c r="C1633" s="5">
        <f t="shared" si="51"/>
        <v>142.6250892857143</v>
      </c>
      <c r="D1633" s="4">
        <v>28</v>
      </c>
      <c r="E1633" s="5" t="s">
        <v>30</v>
      </c>
      <c r="F1633" s="4" t="s">
        <v>2355</v>
      </c>
      <c r="G1633" s="4" t="s">
        <v>20</v>
      </c>
      <c r="H1633" s="4" t="s">
        <v>2355</v>
      </c>
      <c r="I1633" s="4" t="s">
        <v>22</v>
      </c>
      <c r="J1633" s="4" t="s">
        <v>495</v>
      </c>
      <c r="K1633" s="4" t="s">
        <v>748</v>
      </c>
      <c r="M1633">
        <f t="shared" si="52"/>
        <v>128.36258035714286</v>
      </c>
    </row>
    <row r="1634" spans="1:25" ht="14" x14ac:dyDescent="0.2">
      <c r="A1634" s="4" t="s">
        <v>3680</v>
      </c>
      <c r="B1634" s="5">
        <v>2329.5431250000001</v>
      </c>
      <c r="C1634" s="5">
        <f t="shared" si="51"/>
        <v>2329.5431250000001</v>
      </c>
      <c r="D1634" s="4">
        <v>1</v>
      </c>
      <c r="E1634" s="5" t="s">
        <v>124</v>
      </c>
      <c r="F1634" s="4" t="s">
        <v>2355</v>
      </c>
      <c r="G1634" s="4" t="s">
        <v>20</v>
      </c>
      <c r="H1634" s="4" t="s">
        <v>2355</v>
      </c>
      <c r="I1634" s="4" t="s">
        <v>22</v>
      </c>
      <c r="J1634" s="4" t="s">
        <v>495</v>
      </c>
      <c r="K1634" s="4" t="s">
        <v>748</v>
      </c>
      <c r="M1634">
        <f t="shared" si="52"/>
        <v>2096.5888125000001</v>
      </c>
    </row>
    <row r="1635" spans="1:25" ht="14" x14ac:dyDescent="0.2">
      <c r="A1635" s="4" t="s">
        <v>3681</v>
      </c>
      <c r="B1635" s="5">
        <v>2102.1353437500002</v>
      </c>
      <c r="C1635" s="5">
        <f t="shared" si="51"/>
        <v>210.21353437500002</v>
      </c>
      <c r="D1635" s="4">
        <v>10</v>
      </c>
      <c r="E1635" s="5" t="s">
        <v>10</v>
      </c>
      <c r="F1635" s="4" t="s">
        <v>2355</v>
      </c>
      <c r="G1635" s="4" t="s">
        <v>20</v>
      </c>
      <c r="H1635" s="4" t="s">
        <v>3682</v>
      </c>
      <c r="I1635" s="4" t="s">
        <v>22</v>
      </c>
      <c r="J1635" s="4" t="s">
        <v>148</v>
      </c>
      <c r="K1635" s="4" t="s">
        <v>748</v>
      </c>
      <c r="M1635">
        <f t="shared" si="52"/>
        <v>189.19218093750001</v>
      </c>
    </row>
    <row r="1636" spans="1:25" ht="14" x14ac:dyDescent="0.2">
      <c r="A1636" s="4" t="s">
        <v>3683</v>
      </c>
      <c r="B1636" s="5">
        <v>2884.1962500000004</v>
      </c>
      <c r="C1636" s="5">
        <f t="shared" si="51"/>
        <v>103.00700892857144</v>
      </c>
      <c r="D1636" s="4">
        <v>28</v>
      </c>
      <c r="E1636" s="5" t="s">
        <v>30</v>
      </c>
      <c r="F1636" s="4" t="s">
        <v>2355</v>
      </c>
      <c r="G1636" s="4" t="s">
        <v>20</v>
      </c>
      <c r="H1636" s="4" t="s">
        <v>2355</v>
      </c>
      <c r="I1636" s="4" t="s">
        <v>22</v>
      </c>
      <c r="J1636" s="4" t="s">
        <v>148</v>
      </c>
      <c r="K1636" s="4" t="s">
        <v>748</v>
      </c>
      <c r="M1636">
        <f t="shared" si="52"/>
        <v>92.706308035714301</v>
      </c>
    </row>
    <row r="1637" spans="1:25" ht="14" x14ac:dyDescent="0.2">
      <c r="A1637" s="7" t="s">
        <v>5434</v>
      </c>
      <c r="B1637" s="10">
        <v>1553.0287500000002</v>
      </c>
      <c r="C1637" s="5">
        <f t="shared" si="51"/>
        <v>1553.0287500000002</v>
      </c>
      <c r="D1637" s="9">
        <v>1</v>
      </c>
      <c r="E1637" s="10" t="s">
        <v>5185</v>
      </c>
      <c r="F1637" s="7" t="s">
        <v>5435</v>
      </c>
      <c r="G1637" s="7" t="s">
        <v>12</v>
      </c>
      <c r="H1637" s="16" t="s">
        <v>5436</v>
      </c>
      <c r="I1637" s="16"/>
      <c r="J1637" s="7" t="s">
        <v>4249</v>
      </c>
      <c r="K1637" s="7" t="s">
        <v>406</v>
      </c>
      <c r="L1637" s="4"/>
      <c r="M1637">
        <f t="shared" si="52"/>
        <v>1397.7258750000001</v>
      </c>
      <c r="N1637" s="3"/>
      <c r="O1637" s="3"/>
      <c r="P1637" s="3"/>
      <c r="Q1637" s="2"/>
      <c r="R1637" s="2"/>
      <c r="S1637" s="2"/>
      <c r="T1637" s="2"/>
      <c r="U1637" s="2"/>
      <c r="V1637" s="2"/>
      <c r="W1637" s="2"/>
      <c r="X1637" s="2"/>
      <c r="Y1637" s="2"/>
    </row>
    <row r="1638" spans="1:25" ht="14" x14ac:dyDescent="0.2">
      <c r="A1638" s="4" t="s">
        <v>3684</v>
      </c>
      <c r="B1638" s="5">
        <v>9272.6909437500017</v>
      </c>
      <c r="C1638" s="5">
        <f t="shared" si="51"/>
        <v>309.08969812500004</v>
      </c>
      <c r="D1638" s="4">
        <v>30</v>
      </c>
      <c r="E1638" s="5" t="s">
        <v>10</v>
      </c>
      <c r="F1638" s="4" t="s">
        <v>3685</v>
      </c>
      <c r="G1638" s="4" t="s">
        <v>20</v>
      </c>
      <c r="H1638" s="4" t="s">
        <v>3685</v>
      </c>
      <c r="I1638" s="4" t="s">
        <v>22</v>
      </c>
      <c r="J1638" s="4" t="s">
        <v>198</v>
      </c>
      <c r="K1638" s="4" t="s">
        <v>406</v>
      </c>
      <c r="M1638">
        <f t="shared" si="52"/>
        <v>278.18072831250004</v>
      </c>
    </row>
    <row r="1639" spans="1:25" ht="14" x14ac:dyDescent="0.2">
      <c r="A1639" s="4" t="s">
        <v>3686</v>
      </c>
      <c r="B1639" s="5">
        <v>8652.5887500000008</v>
      </c>
      <c r="C1639" s="5">
        <f t="shared" si="51"/>
        <v>865.2588750000001</v>
      </c>
      <c r="D1639" s="4">
        <v>10</v>
      </c>
      <c r="E1639" s="5" t="s">
        <v>124</v>
      </c>
      <c r="F1639" s="4" t="s">
        <v>3686</v>
      </c>
      <c r="G1639" s="4" t="s">
        <v>12</v>
      </c>
      <c r="H1639" s="4" t="s">
        <v>3687</v>
      </c>
      <c r="I1639" s="4" t="s">
        <v>14</v>
      </c>
      <c r="J1639" s="4" t="s">
        <v>994</v>
      </c>
      <c r="K1639" s="4" t="s">
        <v>406</v>
      </c>
      <c r="M1639">
        <f t="shared" si="52"/>
        <v>778.73298750000004</v>
      </c>
    </row>
    <row r="1640" spans="1:25" ht="14" x14ac:dyDescent="0.2">
      <c r="A1640" s="4" t="s">
        <v>3688</v>
      </c>
      <c r="B1640" s="5">
        <v>11435.838131250001</v>
      </c>
      <c r="C1640" s="5">
        <f t="shared" si="51"/>
        <v>381.19460437500004</v>
      </c>
      <c r="D1640" s="4">
        <v>30</v>
      </c>
      <c r="E1640" s="5" t="s">
        <v>10</v>
      </c>
      <c r="F1640" s="4" t="s">
        <v>3685</v>
      </c>
      <c r="G1640" s="4" t="s">
        <v>20</v>
      </c>
      <c r="H1640" s="4" t="s">
        <v>3685</v>
      </c>
      <c r="I1640" s="4" t="s">
        <v>22</v>
      </c>
      <c r="J1640" s="4" t="s">
        <v>163</v>
      </c>
      <c r="K1640" s="4" t="s">
        <v>406</v>
      </c>
      <c r="M1640">
        <f t="shared" si="52"/>
        <v>343.07514393750006</v>
      </c>
    </row>
    <row r="1641" spans="1:25" ht="14" x14ac:dyDescent="0.2">
      <c r="A1641" s="4" t="s">
        <v>3689</v>
      </c>
      <c r="B1641" s="5">
        <v>4326.2943750000004</v>
      </c>
      <c r="C1641" s="5">
        <f t="shared" si="51"/>
        <v>4326.2943750000004</v>
      </c>
      <c r="D1641" s="4">
        <v>1</v>
      </c>
      <c r="E1641" s="4" t="s">
        <v>888</v>
      </c>
      <c r="F1641" s="4" t="s">
        <v>3689</v>
      </c>
      <c r="G1641" s="4" t="s">
        <v>12</v>
      </c>
      <c r="H1641" s="4" t="s">
        <v>3690</v>
      </c>
      <c r="I1641" s="4"/>
      <c r="J1641" s="4" t="s">
        <v>44</v>
      </c>
      <c r="K1641" s="4" t="s">
        <v>244</v>
      </c>
      <c r="M1641">
        <f t="shared" si="52"/>
        <v>3893.6649375000002</v>
      </c>
    </row>
    <row r="1642" spans="1:25" ht="14" x14ac:dyDescent="0.2">
      <c r="A1642" s="4" t="s">
        <v>3691</v>
      </c>
      <c r="B1642" s="5">
        <v>7210.4906250000004</v>
      </c>
      <c r="C1642" s="5">
        <f t="shared" si="51"/>
        <v>7210.4906250000004</v>
      </c>
      <c r="D1642" s="4">
        <v>1</v>
      </c>
      <c r="E1642" s="5" t="s">
        <v>175</v>
      </c>
      <c r="F1642" s="4" t="s">
        <v>3692</v>
      </c>
      <c r="G1642" s="4" t="s">
        <v>20</v>
      </c>
      <c r="H1642" s="4" t="s">
        <v>3693</v>
      </c>
      <c r="I1642" s="4" t="s">
        <v>22</v>
      </c>
      <c r="J1642" s="8">
        <v>5.0000000000000001E-3</v>
      </c>
      <c r="K1642" s="4" t="s">
        <v>179</v>
      </c>
      <c r="M1642">
        <f t="shared" si="52"/>
        <v>6489.4415625000001</v>
      </c>
    </row>
    <row r="1643" spans="1:25" ht="14" x14ac:dyDescent="0.2">
      <c r="A1643" s="4" t="s">
        <v>3694</v>
      </c>
      <c r="B1643" s="5">
        <v>7210.4906250000004</v>
      </c>
      <c r="C1643" s="5">
        <f t="shared" si="51"/>
        <v>7210.4906250000004</v>
      </c>
      <c r="D1643" s="4">
        <v>1</v>
      </c>
      <c r="E1643" s="5" t="s">
        <v>175</v>
      </c>
      <c r="F1643" s="4" t="s">
        <v>3695</v>
      </c>
      <c r="G1643" s="4" t="s">
        <v>20</v>
      </c>
      <c r="H1643" s="4" t="s">
        <v>3696</v>
      </c>
      <c r="I1643" s="4" t="s">
        <v>22</v>
      </c>
      <c r="K1643" s="4" t="s">
        <v>179</v>
      </c>
      <c r="M1643">
        <f t="shared" si="52"/>
        <v>6489.4415625000001</v>
      </c>
    </row>
    <row r="1644" spans="1:25" ht="14" x14ac:dyDescent="0.2">
      <c r="A1644" s="4" t="s">
        <v>3697</v>
      </c>
      <c r="B1644" s="5">
        <v>62675.803125000006</v>
      </c>
      <c r="C1644" s="5">
        <f t="shared" si="51"/>
        <v>62675.803125000006</v>
      </c>
      <c r="D1644" s="4">
        <v>1</v>
      </c>
      <c r="E1644" s="4" t="s">
        <v>59</v>
      </c>
      <c r="F1644" s="4" t="s">
        <v>3697</v>
      </c>
      <c r="G1644" s="4" t="s">
        <v>12</v>
      </c>
      <c r="H1644" s="4" t="s">
        <v>3698</v>
      </c>
      <c r="I1644" s="4"/>
      <c r="J1644" s="4" t="s">
        <v>2633</v>
      </c>
      <c r="K1644" s="4" t="s">
        <v>3699</v>
      </c>
      <c r="M1644">
        <f t="shared" si="52"/>
        <v>56408.222812500004</v>
      </c>
    </row>
    <row r="1645" spans="1:25" ht="14" x14ac:dyDescent="0.2">
      <c r="A1645" s="4" t="s">
        <v>3700</v>
      </c>
      <c r="B1645" s="5">
        <v>1553.0287500000002</v>
      </c>
      <c r="C1645" s="5">
        <f t="shared" si="51"/>
        <v>517.6762500000001</v>
      </c>
      <c r="D1645" s="4">
        <v>3</v>
      </c>
      <c r="E1645" s="5" t="s">
        <v>202</v>
      </c>
      <c r="F1645" s="4" t="s">
        <v>3700</v>
      </c>
      <c r="G1645" s="4" t="s">
        <v>20</v>
      </c>
      <c r="H1645" s="4" t="s">
        <v>3700</v>
      </c>
      <c r="I1645" s="4" t="s">
        <v>22</v>
      </c>
      <c r="J1645" s="4" t="s">
        <v>25</v>
      </c>
      <c r="K1645" s="4" t="s">
        <v>219</v>
      </c>
      <c r="M1645">
        <f t="shared" si="52"/>
        <v>465.90862500000009</v>
      </c>
    </row>
    <row r="1646" spans="1:25" ht="14" x14ac:dyDescent="0.2">
      <c r="A1646" s="4" t="s">
        <v>3701</v>
      </c>
      <c r="B1646" s="5">
        <v>11226.179250000001</v>
      </c>
      <c r="C1646" s="5">
        <f t="shared" si="51"/>
        <v>11226.179250000001</v>
      </c>
      <c r="D1646" s="4">
        <v>1</v>
      </c>
      <c r="E1646" s="5" t="s">
        <v>59</v>
      </c>
      <c r="F1646" s="4" t="s">
        <v>3698</v>
      </c>
      <c r="G1646" s="4" t="s">
        <v>20</v>
      </c>
      <c r="H1646" s="4" t="s">
        <v>3702</v>
      </c>
      <c r="I1646" s="4" t="s">
        <v>14</v>
      </c>
      <c r="J1646" s="4" t="s">
        <v>931</v>
      </c>
      <c r="K1646" s="4" t="s">
        <v>87</v>
      </c>
      <c r="M1646">
        <f t="shared" si="52"/>
        <v>10103.561325000001</v>
      </c>
    </row>
    <row r="1647" spans="1:25" ht="14" x14ac:dyDescent="0.2">
      <c r="A1647" s="4" t="s">
        <v>3703</v>
      </c>
      <c r="B1647" s="5">
        <v>8985.3806250000016</v>
      </c>
      <c r="C1647" s="5">
        <f t="shared" si="51"/>
        <v>8985.3806250000016</v>
      </c>
      <c r="D1647" s="4">
        <v>1</v>
      </c>
      <c r="E1647" s="5" t="s">
        <v>59</v>
      </c>
      <c r="F1647" s="4" t="s">
        <v>3704</v>
      </c>
      <c r="G1647" s="4" t="s">
        <v>20</v>
      </c>
      <c r="H1647" s="4" t="s">
        <v>3705</v>
      </c>
      <c r="I1647" s="4" t="s">
        <v>22</v>
      </c>
      <c r="J1647" s="4" t="s">
        <v>931</v>
      </c>
      <c r="K1647" s="4" t="s">
        <v>34</v>
      </c>
      <c r="M1647">
        <f t="shared" si="52"/>
        <v>8086.8425625000018</v>
      </c>
    </row>
    <row r="1648" spans="1:25" ht="14" x14ac:dyDescent="0.2">
      <c r="A1648" s="4" t="s">
        <v>3706</v>
      </c>
      <c r="B1648" s="5">
        <v>12424.230000000001</v>
      </c>
      <c r="C1648" s="5">
        <f t="shared" si="51"/>
        <v>1242.4230000000002</v>
      </c>
      <c r="D1648" s="4">
        <v>10</v>
      </c>
      <c r="E1648" s="5" t="s">
        <v>10</v>
      </c>
      <c r="F1648" s="4" t="s">
        <v>3707</v>
      </c>
      <c r="G1648" s="4" t="s">
        <v>20</v>
      </c>
      <c r="H1648" s="4" t="s">
        <v>3708</v>
      </c>
      <c r="I1648" s="4" t="s">
        <v>14</v>
      </c>
      <c r="J1648" s="4" t="s">
        <v>140</v>
      </c>
      <c r="K1648" s="4" t="s">
        <v>53</v>
      </c>
      <c r="M1648">
        <f t="shared" si="52"/>
        <v>1118.1807000000001</v>
      </c>
    </row>
    <row r="1649" spans="1:13" ht="14" x14ac:dyDescent="0.2">
      <c r="A1649" s="4" t="s">
        <v>3709</v>
      </c>
      <c r="B1649" s="5">
        <v>16639.59375</v>
      </c>
      <c r="C1649" s="5">
        <f t="shared" si="51"/>
        <v>1663.9593749999999</v>
      </c>
      <c r="D1649" s="4">
        <v>10</v>
      </c>
      <c r="E1649" s="5" t="s">
        <v>10</v>
      </c>
      <c r="F1649" s="4" t="s">
        <v>3707</v>
      </c>
      <c r="G1649" s="4" t="s">
        <v>20</v>
      </c>
      <c r="H1649" s="4" t="s">
        <v>3708</v>
      </c>
      <c r="I1649" s="4" t="s">
        <v>14</v>
      </c>
      <c r="J1649" s="4" t="s">
        <v>95</v>
      </c>
      <c r="K1649" s="4" t="s">
        <v>53</v>
      </c>
      <c r="M1649">
        <f t="shared" si="52"/>
        <v>1497.5634375</v>
      </c>
    </row>
    <row r="1650" spans="1:13" ht="14" x14ac:dyDescent="0.2">
      <c r="A1650" s="4" t="s">
        <v>3710</v>
      </c>
      <c r="B1650" s="5">
        <v>20854.9575</v>
      </c>
      <c r="C1650" s="5">
        <f t="shared" si="51"/>
        <v>20854.9575</v>
      </c>
      <c r="D1650" s="4">
        <v>1</v>
      </c>
      <c r="E1650" s="5" t="s">
        <v>181</v>
      </c>
      <c r="F1650" s="4" t="s">
        <v>3707</v>
      </c>
      <c r="G1650" s="4" t="s">
        <v>20</v>
      </c>
      <c r="H1650" s="4" t="s">
        <v>3708</v>
      </c>
      <c r="I1650" s="4" t="s">
        <v>14</v>
      </c>
      <c r="J1650" s="4" t="s">
        <v>495</v>
      </c>
      <c r="K1650" s="4" t="s">
        <v>53</v>
      </c>
      <c r="M1650">
        <f t="shared" si="52"/>
        <v>18769.461750000002</v>
      </c>
    </row>
    <row r="1651" spans="1:13" ht="14" x14ac:dyDescent="0.2">
      <c r="A1651" s="4" t="s">
        <v>3711</v>
      </c>
      <c r="B1651" s="5">
        <v>14931.262125000001</v>
      </c>
      <c r="C1651" s="5">
        <f t="shared" si="51"/>
        <v>14931.262125000001</v>
      </c>
      <c r="D1651" s="4">
        <v>1</v>
      </c>
      <c r="E1651" s="5" t="s">
        <v>181</v>
      </c>
      <c r="F1651" s="4" t="s">
        <v>3707</v>
      </c>
      <c r="G1651" s="4" t="s">
        <v>20</v>
      </c>
      <c r="H1651" s="4" t="s">
        <v>3708</v>
      </c>
      <c r="I1651" s="4" t="s">
        <v>14</v>
      </c>
      <c r="J1651" s="4" t="s">
        <v>3712</v>
      </c>
      <c r="K1651" s="4" t="s">
        <v>53</v>
      </c>
      <c r="M1651">
        <f t="shared" si="52"/>
        <v>13438.135912500002</v>
      </c>
    </row>
    <row r="1652" spans="1:13" ht="14" x14ac:dyDescent="0.2">
      <c r="A1652" s="4" t="s">
        <v>3713</v>
      </c>
      <c r="B1652" s="5">
        <v>4437.2250000000004</v>
      </c>
      <c r="C1652" s="5">
        <f t="shared" si="51"/>
        <v>443.72250000000003</v>
      </c>
      <c r="D1652" s="4">
        <v>10</v>
      </c>
      <c r="E1652" s="5" t="s">
        <v>30</v>
      </c>
      <c r="F1652" s="4" t="s">
        <v>60</v>
      </c>
      <c r="G1652" s="4" t="s">
        <v>20</v>
      </c>
      <c r="H1652" s="4" t="s">
        <v>3714</v>
      </c>
      <c r="I1652" s="4" t="s">
        <v>22</v>
      </c>
      <c r="K1652" s="4" t="s">
        <v>34</v>
      </c>
      <c r="M1652">
        <f t="shared" si="52"/>
        <v>399.35025000000002</v>
      </c>
    </row>
    <row r="1653" spans="1:13" ht="14" x14ac:dyDescent="0.2">
      <c r="A1653" s="4" t="s">
        <v>3715</v>
      </c>
      <c r="B1653" s="5">
        <v>4991.8781250000002</v>
      </c>
      <c r="C1653" s="5">
        <f t="shared" si="51"/>
        <v>4991.8781250000002</v>
      </c>
      <c r="D1653" s="4">
        <v>1</v>
      </c>
      <c r="E1653" s="5" t="s">
        <v>59</v>
      </c>
      <c r="F1653" s="4" t="s">
        <v>3716</v>
      </c>
      <c r="G1653" s="4" t="s">
        <v>20</v>
      </c>
      <c r="H1653" s="4" t="s">
        <v>3715</v>
      </c>
      <c r="I1653" s="4" t="s">
        <v>22</v>
      </c>
      <c r="K1653" s="4" t="s">
        <v>34</v>
      </c>
      <c r="M1653">
        <f t="shared" si="52"/>
        <v>4492.6903124999999</v>
      </c>
    </row>
    <row r="1654" spans="1:13" ht="14" x14ac:dyDescent="0.2">
      <c r="A1654" s="4" t="s">
        <v>3717</v>
      </c>
      <c r="B1654" s="5">
        <v>7432.3518750000003</v>
      </c>
      <c r="C1654" s="5">
        <f t="shared" si="51"/>
        <v>743.23518750000005</v>
      </c>
      <c r="D1654" s="4">
        <v>10</v>
      </c>
      <c r="E1654" s="5" t="s">
        <v>10</v>
      </c>
      <c r="F1654" s="4" t="s">
        <v>3717</v>
      </c>
      <c r="G1654" s="4" t="s">
        <v>20</v>
      </c>
      <c r="H1654" s="4" t="s">
        <v>3718</v>
      </c>
      <c r="I1654" s="4" t="s">
        <v>22</v>
      </c>
      <c r="J1654" s="4" t="s">
        <v>3719</v>
      </c>
      <c r="K1654" s="4" t="s">
        <v>294</v>
      </c>
      <c r="M1654">
        <f t="shared" si="52"/>
        <v>668.91166874999999</v>
      </c>
    </row>
    <row r="1655" spans="1:13" ht="14" x14ac:dyDescent="0.2">
      <c r="A1655" s="4" t="s">
        <v>3720</v>
      </c>
      <c r="B1655" s="5">
        <v>3106.0575000000003</v>
      </c>
      <c r="C1655" s="5">
        <f t="shared" si="51"/>
        <v>310.60575000000006</v>
      </c>
      <c r="D1655" s="4">
        <v>10</v>
      </c>
      <c r="E1655" s="5" t="s">
        <v>30</v>
      </c>
      <c r="F1655" s="4" t="s">
        <v>60</v>
      </c>
      <c r="G1655" s="4" t="s">
        <v>20</v>
      </c>
      <c r="H1655" s="4" t="s">
        <v>3721</v>
      </c>
      <c r="I1655" s="4" t="s">
        <v>22</v>
      </c>
      <c r="K1655" s="4" t="s">
        <v>34</v>
      </c>
      <c r="M1655">
        <f t="shared" si="52"/>
        <v>279.54517500000003</v>
      </c>
    </row>
    <row r="1656" spans="1:13" ht="14" x14ac:dyDescent="0.2">
      <c r="A1656" s="4" t="s">
        <v>3722</v>
      </c>
      <c r="B1656" s="5">
        <v>2995.1268750000004</v>
      </c>
      <c r="C1656" s="5">
        <f t="shared" si="51"/>
        <v>2995.1268750000004</v>
      </c>
      <c r="D1656" s="4">
        <v>1</v>
      </c>
      <c r="E1656" s="5" t="s">
        <v>59</v>
      </c>
      <c r="F1656" s="4" t="s">
        <v>3723</v>
      </c>
      <c r="G1656" s="4" t="s">
        <v>20</v>
      </c>
      <c r="H1656" s="4" t="s">
        <v>3724</v>
      </c>
      <c r="I1656" s="4" t="s">
        <v>22</v>
      </c>
      <c r="J1656" s="4" t="s">
        <v>78</v>
      </c>
      <c r="K1656" s="4" t="s">
        <v>34</v>
      </c>
      <c r="M1656">
        <f t="shared" si="52"/>
        <v>2695.6141875000003</v>
      </c>
    </row>
    <row r="1657" spans="1:13" ht="14" x14ac:dyDescent="0.2">
      <c r="A1657" s="4" t="s">
        <v>3725</v>
      </c>
      <c r="B1657" s="5">
        <v>1442.0981250000002</v>
      </c>
      <c r="C1657" s="5">
        <f t="shared" si="51"/>
        <v>144.20981250000003</v>
      </c>
      <c r="D1657" s="4">
        <v>10</v>
      </c>
      <c r="E1657" s="5" t="s">
        <v>10</v>
      </c>
      <c r="F1657" s="4" t="s">
        <v>3725</v>
      </c>
      <c r="G1657" s="4" t="s">
        <v>20</v>
      </c>
      <c r="H1657" s="4" t="s">
        <v>3726</v>
      </c>
      <c r="I1657" s="4" t="s">
        <v>22</v>
      </c>
      <c r="J1657" s="4" t="s">
        <v>1696</v>
      </c>
      <c r="K1657" s="4" t="s">
        <v>87</v>
      </c>
      <c r="M1657">
        <f t="shared" si="52"/>
        <v>129.78883125000002</v>
      </c>
    </row>
    <row r="1658" spans="1:13" ht="14" x14ac:dyDescent="0.2">
      <c r="A1658" s="4" t="s">
        <v>3727</v>
      </c>
      <c r="B1658" s="5">
        <v>4104.4331250000005</v>
      </c>
      <c r="C1658" s="5">
        <f t="shared" si="51"/>
        <v>205.22165625000002</v>
      </c>
      <c r="D1658" s="4">
        <v>20</v>
      </c>
      <c r="E1658" s="5" t="s">
        <v>10</v>
      </c>
      <c r="F1658" s="4" t="s">
        <v>3728</v>
      </c>
      <c r="G1658" s="4" t="s">
        <v>20</v>
      </c>
      <c r="H1658" s="4" t="s">
        <v>3726</v>
      </c>
      <c r="I1658" s="4" t="s">
        <v>22</v>
      </c>
      <c r="J1658" s="4" t="s">
        <v>3729</v>
      </c>
      <c r="K1658" s="4" t="s">
        <v>87</v>
      </c>
      <c r="M1658">
        <f t="shared" si="52"/>
        <v>184.69949062500001</v>
      </c>
    </row>
    <row r="1659" spans="1:13" ht="14" x14ac:dyDescent="0.2">
      <c r="A1659" s="4" t="s">
        <v>3730</v>
      </c>
      <c r="B1659" s="5">
        <v>4104.4331250000005</v>
      </c>
      <c r="C1659" s="5">
        <f t="shared" si="51"/>
        <v>205.22165625000002</v>
      </c>
      <c r="D1659" s="4">
        <v>20</v>
      </c>
      <c r="E1659" s="5" t="s">
        <v>10</v>
      </c>
      <c r="F1659" s="4" t="s">
        <v>3554</v>
      </c>
      <c r="G1659" s="4" t="s">
        <v>20</v>
      </c>
      <c r="H1659" s="4" t="s">
        <v>3731</v>
      </c>
      <c r="I1659" s="4" t="s">
        <v>22</v>
      </c>
      <c r="J1659" s="4" t="s">
        <v>140</v>
      </c>
      <c r="K1659" s="4" t="s">
        <v>87</v>
      </c>
      <c r="M1659">
        <f t="shared" si="52"/>
        <v>184.69949062500001</v>
      </c>
    </row>
    <row r="1660" spans="1:13" ht="14" x14ac:dyDescent="0.2">
      <c r="A1660" s="4" t="s">
        <v>3732</v>
      </c>
      <c r="B1660" s="5">
        <v>876.35193750000008</v>
      </c>
      <c r="C1660" s="5">
        <f t="shared" si="51"/>
        <v>876.35193750000008</v>
      </c>
      <c r="D1660" s="4">
        <v>1</v>
      </c>
      <c r="E1660" s="5" t="s">
        <v>202</v>
      </c>
      <c r="F1660" s="4" t="s">
        <v>3733</v>
      </c>
      <c r="G1660" s="4" t="s">
        <v>20</v>
      </c>
      <c r="H1660" s="4" t="s">
        <v>3732</v>
      </c>
      <c r="I1660" s="4" t="s">
        <v>22</v>
      </c>
      <c r="K1660" s="4" t="s">
        <v>1555</v>
      </c>
      <c r="M1660">
        <f t="shared" si="52"/>
        <v>788.71674375000009</v>
      </c>
    </row>
    <row r="1661" spans="1:13" ht="14" x14ac:dyDescent="0.2">
      <c r="A1661" s="4" t="s">
        <v>3734</v>
      </c>
      <c r="B1661" s="5">
        <v>31060.575000000004</v>
      </c>
      <c r="C1661" s="5">
        <f t="shared" si="51"/>
        <v>31060.575000000004</v>
      </c>
      <c r="D1661" s="4">
        <v>1</v>
      </c>
      <c r="E1661" s="5" t="s">
        <v>219</v>
      </c>
      <c r="F1661" s="4" t="s">
        <v>3734</v>
      </c>
      <c r="G1661" s="4" t="s">
        <v>12</v>
      </c>
      <c r="H1661" s="4" t="s">
        <v>3734</v>
      </c>
      <c r="I1661" s="4" t="s">
        <v>22</v>
      </c>
      <c r="J1661" s="4" t="s">
        <v>3735</v>
      </c>
      <c r="K1661" s="4" t="s">
        <v>417</v>
      </c>
      <c r="M1661">
        <f t="shared" si="52"/>
        <v>27954.517500000002</v>
      </c>
    </row>
    <row r="1662" spans="1:13" ht="14" x14ac:dyDescent="0.2">
      <c r="A1662" s="4" t="s">
        <v>3736</v>
      </c>
      <c r="B1662" s="5">
        <v>9465.710231250001</v>
      </c>
      <c r="C1662" s="5">
        <f t="shared" si="51"/>
        <v>338.06107968750001</v>
      </c>
      <c r="D1662" s="4">
        <v>28</v>
      </c>
      <c r="E1662" s="5" t="s">
        <v>30</v>
      </c>
      <c r="F1662" s="4" t="s">
        <v>2061</v>
      </c>
      <c r="G1662" s="4" t="s">
        <v>20</v>
      </c>
      <c r="H1662" s="4" t="s">
        <v>3737</v>
      </c>
      <c r="I1662" s="4" t="s">
        <v>14</v>
      </c>
      <c r="J1662" s="4" t="s">
        <v>95</v>
      </c>
      <c r="K1662" s="4" t="s">
        <v>87</v>
      </c>
      <c r="M1662">
        <f t="shared" si="52"/>
        <v>304.25497171875003</v>
      </c>
    </row>
    <row r="1663" spans="1:13" ht="14" x14ac:dyDescent="0.2">
      <c r="A1663" s="4" t="s">
        <v>3738</v>
      </c>
      <c r="B1663" s="5">
        <v>5324.67</v>
      </c>
      <c r="C1663" s="5">
        <f t="shared" si="51"/>
        <v>5324.67</v>
      </c>
      <c r="D1663" s="4">
        <v>1</v>
      </c>
      <c r="E1663" s="5" t="s">
        <v>1119</v>
      </c>
      <c r="F1663" s="4" t="s">
        <v>3739</v>
      </c>
      <c r="G1663" s="4" t="s">
        <v>20</v>
      </c>
      <c r="H1663" s="4" t="s">
        <v>3740</v>
      </c>
      <c r="I1663" s="4" t="s">
        <v>14</v>
      </c>
      <c r="J1663" s="4" t="s">
        <v>3741</v>
      </c>
      <c r="K1663" s="4" t="s">
        <v>53</v>
      </c>
      <c r="M1663">
        <f t="shared" si="52"/>
        <v>4792.2030000000004</v>
      </c>
    </row>
    <row r="1664" spans="1:13" ht="14" x14ac:dyDescent="0.2">
      <c r="A1664" s="4" t="s">
        <v>3742</v>
      </c>
      <c r="B1664" s="5">
        <v>17138.7815625</v>
      </c>
      <c r="C1664" s="5">
        <f t="shared" si="51"/>
        <v>17138.7815625</v>
      </c>
      <c r="D1664" s="4">
        <v>1</v>
      </c>
      <c r="E1664" s="5" t="s">
        <v>59</v>
      </c>
      <c r="F1664" s="4" t="s">
        <v>3743</v>
      </c>
      <c r="G1664" s="4" t="s">
        <v>20</v>
      </c>
      <c r="H1664" s="4" t="s">
        <v>3742</v>
      </c>
      <c r="I1664" s="4" t="s">
        <v>14</v>
      </c>
      <c r="J1664" s="8">
        <v>5.0000000000000001E-4</v>
      </c>
      <c r="K1664" s="4" t="s">
        <v>118</v>
      </c>
      <c r="M1664">
        <f t="shared" si="52"/>
        <v>15424.90340625</v>
      </c>
    </row>
    <row r="1665" spans="1:25" ht="14" x14ac:dyDescent="0.2">
      <c r="A1665" s="4" t="s">
        <v>3744</v>
      </c>
      <c r="B1665" s="5">
        <v>20244.839062500003</v>
      </c>
      <c r="C1665" s="5">
        <f t="shared" si="51"/>
        <v>20244.839062500003</v>
      </c>
      <c r="D1665" s="4">
        <v>1</v>
      </c>
      <c r="E1665" s="5" t="s">
        <v>750</v>
      </c>
      <c r="F1665" s="4" t="s">
        <v>3743</v>
      </c>
      <c r="G1665" s="4" t="s">
        <v>20</v>
      </c>
      <c r="H1665" s="4" t="s">
        <v>3744</v>
      </c>
      <c r="I1665" s="4" t="s">
        <v>14</v>
      </c>
      <c r="J1665" s="8">
        <v>1E-3</v>
      </c>
      <c r="K1665" s="4" t="s">
        <v>118</v>
      </c>
      <c r="M1665">
        <f t="shared" si="52"/>
        <v>18220.355156250003</v>
      </c>
    </row>
    <row r="1666" spans="1:25" ht="14" x14ac:dyDescent="0.2">
      <c r="A1666" s="7" t="s">
        <v>5437</v>
      </c>
      <c r="B1666" s="10">
        <v>6433.9762500000006</v>
      </c>
      <c r="C1666" s="5">
        <f t="shared" si="51"/>
        <v>6433.9762500000006</v>
      </c>
      <c r="D1666" s="9">
        <v>1</v>
      </c>
      <c r="E1666" s="10" t="s">
        <v>5193</v>
      </c>
      <c r="F1666" s="7" t="s">
        <v>250</v>
      </c>
      <c r="H1666" s="7" t="s">
        <v>5438</v>
      </c>
      <c r="J1666" s="7" t="s">
        <v>89</v>
      </c>
      <c r="K1666" s="7" t="s">
        <v>53</v>
      </c>
      <c r="M1666">
        <f t="shared" si="52"/>
        <v>5790.5786250000001</v>
      </c>
    </row>
    <row r="1667" spans="1:25" ht="14" x14ac:dyDescent="0.2">
      <c r="A1667" s="4" t="s">
        <v>3745</v>
      </c>
      <c r="B1667" s="5">
        <v>8029.1586375000006</v>
      </c>
      <c r="C1667" s="5">
        <f t="shared" ref="C1667:C1730" si="53">(B1667/D1667)</f>
        <v>8029.1586375000006</v>
      </c>
      <c r="D1667" s="4">
        <v>1</v>
      </c>
      <c r="E1667" s="5" t="s">
        <v>55</v>
      </c>
      <c r="F1667" s="4" t="s">
        <v>3746</v>
      </c>
      <c r="G1667" s="4" t="s">
        <v>20</v>
      </c>
      <c r="H1667" s="4" t="s">
        <v>3747</v>
      </c>
      <c r="I1667" s="4" t="s">
        <v>14</v>
      </c>
      <c r="J1667" s="6">
        <v>0.05</v>
      </c>
      <c r="K1667" s="4" t="s">
        <v>53</v>
      </c>
      <c r="M1667">
        <f t="shared" si="52"/>
        <v>7226.2427737500002</v>
      </c>
    </row>
    <row r="1668" spans="1:25" ht="14" x14ac:dyDescent="0.2">
      <c r="A1668" s="4" t="s">
        <v>3748</v>
      </c>
      <c r="B1668" s="5">
        <v>2884.1962500000004</v>
      </c>
      <c r="C1668" s="5">
        <f t="shared" si="53"/>
        <v>2884.1962500000004</v>
      </c>
      <c r="D1668" s="4">
        <v>1</v>
      </c>
      <c r="E1668" s="5" t="s">
        <v>142</v>
      </c>
      <c r="F1668" s="4" t="s">
        <v>3749</v>
      </c>
      <c r="G1668" s="4" t="s">
        <v>20</v>
      </c>
      <c r="H1668" s="4" t="s">
        <v>3750</v>
      </c>
      <c r="I1668" s="4" t="s">
        <v>22</v>
      </c>
      <c r="J1668" s="4" t="s">
        <v>2290</v>
      </c>
      <c r="K1668" s="4" t="s">
        <v>179</v>
      </c>
      <c r="M1668">
        <f t="shared" si="52"/>
        <v>2595.7766250000004</v>
      </c>
    </row>
    <row r="1669" spans="1:25" ht="14" x14ac:dyDescent="0.2">
      <c r="A1669" s="4" t="s">
        <v>3751</v>
      </c>
      <c r="B1669" s="5">
        <v>3216.9881250000003</v>
      </c>
      <c r="C1669" s="5">
        <f t="shared" si="53"/>
        <v>321.69881250000003</v>
      </c>
      <c r="D1669" s="4">
        <v>10</v>
      </c>
      <c r="E1669" s="5" t="s">
        <v>124</v>
      </c>
      <c r="F1669" s="4" t="s">
        <v>3752</v>
      </c>
      <c r="G1669" s="4" t="s">
        <v>20</v>
      </c>
      <c r="H1669" s="4" t="s">
        <v>3752</v>
      </c>
      <c r="I1669" s="4" t="s">
        <v>22</v>
      </c>
      <c r="K1669" s="4" t="s">
        <v>68</v>
      </c>
      <c r="M1669">
        <f t="shared" si="52"/>
        <v>289.52893125000003</v>
      </c>
    </row>
    <row r="1670" spans="1:25" ht="14" x14ac:dyDescent="0.2">
      <c r="A1670" s="4" t="s">
        <v>3753</v>
      </c>
      <c r="B1670" s="5">
        <v>10205.6175</v>
      </c>
      <c r="C1670" s="5">
        <f t="shared" si="53"/>
        <v>340.18725000000001</v>
      </c>
      <c r="D1670" s="4">
        <v>30</v>
      </c>
      <c r="E1670" s="5" t="s">
        <v>30</v>
      </c>
      <c r="F1670" s="4" t="s">
        <v>2523</v>
      </c>
      <c r="G1670" s="4" t="s">
        <v>12</v>
      </c>
      <c r="H1670" s="4" t="s">
        <v>3754</v>
      </c>
      <c r="I1670" s="4" t="s">
        <v>22</v>
      </c>
      <c r="J1670" s="4" t="s">
        <v>207</v>
      </c>
      <c r="K1670" s="4" t="s">
        <v>511</v>
      </c>
      <c r="M1670">
        <f t="shared" si="52"/>
        <v>306.16852499999999</v>
      </c>
    </row>
    <row r="1671" spans="1:25" ht="14" x14ac:dyDescent="0.2">
      <c r="A1671" s="4" t="s">
        <v>3755</v>
      </c>
      <c r="B1671" s="5">
        <v>5793.9065437500012</v>
      </c>
      <c r="C1671" s="5">
        <f t="shared" si="53"/>
        <v>193.13021812500003</v>
      </c>
      <c r="D1671" s="4">
        <v>30</v>
      </c>
      <c r="E1671" s="5" t="s">
        <v>10</v>
      </c>
      <c r="F1671" s="4" t="s">
        <v>3756</v>
      </c>
      <c r="G1671" s="4" t="s">
        <v>12</v>
      </c>
      <c r="H1671" s="4" t="s">
        <v>3757</v>
      </c>
      <c r="I1671" s="4" t="s">
        <v>22</v>
      </c>
      <c r="J1671" s="4" t="s">
        <v>200</v>
      </c>
      <c r="K1671" s="4" t="s">
        <v>227</v>
      </c>
      <c r="M1671">
        <f t="shared" si="52"/>
        <v>173.81719631250002</v>
      </c>
    </row>
    <row r="1672" spans="1:25" ht="14" x14ac:dyDescent="0.2">
      <c r="A1672" s="4" t="s">
        <v>3758</v>
      </c>
      <c r="B1672" s="5">
        <v>7573.2337687500003</v>
      </c>
      <c r="C1672" s="5">
        <f t="shared" si="53"/>
        <v>252.44112562500001</v>
      </c>
      <c r="D1672" s="4">
        <v>30</v>
      </c>
      <c r="E1672" s="5" t="s">
        <v>10</v>
      </c>
      <c r="F1672" s="4" t="s">
        <v>3756</v>
      </c>
      <c r="G1672" s="4" t="s">
        <v>12</v>
      </c>
      <c r="H1672" s="4" t="s">
        <v>3757</v>
      </c>
      <c r="I1672" s="4" t="s">
        <v>22</v>
      </c>
      <c r="J1672" s="4" t="s">
        <v>146</v>
      </c>
      <c r="K1672" s="4" t="s">
        <v>227</v>
      </c>
      <c r="M1672">
        <f t="shared" si="52"/>
        <v>227.19701306250002</v>
      </c>
    </row>
    <row r="1673" spans="1:25" ht="14" x14ac:dyDescent="0.2">
      <c r="A1673" s="4" t="s">
        <v>3759</v>
      </c>
      <c r="B1673" s="5">
        <v>3797.1552937500001</v>
      </c>
      <c r="C1673" s="5">
        <f t="shared" si="53"/>
        <v>3797.1552937500001</v>
      </c>
      <c r="D1673" s="4">
        <v>1</v>
      </c>
      <c r="E1673" s="5" t="s">
        <v>181</v>
      </c>
      <c r="F1673" s="4" t="s">
        <v>1510</v>
      </c>
      <c r="G1673" s="4" t="s">
        <v>20</v>
      </c>
      <c r="H1673" s="4" t="s">
        <v>3760</v>
      </c>
      <c r="I1673" s="4" t="s">
        <v>22</v>
      </c>
      <c r="J1673" s="4" t="s">
        <v>3761</v>
      </c>
      <c r="K1673" s="4" t="s">
        <v>108</v>
      </c>
      <c r="M1673">
        <f t="shared" si="52"/>
        <v>3417.4397643749999</v>
      </c>
    </row>
    <row r="1674" spans="1:25" ht="14" x14ac:dyDescent="0.2">
      <c r="A1674" s="4" t="s">
        <v>3762</v>
      </c>
      <c r="B1674" s="5">
        <v>3216.9881250000003</v>
      </c>
      <c r="C1674" s="5">
        <f t="shared" si="53"/>
        <v>357.44312500000001</v>
      </c>
      <c r="D1674" s="4">
        <v>9</v>
      </c>
      <c r="E1674" s="5" t="s">
        <v>10</v>
      </c>
      <c r="F1674" s="4" t="s">
        <v>3763</v>
      </c>
      <c r="G1674" s="4" t="s">
        <v>20</v>
      </c>
      <c r="H1674" s="4" t="s">
        <v>3760</v>
      </c>
      <c r="I1674" s="4" t="s">
        <v>22</v>
      </c>
      <c r="J1674" s="4" t="s">
        <v>1512</v>
      </c>
      <c r="K1674" s="4" t="s">
        <v>108</v>
      </c>
      <c r="M1674">
        <f t="shared" si="52"/>
        <v>321.69881250000003</v>
      </c>
    </row>
    <row r="1675" spans="1:25" ht="14" x14ac:dyDescent="0.2">
      <c r="A1675" s="7" t="s">
        <v>5439</v>
      </c>
      <c r="B1675" s="10">
        <v>58515.904687500006</v>
      </c>
      <c r="C1675" s="5">
        <f t="shared" si="53"/>
        <v>58515.904687500006</v>
      </c>
      <c r="D1675" s="9">
        <v>1</v>
      </c>
      <c r="E1675" s="10" t="s">
        <v>5185</v>
      </c>
      <c r="F1675" s="7" t="s">
        <v>5440</v>
      </c>
      <c r="G1675" s="7" t="s">
        <v>12</v>
      </c>
      <c r="H1675" s="7" t="s">
        <v>5441</v>
      </c>
      <c r="J1675" s="7" t="s">
        <v>4126</v>
      </c>
      <c r="K1675" s="7" t="s">
        <v>68</v>
      </c>
      <c r="L1675" s="4"/>
      <c r="M1675">
        <f t="shared" si="52"/>
        <v>52664.314218750005</v>
      </c>
      <c r="N1675" s="3"/>
      <c r="O1675" s="3"/>
      <c r="P1675" s="3"/>
      <c r="Q1675" s="2"/>
      <c r="R1675" s="2"/>
      <c r="S1675" s="2"/>
      <c r="T1675" s="2"/>
      <c r="U1675" s="2"/>
      <c r="V1675" s="2"/>
      <c r="W1675" s="2"/>
      <c r="X1675" s="2"/>
      <c r="Y1675" s="2"/>
    </row>
    <row r="1676" spans="1:25" ht="14" x14ac:dyDescent="0.2">
      <c r="A1676" s="4" t="s">
        <v>3764</v>
      </c>
      <c r="B1676" s="5">
        <v>453.70625625000008</v>
      </c>
      <c r="C1676" s="5">
        <f t="shared" si="53"/>
        <v>45.37062562500001</v>
      </c>
      <c r="D1676" s="4">
        <v>10</v>
      </c>
      <c r="E1676" s="5" t="s">
        <v>10</v>
      </c>
      <c r="F1676" s="4" t="s">
        <v>3765</v>
      </c>
      <c r="G1676" s="4" t="s">
        <v>20</v>
      </c>
      <c r="H1676" s="4" t="s">
        <v>3766</v>
      </c>
      <c r="I1676" s="4" t="s">
        <v>22</v>
      </c>
      <c r="J1676" s="4" t="s">
        <v>148</v>
      </c>
      <c r="K1676" s="4" t="s">
        <v>406</v>
      </c>
      <c r="M1676">
        <f t="shared" si="52"/>
        <v>40.833563062500005</v>
      </c>
    </row>
    <row r="1677" spans="1:25" ht="14" x14ac:dyDescent="0.2">
      <c r="A1677" s="4" t="s">
        <v>3767</v>
      </c>
      <c r="B1677" s="5">
        <v>14420.981250000001</v>
      </c>
      <c r="C1677" s="5">
        <f t="shared" si="53"/>
        <v>144.2098125</v>
      </c>
      <c r="D1677" s="4">
        <v>100</v>
      </c>
      <c r="E1677" s="5" t="s">
        <v>10</v>
      </c>
      <c r="F1677" s="4" t="s">
        <v>3768</v>
      </c>
      <c r="G1677" s="4" t="s">
        <v>12</v>
      </c>
      <c r="H1677" s="4" t="s">
        <v>3769</v>
      </c>
      <c r="I1677" s="4" t="s">
        <v>14</v>
      </c>
      <c r="J1677" s="4" t="s">
        <v>140</v>
      </c>
      <c r="K1677" s="4" t="s">
        <v>108</v>
      </c>
      <c r="M1677">
        <f t="shared" si="52"/>
        <v>129.78883124999999</v>
      </c>
    </row>
    <row r="1678" spans="1:25" ht="14" x14ac:dyDescent="0.2">
      <c r="A1678" s="4" t="s">
        <v>3770</v>
      </c>
      <c r="B1678" s="5">
        <v>4991.8781250000002</v>
      </c>
      <c r="C1678" s="5">
        <f t="shared" si="53"/>
        <v>499.18781250000001</v>
      </c>
      <c r="D1678" s="4">
        <v>10</v>
      </c>
      <c r="E1678" s="5" t="s">
        <v>10</v>
      </c>
      <c r="F1678" s="4" t="s">
        <v>3771</v>
      </c>
      <c r="G1678" s="4" t="s">
        <v>20</v>
      </c>
      <c r="H1678" s="4" t="s">
        <v>3772</v>
      </c>
      <c r="I1678" s="4" t="s">
        <v>22</v>
      </c>
      <c r="J1678" s="4" t="s">
        <v>1208</v>
      </c>
      <c r="K1678" s="4" t="s">
        <v>87</v>
      </c>
      <c r="M1678">
        <f t="shared" si="52"/>
        <v>449.26903125000001</v>
      </c>
    </row>
    <row r="1679" spans="1:25" ht="14" x14ac:dyDescent="0.2">
      <c r="A1679" s="4" t="s">
        <v>3773</v>
      </c>
      <c r="B1679" s="5">
        <v>8874.4500000000007</v>
      </c>
      <c r="C1679" s="5">
        <f t="shared" si="53"/>
        <v>88.744500000000002</v>
      </c>
      <c r="D1679" s="4">
        <v>100</v>
      </c>
      <c r="E1679" s="5" t="s">
        <v>10</v>
      </c>
      <c r="F1679" s="4" t="s">
        <v>3774</v>
      </c>
      <c r="G1679" s="4" t="s">
        <v>20</v>
      </c>
      <c r="H1679" s="4" t="s">
        <v>3775</v>
      </c>
      <c r="I1679" s="4" t="s">
        <v>14</v>
      </c>
      <c r="J1679" s="4" t="s">
        <v>3776</v>
      </c>
      <c r="K1679" s="4" t="s">
        <v>87</v>
      </c>
      <c r="M1679">
        <f t="shared" si="52"/>
        <v>79.870050000000006</v>
      </c>
    </row>
    <row r="1680" spans="1:25" ht="14" x14ac:dyDescent="0.2">
      <c r="A1680" s="4" t="s">
        <v>3777</v>
      </c>
      <c r="B1680" s="5">
        <v>998.37562500000013</v>
      </c>
      <c r="C1680" s="5">
        <f t="shared" si="53"/>
        <v>99.837562500000018</v>
      </c>
      <c r="D1680" s="4">
        <v>10</v>
      </c>
      <c r="E1680" s="5" t="s">
        <v>10</v>
      </c>
      <c r="F1680" s="4" t="s">
        <v>258</v>
      </c>
      <c r="G1680" s="4" t="s">
        <v>20</v>
      </c>
      <c r="H1680" s="4" t="s">
        <v>3778</v>
      </c>
      <c r="I1680" s="4" t="s">
        <v>14</v>
      </c>
      <c r="J1680" s="4" t="s">
        <v>207</v>
      </c>
      <c r="K1680" s="4" t="s">
        <v>87</v>
      </c>
      <c r="M1680">
        <f t="shared" si="52"/>
        <v>89.853806250000019</v>
      </c>
    </row>
    <row r="1681" spans="1:25" ht="14" x14ac:dyDescent="0.2">
      <c r="A1681" s="4" t="s">
        <v>3779</v>
      </c>
      <c r="B1681" s="5">
        <v>1663.9593750000001</v>
      </c>
      <c r="C1681" s="5">
        <f t="shared" si="53"/>
        <v>1663.9593750000001</v>
      </c>
      <c r="D1681" s="4">
        <v>1</v>
      </c>
      <c r="E1681" s="5" t="s">
        <v>59</v>
      </c>
      <c r="F1681" s="4" t="s">
        <v>258</v>
      </c>
      <c r="G1681" s="4" t="s">
        <v>20</v>
      </c>
      <c r="H1681" s="4" t="s">
        <v>3779</v>
      </c>
      <c r="I1681" s="4" t="s">
        <v>22</v>
      </c>
      <c r="J1681" s="4" t="s">
        <v>1898</v>
      </c>
      <c r="K1681" s="4" t="s">
        <v>87</v>
      </c>
      <c r="M1681">
        <f t="shared" si="52"/>
        <v>1497.5634375000002</v>
      </c>
    </row>
    <row r="1682" spans="1:25" ht="14" x14ac:dyDescent="0.2">
      <c r="A1682" s="4" t="s">
        <v>3780</v>
      </c>
      <c r="B1682" s="5">
        <v>1663.9593750000001</v>
      </c>
      <c r="C1682" s="5">
        <f t="shared" si="53"/>
        <v>1663.9593750000001</v>
      </c>
      <c r="D1682" s="4">
        <v>1</v>
      </c>
      <c r="E1682" s="5" t="s">
        <v>59</v>
      </c>
      <c r="F1682" s="4" t="s">
        <v>258</v>
      </c>
      <c r="G1682" s="4" t="s">
        <v>20</v>
      </c>
      <c r="H1682" s="4" t="s">
        <v>3781</v>
      </c>
      <c r="I1682" s="4" t="s">
        <v>22</v>
      </c>
      <c r="J1682" s="4" t="s">
        <v>1094</v>
      </c>
      <c r="K1682" s="4" t="s">
        <v>87</v>
      </c>
      <c r="M1682">
        <f t="shared" si="52"/>
        <v>1497.5634375000002</v>
      </c>
    </row>
    <row r="1683" spans="1:25" ht="14" x14ac:dyDescent="0.2">
      <c r="A1683" s="4" t="s">
        <v>3782</v>
      </c>
      <c r="B1683" s="5">
        <v>26623.350000000002</v>
      </c>
      <c r="C1683" s="5">
        <f t="shared" si="53"/>
        <v>266.23350000000005</v>
      </c>
      <c r="D1683" s="4">
        <v>100</v>
      </c>
      <c r="E1683" s="5" t="s">
        <v>10</v>
      </c>
      <c r="F1683" s="4" t="s">
        <v>1624</v>
      </c>
      <c r="G1683" s="4" t="s">
        <v>12</v>
      </c>
      <c r="H1683" s="4" t="s">
        <v>3783</v>
      </c>
      <c r="I1683" s="4" t="s">
        <v>22</v>
      </c>
      <c r="J1683" s="4" t="s">
        <v>351</v>
      </c>
      <c r="K1683" s="4" t="s">
        <v>16</v>
      </c>
      <c r="M1683">
        <f t="shared" si="52"/>
        <v>239.61015000000003</v>
      </c>
    </row>
    <row r="1684" spans="1:25" ht="14" x14ac:dyDescent="0.2">
      <c r="A1684" s="4" t="s">
        <v>3784</v>
      </c>
      <c r="B1684" s="5">
        <v>19967.512500000001</v>
      </c>
      <c r="C1684" s="5">
        <f t="shared" si="53"/>
        <v>199.67512500000001</v>
      </c>
      <c r="D1684" s="4">
        <v>100</v>
      </c>
      <c r="E1684" s="5" t="s">
        <v>10</v>
      </c>
      <c r="F1684" s="4" t="s">
        <v>1624</v>
      </c>
      <c r="G1684" s="4" t="s">
        <v>12</v>
      </c>
      <c r="H1684" s="4" t="s">
        <v>3783</v>
      </c>
      <c r="I1684" s="4" t="s">
        <v>22</v>
      </c>
      <c r="J1684" s="4" t="s">
        <v>207</v>
      </c>
      <c r="K1684" s="4" t="s">
        <v>16</v>
      </c>
      <c r="M1684">
        <f t="shared" si="52"/>
        <v>179.70761250000001</v>
      </c>
    </row>
    <row r="1685" spans="1:25" ht="14" x14ac:dyDescent="0.2">
      <c r="A1685" s="4" t="s">
        <v>3785</v>
      </c>
      <c r="B1685" s="5">
        <v>41044.331250000003</v>
      </c>
      <c r="C1685" s="5">
        <f t="shared" si="53"/>
        <v>41044.331250000003</v>
      </c>
      <c r="D1685" s="4">
        <v>1</v>
      </c>
      <c r="E1685" s="5" t="s">
        <v>3786</v>
      </c>
      <c r="F1685" s="4" t="s">
        <v>3787</v>
      </c>
      <c r="G1685" s="4" t="s">
        <v>20</v>
      </c>
      <c r="H1685" s="4" t="s">
        <v>3788</v>
      </c>
      <c r="I1685" s="4" t="s">
        <v>14</v>
      </c>
      <c r="J1685" s="6">
        <v>0.1</v>
      </c>
      <c r="K1685" s="4" t="s">
        <v>23</v>
      </c>
      <c r="M1685">
        <f t="shared" si="52"/>
        <v>36939.898125</v>
      </c>
    </row>
    <row r="1686" spans="1:25" ht="14" x14ac:dyDescent="0.2">
      <c r="A1686" s="7" t="s">
        <v>5442</v>
      </c>
      <c r="B1686" s="10">
        <v>40489.678125000006</v>
      </c>
      <c r="C1686" s="5">
        <f t="shared" si="53"/>
        <v>40489.678125000006</v>
      </c>
      <c r="D1686" s="9">
        <v>1</v>
      </c>
      <c r="E1686" s="10" t="s">
        <v>5443</v>
      </c>
      <c r="F1686" s="7" t="s">
        <v>5444</v>
      </c>
      <c r="G1686" s="7" t="s">
        <v>12</v>
      </c>
      <c r="H1686" s="16" t="s">
        <v>5445</v>
      </c>
      <c r="I1686" s="16"/>
      <c r="J1686" s="12">
        <v>0.1</v>
      </c>
      <c r="K1686" s="7" t="s">
        <v>23</v>
      </c>
      <c r="L1686" s="4"/>
      <c r="M1686">
        <f t="shared" si="52"/>
        <v>36440.710312500007</v>
      </c>
      <c r="N1686" s="3"/>
      <c r="O1686" s="3"/>
      <c r="P1686" s="3"/>
      <c r="Q1686" s="2"/>
      <c r="R1686" s="2"/>
      <c r="S1686" s="2"/>
      <c r="T1686" s="2"/>
      <c r="U1686" s="2"/>
      <c r="V1686" s="2"/>
      <c r="W1686" s="2"/>
      <c r="X1686" s="2"/>
      <c r="Y1686" s="2"/>
    </row>
    <row r="1687" spans="1:25" ht="14" x14ac:dyDescent="0.2">
      <c r="A1687" s="7" t="s">
        <v>5446</v>
      </c>
      <c r="B1687" s="10">
        <v>2773.2656250000005</v>
      </c>
      <c r="C1687" s="5">
        <f t="shared" si="53"/>
        <v>277.32656250000002</v>
      </c>
      <c r="D1687" s="9">
        <v>10</v>
      </c>
      <c r="E1687" s="10" t="s">
        <v>5193</v>
      </c>
      <c r="F1687" s="7" t="s">
        <v>5447</v>
      </c>
      <c r="G1687" s="7" t="s">
        <v>12</v>
      </c>
      <c r="H1687" s="7" t="s">
        <v>5448</v>
      </c>
      <c r="J1687" s="7" t="s">
        <v>5449</v>
      </c>
      <c r="K1687" s="7" t="s">
        <v>406</v>
      </c>
      <c r="L1687" s="4"/>
      <c r="M1687">
        <f t="shared" si="52"/>
        <v>249.59390625000003</v>
      </c>
      <c r="N1687" s="3"/>
      <c r="O1687" s="3"/>
      <c r="P1687" s="3"/>
      <c r="Q1687" s="2"/>
      <c r="R1687" s="2"/>
      <c r="S1687" s="2"/>
      <c r="T1687" s="2"/>
      <c r="U1687" s="2"/>
      <c r="V1687" s="2"/>
      <c r="W1687" s="2"/>
      <c r="X1687" s="2"/>
      <c r="Y1687" s="2"/>
    </row>
    <row r="1688" spans="1:25" ht="14" x14ac:dyDescent="0.2">
      <c r="A1688" s="4" t="s">
        <v>3789</v>
      </c>
      <c r="B1688" s="5">
        <v>5324.67</v>
      </c>
      <c r="C1688" s="5">
        <f t="shared" si="53"/>
        <v>190.16678571428571</v>
      </c>
      <c r="D1688" s="4">
        <v>28</v>
      </c>
      <c r="E1688" s="5" t="s">
        <v>10</v>
      </c>
      <c r="F1688" s="4" t="s">
        <v>3790</v>
      </c>
      <c r="G1688" s="4" t="s">
        <v>20</v>
      </c>
      <c r="H1688" s="4" t="s">
        <v>3790</v>
      </c>
      <c r="I1688" s="4" t="s">
        <v>22</v>
      </c>
      <c r="J1688" s="4" t="s">
        <v>148</v>
      </c>
      <c r="K1688" s="4" t="s">
        <v>748</v>
      </c>
      <c r="M1688">
        <f t="shared" si="52"/>
        <v>171.15010714285714</v>
      </c>
    </row>
    <row r="1689" spans="1:25" ht="14" x14ac:dyDescent="0.2">
      <c r="A1689" s="4" t="s">
        <v>3791</v>
      </c>
      <c r="B1689" s="5">
        <v>5324.67</v>
      </c>
      <c r="C1689" s="5">
        <f t="shared" si="53"/>
        <v>190.16678571428571</v>
      </c>
      <c r="D1689" s="4">
        <v>28</v>
      </c>
      <c r="E1689" s="5" t="s">
        <v>10</v>
      </c>
      <c r="F1689" s="4" t="s">
        <v>3790</v>
      </c>
      <c r="G1689" s="4" t="s">
        <v>20</v>
      </c>
      <c r="H1689" s="4" t="s">
        <v>3790</v>
      </c>
      <c r="I1689" s="4" t="s">
        <v>22</v>
      </c>
      <c r="J1689" s="4" t="s">
        <v>495</v>
      </c>
      <c r="K1689" s="4" t="s">
        <v>748</v>
      </c>
      <c r="M1689">
        <f t="shared" si="52"/>
        <v>171.15010714285714</v>
      </c>
    </row>
    <row r="1690" spans="1:25" ht="14" x14ac:dyDescent="0.2">
      <c r="A1690" s="4" t="s">
        <v>3792</v>
      </c>
      <c r="B1690" s="5">
        <v>3882.5718750000005</v>
      </c>
      <c r="C1690" s="5">
        <f t="shared" si="53"/>
        <v>485.32148437500007</v>
      </c>
      <c r="D1690" s="4">
        <v>8</v>
      </c>
      <c r="E1690" s="5" t="s">
        <v>257</v>
      </c>
      <c r="F1690" s="4" t="s">
        <v>3793</v>
      </c>
      <c r="G1690" s="4" t="s">
        <v>20</v>
      </c>
      <c r="H1690" s="4" t="s">
        <v>258</v>
      </c>
      <c r="I1690" s="4" t="s">
        <v>22</v>
      </c>
      <c r="J1690" s="4" t="s">
        <v>3794</v>
      </c>
      <c r="K1690" s="4" t="s">
        <v>87</v>
      </c>
      <c r="M1690">
        <f t="shared" si="52"/>
        <v>436.78933593750003</v>
      </c>
    </row>
    <row r="1691" spans="1:25" ht="14" x14ac:dyDescent="0.2">
      <c r="A1691" s="4" t="s">
        <v>3795</v>
      </c>
      <c r="B1691" s="5">
        <v>9761.8950000000004</v>
      </c>
      <c r="C1691" s="5">
        <f t="shared" si="53"/>
        <v>488.09475000000003</v>
      </c>
      <c r="D1691" s="4">
        <v>20</v>
      </c>
      <c r="E1691" s="5" t="s">
        <v>30</v>
      </c>
      <c r="F1691" s="4" t="s">
        <v>3795</v>
      </c>
      <c r="G1691" s="4" t="s">
        <v>20</v>
      </c>
      <c r="H1691" s="4" t="s">
        <v>3796</v>
      </c>
      <c r="I1691" s="4" t="s">
        <v>22</v>
      </c>
      <c r="J1691" s="4" t="s">
        <v>3797</v>
      </c>
      <c r="K1691" s="4" t="s">
        <v>87</v>
      </c>
      <c r="M1691">
        <f t="shared" si="52"/>
        <v>439.28527500000001</v>
      </c>
    </row>
    <row r="1692" spans="1:25" ht="14" x14ac:dyDescent="0.2">
      <c r="A1692" s="4" t="s">
        <v>3798</v>
      </c>
      <c r="B1692" s="5">
        <v>887.44500000000005</v>
      </c>
      <c r="C1692" s="5">
        <f t="shared" si="53"/>
        <v>88.744500000000002</v>
      </c>
      <c r="D1692" s="4">
        <v>10</v>
      </c>
      <c r="E1692" s="5" t="s">
        <v>10</v>
      </c>
      <c r="F1692" s="4" t="s">
        <v>3798</v>
      </c>
      <c r="G1692" s="4" t="s">
        <v>20</v>
      </c>
      <c r="H1692" s="4" t="s">
        <v>2940</v>
      </c>
      <c r="I1692" s="4" t="s">
        <v>22</v>
      </c>
      <c r="J1692" s="4" t="s">
        <v>3799</v>
      </c>
      <c r="K1692" s="4" t="s">
        <v>87</v>
      </c>
      <c r="M1692">
        <f t="shared" si="52"/>
        <v>79.870050000000006</v>
      </c>
    </row>
    <row r="1693" spans="1:25" ht="14" x14ac:dyDescent="0.2">
      <c r="A1693" s="4" t="s">
        <v>3800</v>
      </c>
      <c r="B1693" s="5">
        <v>1663.9593750000001</v>
      </c>
      <c r="C1693" s="5">
        <f t="shared" si="53"/>
        <v>166.3959375</v>
      </c>
      <c r="D1693" s="4">
        <v>10</v>
      </c>
      <c r="E1693" s="5" t="s">
        <v>124</v>
      </c>
      <c r="F1693" s="4" t="s">
        <v>258</v>
      </c>
      <c r="G1693" s="4" t="s">
        <v>20</v>
      </c>
      <c r="H1693" s="4" t="s">
        <v>258</v>
      </c>
      <c r="I1693" s="4" t="s">
        <v>22</v>
      </c>
      <c r="J1693" s="4" t="s">
        <v>3801</v>
      </c>
      <c r="K1693" s="4" t="s">
        <v>87</v>
      </c>
      <c r="M1693">
        <f t="shared" ref="M1693:M1756" si="54">C1693-(C1693* 10%)</f>
        <v>149.75634375000001</v>
      </c>
    </row>
    <row r="1694" spans="1:25" ht="14" x14ac:dyDescent="0.2">
      <c r="A1694" s="4" t="s">
        <v>3802</v>
      </c>
      <c r="B1694" s="5">
        <v>4326.2943750000004</v>
      </c>
      <c r="C1694" s="5">
        <f t="shared" si="53"/>
        <v>432.62943750000005</v>
      </c>
      <c r="D1694" s="4">
        <v>10</v>
      </c>
      <c r="E1694" s="5" t="s">
        <v>10</v>
      </c>
      <c r="F1694" s="4" t="s">
        <v>258</v>
      </c>
      <c r="G1694" s="4" t="s">
        <v>20</v>
      </c>
      <c r="H1694" s="4" t="s">
        <v>258</v>
      </c>
      <c r="I1694" s="4" t="s">
        <v>22</v>
      </c>
      <c r="J1694" s="4" t="s">
        <v>207</v>
      </c>
      <c r="K1694" s="4" t="s">
        <v>87</v>
      </c>
      <c r="M1694">
        <f t="shared" si="54"/>
        <v>389.36649375000002</v>
      </c>
    </row>
    <row r="1695" spans="1:25" ht="14" x14ac:dyDescent="0.2">
      <c r="A1695" s="4" t="s">
        <v>3803</v>
      </c>
      <c r="B1695" s="5">
        <v>887.44500000000005</v>
      </c>
      <c r="C1695" s="5">
        <f t="shared" si="53"/>
        <v>887.44500000000005</v>
      </c>
      <c r="D1695" s="4">
        <v>1</v>
      </c>
      <c r="E1695" s="5" t="s">
        <v>181</v>
      </c>
      <c r="F1695" s="4" t="s">
        <v>258</v>
      </c>
      <c r="G1695" s="4" t="s">
        <v>20</v>
      </c>
      <c r="H1695" s="4" t="s">
        <v>3804</v>
      </c>
      <c r="I1695" s="4" t="s">
        <v>22</v>
      </c>
      <c r="J1695" s="4" t="s">
        <v>1859</v>
      </c>
      <c r="K1695" s="4" t="s">
        <v>1899</v>
      </c>
      <c r="M1695">
        <f t="shared" si="54"/>
        <v>798.70050000000003</v>
      </c>
    </row>
    <row r="1696" spans="1:25" ht="14" x14ac:dyDescent="0.2">
      <c r="A1696" s="4" t="s">
        <v>3805</v>
      </c>
      <c r="B1696" s="5">
        <v>721.0490625000001</v>
      </c>
      <c r="C1696" s="5">
        <f t="shared" si="53"/>
        <v>72.104906250000013</v>
      </c>
      <c r="D1696" s="4">
        <v>10</v>
      </c>
      <c r="E1696" s="5" t="s">
        <v>10</v>
      </c>
      <c r="F1696" s="4" t="s">
        <v>258</v>
      </c>
      <c r="G1696" s="4" t="s">
        <v>20</v>
      </c>
      <c r="H1696" s="4" t="s">
        <v>258</v>
      </c>
      <c r="I1696" s="4" t="s">
        <v>22</v>
      </c>
      <c r="J1696" s="4" t="s">
        <v>351</v>
      </c>
      <c r="K1696" s="4" t="s">
        <v>87</v>
      </c>
      <c r="M1696">
        <f t="shared" si="54"/>
        <v>64.894415625000008</v>
      </c>
    </row>
    <row r="1697" spans="1:13" ht="14" x14ac:dyDescent="0.2">
      <c r="A1697" s="4" t="s">
        <v>3806</v>
      </c>
      <c r="B1697" s="5">
        <v>3216.9881250000003</v>
      </c>
      <c r="C1697" s="5">
        <f t="shared" si="53"/>
        <v>33.510292968750001</v>
      </c>
      <c r="D1697" s="4">
        <v>96</v>
      </c>
      <c r="E1697" s="5" t="s">
        <v>10</v>
      </c>
      <c r="F1697" s="4" t="s">
        <v>258</v>
      </c>
      <c r="G1697" s="4" t="s">
        <v>20</v>
      </c>
      <c r="H1697" s="4" t="s">
        <v>258</v>
      </c>
      <c r="I1697" s="4" t="s">
        <v>22</v>
      </c>
      <c r="J1697" s="4" t="s">
        <v>207</v>
      </c>
      <c r="K1697" s="4" t="s">
        <v>87</v>
      </c>
      <c r="M1697">
        <f t="shared" si="54"/>
        <v>30.159263671874999</v>
      </c>
    </row>
    <row r="1698" spans="1:13" ht="14" x14ac:dyDescent="0.2">
      <c r="A1698" s="4" t="s">
        <v>3807</v>
      </c>
      <c r="B1698" s="5">
        <v>16084.940625000001</v>
      </c>
      <c r="C1698" s="5">
        <f t="shared" si="53"/>
        <v>536.16468750000001</v>
      </c>
      <c r="D1698" s="4">
        <v>30</v>
      </c>
      <c r="E1698" s="5" t="s">
        <v>10</v>
      </c>
      <c r="F1698" s="4" t="s">
        <v>3808</v>
      </c>
      <c r="G1698" s="4" t="s">
        <v>12</v>
      </c>
      <c r="H1698" s="4" t="s">
        <v>3809</v>
      </c>
      <c r="I1698" s="4" t="s">
        <v>14</v>
      </c>
      <c r="J1698" s="4" t="s">
        <v>603</v>
      </c>
      <c r="K1698" s="4" t="s">
        <v>227</v>
      </c>
      <c r="M1698">
        <f t="shared" si="54"/>
        <v>482.54821874999999</v>
      </c>
    </row>
    <row r="1699" spans="1:13" ht="14" x14ac:dyDescent="0.2">
      <c r="A1699" s="4" t="s">
        <v>3810</v>
      </c>
      <c r="B1699" s="5">
        <v>6174.3985874999998</v>
      </c>
      <c r="C1699" s="5">
        <f t="shared" si="53"/>
        <v>617.43985874999998</v>
      </c>
      <c r="D1699" s="4">
        <v>10</v>
      </c>
      <c r="E1699" s="5" t="s">
        <v>10</v>
      </c>
      <c r="F1699" s="4" t="s">
        <v>50</v>
      </c>
      <c r="G1699" s="4" t="s">
        <v>20</v>
      </c>
      <c r="H1699" s="4" t="s">
        <v>3811</v>
      </c>
      <c r="I1699" s="4" t="s">
        <v>22</v>
      </c>
      <c r="J1699" s="4" t="s">
        <v>52</v>
      </c>
      <c r="K1699" s="4" t="s">
        <v>53</v>
      </c>
      <c r="M1699">
        <f t="shared" si="54"/>
        <v>555.69587287499996</v>
      </c>
    </row>
    <row r="1700" spans="1:13" ht="14" x14ac:dyDescent="0.2">
      <c r="A1700" s="4" t="s">
        <v>3812</v>
      </c>
      <c r="B1700" s="5">
        <v>8706.9447562500009</v>
      </c>
      <c r="C1700" s="5">
        <f t="shared" si="53"/>
        <v>87.069447562500002</v>
      </c>
      <c r="D1700" s="4">
        <v>100</v>
      </c>
      <c r="E1700" s="5" t="s">
        <v>10</v>
      </c>
      <c r="F1700" s="4" t="s">
        <v>3813</v>
      </c>
      <c r="G1700" s="4" t="s">
        <v>20</v>
      </c>
      <c r="H1700" s="4" t="s">
        <v>3814</v>
      </c>
      <c r="I1700" s="4" t="s">
        <v>22</v>
      </c>
      <c r="J1700" s="4" t="s">
        <v>78</v>
      </c>
      <c r="K1700" s="4" t="s">
        <v>87</v>
      </c>
      <c r="M1700">
        <f t="shared" si="54"/>
        <v>78.362502806250006</v>
      </c>
    </row>
    <row r="1701" spans="1:13" ht="14" x14ac:dyDescent="0.2">
      <c r="A1701" s="4" t="s">
        <v>3815</v>
      </c>
      <c r="B1701" s="5">
        <v>1663.9593750000001</v>
      </c>
      <c r="C1701" s="5">
        <f t="shared" si="53"/>
        <v>1663.9593750000001</v>
      </c>
      <c r="D1701" s="4">
        <v>1</v>
      </c>
      <c r="E1701" s="5" t="s">
        <v>142</v>
      </c>
      <c r="F1701" s="4" t="s">
        <v>3816</v>
      </c>
      <c r="G1701" s="4" t="s">
        <v>20</v>
      </c>
      <c r="H1701" s="4" t="s">
        <v>3816</v>
      </c>
      <c r="I1701" s="4" t="s">
        <v>22</v>
      </c>
      <c r="J1701" s="4" t="s">
        <v>2290</v>
      </c>
      <c r="K1701" s="4" t="s">
        <v>53</v>
      </c>
      <c r="M1701">
        <f t="shared" si="54"/>
        <v>1497.5634375000002</v>
      </c>
    </row>
    <row r="1702" spans="1:13" ht="14" x14ac:dyDescent="0.2">
      <c r="A1702" s="4" t="s">
        <v>3817</v>
      </c>
      <c r="B1702" s="5">
        <v>1663.9593750000001</v>
      </c>
      <c r="C1702" s="5">
        <f t="shared" si="53"/>
        <v>1663.9593750000001</v>
      </c>
      <c r="D1702" s="4">
        <v>1</v>
      </c>
      <c r="E1702" s="5" t="s">
        <v>18</v>
      </c>
      <c r="F1702" s="4" t="s">
        <v>3816</v>
      </c>
      <c r="G1702" s="4" t="s">
        <v>20</v>
      </c>
      <c r="H1702" s="4" t="s">
        <v>3818</v>
      </c>
      <c r="I1702" s="4" t="s">
        <v>22</v>
      </c>
      <c r="J1702" s="4" t="s">
        <v>1009</v>
      </c>
      <c r="K1702" s="4" t="s">
        <v>53</v>
      </c>
      <c r="M1702">
        <f t="shared" si="54"/>
        <v>1497.5634375000002</v>
      </c>
    </row>
    <row r="1703" spans="1:13" ht="14" x14ac:dyDescent="0.2">
      <c r="A1703" s="4" t="s">
        <v>3819</v>
      </c>
      <c r="B1703" s="5">
        <v>25169.049506250001</v>
      </c>
      <c r="C1703" s="5">
        <f t="shared" si="53"/>
        <v>25169.049506250001</v>
      </c>
      <c r="D1703" s="4">
        <v>1</v>
      </c>
      <c r="E1703" s="5" t="s">
        <v>59</v>
      </c>
      <c r="F1703" s="4" t="s">
        <v>3820</v>
      </c>
      <c r="G1703" s="4" t="s">
        <v>20</v>
      </c>
      <c r="H1703" s="4" t="s">
        <v>3821</v>
      </c>
      <c r="I1703" s="4" t="s">
        <v>22</v>
      </c>
      <c r="J1703" s="4" t="s">
        <v>67</v>
      </c>
      <c r="K1703" s="4" t="s">
        <v>53</v>
      </c>
      <c r="M1703">
        <f t="shared" si="54"/>
        <v>22652.144555625</v>
      </c>
    </row>
    <row r="1704" spans="1:13" ht="14" x14ac:dyDescent="0.2">
      <c r="A1704" s="4" t="s">
        <v>3822</v>
      </c>
      <c r="B1704" s="5">
        <v>28393.802775000004</v>
      </c>
      <c r="C1704" s="5">
        <f t="shared" si="53"/>
        <v>1014.0643848214287</v>
      </c>
      <c r="D1704" s="4">
        <v>28</v>
      </c>
      <c r="E1704" s="5" t="s">
        <v>10</v>
      </c>
      <c r="F1704" s="4" t="s">
        <v>3816</v>
      </c>
      <c r="G1704" s="4" t="s">
        <v>20</v>
      </c>
      <c r="H1704" s="4" t="s">
        <v>3823</v>
      </c>
      <c r="I1704" s="4" t="s">
        <v>22</v>
      </c>
      <c r="J1704" s="4" t="s">
        <v>67</v>
      </c>
      <c r="K1704" s="4" t="s">
        <v>53</v>
      </c>
      <c r="M1704">
        <f t="shared" si="54"/>
        <v>912.65794633928579</v>
      </c>
    </row>
    <row r="1705" spans="1:13" ht="14" x14ac:dyDescent="0.2">
      <c r="A1705" s="4" t="s">
        <v>3824</v>
      </c>
      <c r="B1705" s="5">
        <v>95289.406875000015</v>
      </c>
      <c r="C1705" s="5">
        <f t="shared" si="53"/>
        <v>1058.7711875000002</v>
      </c>
      <c r="D1705" s="4">
        <v>90</v>
      </c>
      <c r="E1705" s="5" t="s">
        <v>957</v>
      </c>
      <c r="F1705" s="4" t="s">
        <v>3824</v>
      </c>
      <c r="G1705" s="4" t="s">
        <v>12</v>
      </c>
      <c r="H1705" s="4" t="s">
        <v>3825</v>
      </c>
      <c r="I1705" s="4" t="s">
        <v>22</v>
      </c>
      <c r="J1705" s="4" t="s">
        <v>2578</v>
      </c>
      <c r="K1705" s="4" t="s">
        <v>1173</v>
      </c>
      <c r="M1705">
        <f t="shared" si="54"/>
        <v>952.8940687500002</v>
      </c>
    </row>
    <row r="1706" spans="1:13" ht="14" x14ac:dyDescent="0.2">
      <c r="A1706" s="4" t="s">
        <v>3826</v>
      </c>
      <c r="B1706" s="5">
        <v>3882.5718750000005</v>
      </c>
      <c r="C1706" s="5">
        <f t="shared" si="53"/>
        <v>3882.5718750000005</v>
      </c>
      <c r="D1706" s="4">
        <v>1</v>
      </c>
      <c r="E1706" s="5" t="s">
        <v>181</v>
      </c>
      <c r="F1706" s="4" t="s">
        <v>3827</v>
      </c>
      <c r="G1706" s="4" t="s">
        <v>20</v>
      </c>
      <c r="H1706" s="4" t="s">
        <v>3828</v>
      </c>
      <c r="I1706" s="4" t="s">
        <v>22</v>
      </c>
      <c r="J1706" s="4" t="s">
        <v>3829</v>
      </c>
      <c r="K1706" s="4" t="s">
        <v>403</v>
      </c>
      <c r="M1706">
        <f t="shared" si="54"/>
        <v>3494.3146875000002</v>
      </c>
    </row>
    <row r="1707" spans="1:13" ht="14" x14ac:dyDescent="0.2">
      <c r="A1707" s="4" t="s">
        <v>3831</v>
      </c>
      <c r="B1707" s="5">
        <v>14354.422875000002</v>
      </c>
      <c r="C1707" s="5">
        <f t="shared" si="53"/>
        <v>14354.422875000002</v>
      </c>
      <c r="D1707" s="4">
        <v>1</v>
      </c>
      <c r="E1707" s="5" t="s">
        <v>30</v>
      </c>
      <c r="F1707" s="4" t="s">
        <v>3832</v>
      </c>
      <c r="G1707" s="4" t="s">
        <v>20</v>
      </c>
      <c r="H1707" s="4" t="s">
        <v>3833</v>
      </c>
      <c r="I1707" s="4" t="s">
        <v>22</v>
      </c>
      <c r="J1707" s="4" t="s">
        <v>3834</v>
      </c>
      <c r="K1707" s="4" t="s">
        <v>403</v>
      </c>
      <c r="M1707">
        <f t="shared" si="54"/>
        <v>12918.980587500002</v>
      </c>
    </row>
    <row r="1708" spans="1:13" ht="14" x14ac:dyDescent="0.2">
      <c r="A1708" s="4" t="s">
        <v>3835</v>
      </c>
      <c r="B1708" s="5">
        <v>5244.7999500000005</v>
      </c>
      <c r="C1708" s="5">
        <f t="shared" si="53"/>
        <v>174.82666500000002</v>
      </c>
      <c r="D1708" s="4">
        <v>30</v>
      </c>
      <c r="E1708" s="5" t="s">
        <v>10</v>
      </c>
      <c r="F1708" s="4" t="s">
        <v>269</v>
      </c>
      <c r="G1708" s="4" t="s">
        <v>12</v>
      </c>
      <c r="H1708" s="4" t="s">
        <v>3836</v>
      </c>
      <c r="I1708" s="4" t="s">
        <v>22</v>
      </c>
      <c r="J1708" s="4" t="s">
        <v>271</v>
      </c>
      <c r="K1708" s="4" t="s">
        <v>16</v>
      </c>
      <c r="M1708">
        <f t="shared" si="54"/>
        <v>157.34399850000003</v>
      </c>
    </row>
    <row r="1709" spans="1:13" ht="14" x14ac:dyDescent="0.2">
      <c r="A1709" s="4" t="s">
        <v>3837</v>
      </c>
      <c r="B1709" s="5">
        <v>5453.3495250000005</v>
      </c>
      <c r="C1709" s="5">
        <f t="shared" si="53"/>
        <v>181.77831750000001</v>
      </c>
      <c r="D1709" s="4">
        <v>30</v>
      </c>
      <c r="E1709" s="5" t="s">
        <v>10</v>
      </c>
      <c r="F1709" s="4" t="s">
        <v>269</v>
      </c>
      <c r="G1709" s="4" t="s">
        <v>12</v>
      </c>
      <c r="H1709" s="4" t="s">
        <v>3836</v>
      </c>
      <c r="I1709" s="4" t="s">
        <v>22</v>
      </c>
      <c r="J1709" s="4" t="s">
        <v>273</v>
      </c>
      <c r="K1709" s="4" t="s">
        <v>16</v>
      </c>
      <c r="M1709">
        <f t="shared" si="54"/>
        <v>163.60048575000002</v>
      </c>
    </row>
    <row r="1710" spans="1:13" ht="14" x14ac:dyDescent="0.2">
      <c r="A1710" s="4" t="s">
        <v>3838</v>
      </c>
      <c r="B1710" s="5">
        <v>7521.0963750000001</v>
      </c>
      <c r="C1710" s="5">
        <f t="shared" si="53"/>
        <v>250.70321250000001</v>
      </c>
      <c r="D1710" s="4">
        <v>30</v>
      </c>
      <c r="E1710" s="5" t="s">
        <v>10</v>
      </c>
      <c r="F1710" s="4" t="s">
        <v>269</v>
      </c>
      <c r="G1710" s="4" t="s">
        <v>12</v>
      </c>
      <c r="H1710" s="4" t="s">
        <v>3836</v>
      </c>
      <c r="I1710" s="4" t="s">
        <v>22</v>
      </c>
      <c r="J1710" s="4" t="s">
        <v>198</v>
      </c>
      <c r="K1710" s="4" t="s">
        <v>16</v>
      </c>
      <c r="M1710">
        <f t="shared" si="54"/>
        <v>225.63289125</v>
      </c>
    </row>
    <row r="1711" spans="1:13" ht="14" x14ac:dyDescent="0.2">
      <c r="A1711" s="4" t="s">
        <v>3839</v>
      </c>
      <c r="B1711" s="5">
        <v>8441.820562500001</v>
      </c>
      <c r="C1711" s="5">
        <f t="shared" si="53"/>
        <v>281.39401875000004</v>
      </c>
      <c r="D1711" s="4">
        <v>30</v>
      </c>
      <c r="E1711" s="5" t="s">
        <v>10</v>
      </c>
      <c r="F1711" s="4" t="s">
        <v>3840</v>
      </c>
      <c r="G1711" s="4" t="s">
        <v>12</v>
      </c>
      <c r="H1711" s="4" t="s">
        <v>3841</v>
      </c>
      <c r="I1711" s="4" t="s">
        <v>22</v>
      </c>
      <c r="J1711" s="4" t="s">
        <v>3842</v>
      </c>
      <c r="K1711" s="4" t="s">
        <v>16</v>
      </c>
      <c r="M1711">
        <f t="shared" si="54"/>
        <v>253.25461687500004</v>
      </c>
    </row>
    <row r="1712" spans="1:13" ht="14" x14ac:dyDescent="0.2">
      <c r="A1712" s="4" t="s">
        <v>3843</v>
      </c>
      <c r="B1712" s="5">
        <v>7945.96066875</v>
      </c>
      <c r="C1712" s="5">
        <f t="shared" si="53"/>
        <v>264.86535562500001</v>
      </c>
      <c r="D1712" s="4">
        <v>30</v>
      </c>
      <c r="E1712" s="5" t="s">
        <v>10</v>
      </c>
      <c r="F1712" s="4" t="s">
        <v>3840</v>
      </c>
      <c r="G1712" s="4" t="s">
        <v>12</v>
      </c>
      <c r="H1712" s="4" t="s">
        <v>3844</v>
      </c>
      <c r="I1712" s="4" t="s">
        <v>22</v>
      </c>
      <c r="J1712" s="4" t="s">
        <v>1307</v>
      </c>
      <c r="K1712" s="4" t="s">
        <v>16</v>
      </c>
      <c r="M1712">
        <f t="shared" si="54"/>
        <v>238.37882006250001</v>
      </c>
    </row>
    <row r="1713" spans="1:13" ht="14" x14ac:dyDescent="0.2">
      <c r="A1713" s="4" t="s">
        <v>3845</v>
      </c>
      <c r="B1713" s="5">
        <v>20238.075000000001</v>
      </c>
      <c r="C1713" s="5">
        <f t="shared" si="53"/>
        <v>674.60250000000008</v>
      </c>
      <c r="D1713" s="4">
        <v>30</v>
      </c>
      <c r="E1713" s="5" t="s">
        <v>957</v>
      </c>
      <c r="F1713" s="4" t="s">
        <v>3845</v>
      </c>
      <c r="G1713" s="4" t="s">
        <v>12</v>
      </c>
      <c r="H1713" s="4" t="s">
        <v>3845</v>
      </c>
      <c r="I1713" s="4" t="s">
        <v>22</v>
      </c>
      <c r="J1713" s="4" t="s">
        <v>3846</v>
      </c>
      <c r="K1713" s="4" t="s">
        <v>1316</v>
      </c>
      <c r="M1713">
        <f t="shared" si="54"/>
        <v>607.1422500000001</v>
      </c>
    </row>
    <row r="1714" spans="1:13" ht="14" x14ac:dyDescent="0.2">
      <c r="A1714" s="4" t="s">
        <v>3847</v>
      </c>
      <c r="B1714" s="5">
        <v>4101.1052062500012</v>
      </c>
      <c r="C1714" s="5">
        <f t="shared" si="53"/>
        <v>410.11052062500011</v>
      </c>
      <c r="D1714" s="4">
        <v>10</v>
      </c>
      <c r="E1714" s="5" t="s">
        <v>10</v>
      </c>
      <c r="F1714" s="4" t="s">
        <v>3848</v>
      </c>
      <c r="G1714" s="4" t="s">
        <v>20</v>
      </c>
      <c r="H1714" s="4" t="s">
        <v>3849</v>
      </c>
      <c r="I1714" s="4" t="s">
        <v>22</v>
      </c>
      <c r="J1714" s="4" t="s">
        <v>52</v>
      </c>
      <c r="K1714" s="4" t="s">
        <v>53</v>
      </c>
      <c r="M1714">
        <f t="shared" si="54"/>
        <v>369.09946856250008</v>
      </c>
    </row>
    <row r="1715" spans="1:13" ht="14" x14ac:dyDescent="0.2">
      <c r="A1715" s="4" t="s">
        <v>3850</v>
      </c>
      <c r="B1715" s="5">
        <v>5546.5312500000009</v>
      </c>
      <c r="C1715" s="5">
        <f t="shared" si="53"/>
        <v>55.46531250000001</v>
      </c>
      <c r="D1715" s="4">
        <v>100</v>
      </c>
      <c r="E1715" s="5" t="s">
        <v>10</v>
      </c>
      <c r="F1715" s="4" t="s">
        <v>3851</v>
      </c>
      <c r="G1715" s="4" t="s">
        <v>20</v>
      </c>
      <c r="H1715" s="4" t="s">
        <v>3852</v>
      </c>
      <c r="I1715" s="4" t="s">
        <v>22</v>
      </c>
      <c r="J1715" s="4" t="s">
        <v>200</v>
      </c>
      <c r="K1715" s="4" t="s">
        <v>68</v>
      </c>
      <c r="M1715">
        <f t="shared" si="54"/>
        <v>49.918781250000009</v>
      </c>
    </row>
    <row r="1716" spans="1:13" ht="14" x14ac:dyDescent="0.2">
      <c r="A1716" s="4" t="s">
        <v>3853</v>
      </c>
      <c r="B1716" s="5">
        <v>15827.581575000002</v>
      </c>
      <c r="C1716" s="5">
        <f t="shared" si="53"/>
        <v>527.58605250000005</v>
      </c>
      <c r="D1716" s="4">
        <v>30</v>
      </c>
      <c r="E1716" s="5" t="s">
        <v>10</v>
      </c>
      <c r="F1716" s="4" t="s">
        <v>1464</v>
      </c>
      <c r="G1716" s="4" t="s">
        <v>12</v>
      </c>
      <c r="H1716" s="4" t="s">
        <v>1464</v>
      </c>
      <c r="I1716" s="4" t="s">
        <v>22</v>
      </c>
      <c r="J1716" s="4" t="s">
        <v>273</v>
      </c>
      <c r="K1716" s="4" t="s">
        <v>90</v>
      </c>
      <c r="M1716">
        <f t="shared" si="54"/>
        <v>474.82744725000003</v>
      </c>
    </row>
    <row r="1717" spans="1:13" ht="14" x14ac:dyDescent="0.2">
      <c r="A1717" s="4" t="s">
        <v>3854</v>
      </c>
      <c r="B1717" s="5">
        <v>16426.606950000001</v>
      </c>
      <c r="C1717" s="5">
        <f t="shared" si="53"/>
        <v>547.55356500000005</v>
      </c>
      <c r="D1717" s="4">
        <v>30</v>
      </c>
      <c r="E1717" s="5" t="s">
        <v>10</v>
      </c>
      <c r="F1717" s="4" t="s">
        <v>1464</v>
      </c>
      <c r="G1717" s="4" t="s">
        <v>12</v>
      </c>
      <c r="H1717" s="4" t="s">
        <v>1464</v>
      </c>
      <c r="I1717" s="4" t="s">
        <v>22</v>
      </c>
      <c r="J1717" s="4" t="s">
        <v>198</v>
      </c>
      <c r="K1717" s="4" t="s">
        <v>90</v>
      </c>
      <c r="M1717">
        <f t="shared" si="54"/>
        <v>492.79820850000004</v>
      </c>
    </row>
    <row r="1718" spans="1:13" ht="14" x14ac:dyDescent="0.2">
      <c r="A1718" s="4" t="s">
        <v>3855</v>
      </c>
      <c r="B1718" s="5">
        <v>15885.265500000001</v>
      </c>
      <c r="C1718" s="5">
        <f t="shared" si="53"/>
        <v>529.50885000000005</v>
      </c>
      <c r="D1718" s="4">
        <v>30</v>
      </c>
      <c r="E1718" s="5" t="s">
        <v>10</v>
      </c>
      <c r="F1718" s="4" t="s">
        <v>1464</v>
      </c>
      <c r="G1718" s="4" t="s">
        <v>12</v>
      </c>
      <c r="H1718" s="4" t="s">
        <v>1464</v>
      </c>
      <c r="I1718" s="4" t="s">
        <v>22</v>
      </c>
      <c r="J1718" s="4" t="s">
        <v>163</v>
      </c>
      <c r="K1718" s="4" t="s">
        <v>90</v>
      </c>
      <c r="M1718">
        <f t="shared" si="54"/>
        <v>476.55796500000002</v>
      </c>
    </row>
    <row r="1719" spans="1:13" ht="14" x14ac:dyDescent="0.2">
      <c r="A1719" s="4" t="s">
        <v>3856</v>
      </c>
      <c r="B1719" s="5">
        <v>5768.3925000000008</v>
      </c>
      <c r="C1719" s="5">
        <f t="shared" si="53"/>
        <v>5768.3925000000008</v>
      </c>
      <c r="D1719" s="4">
        <v>1</v>
      </c>
      <c r="E1719" s="5" t="s">
        <v>55</v>
      </c>
      <c r="F1719" s="4" t="s">
        <v>3856</v>
      </c>
      <c r="G1719" s="4" t="s">
        <v>20</v>
      </c>
      <c r="H1719" s="4" t="s">
        <v>3856</v>
      </c>
      <c r="I1719" s="4" t="s">
        <v>22</v>
      </c>
      <c r="J1719" s="6">
        <v>0.01</v>
      </c>
      <c r="K1719" s="4" t="s">
        <v>23</v>
      </c>
      <c r="M1719">
        <f t="shared" si="54"/>
        <v>5191.5532500000008</v>
      </c>
    </row>
    <row r="1720" spans="1:13" ht="14" x14ac:dyDescent="0.2">
      <c r="A1720" s="4" t="s">
        <v>3857</v>
      </c>
      <c r="B1720" s="5">
        <v>15468.166350000001</v>
      </c>
      <c r="C1720" s="5">
        <f t="shared" si="53"/>
        <v>15468.166350000001</v>
      </c>
      <c r="D1720" s="4">
        <v>1</v>
      </c>
      <c r="E1720" s="5" t="s">
        <v>30</v>
      </c>
      <c r="F1720" s="4" t="s">
        <v>3857</v>
      </c>
      <c r="G1720" s="4" t="s">
        <v>20</v>
      </c>
      <c r="H1720" s="4" t="s">
        <v>3858</v>
      </c>
      <c r="I1720" s="4" t="s">
        <v>14</v>
      </c>
      <c r="K1720" s="4" t="s">
        <v>34</v>
      </c>
      <c r="M1720">
        <f t="shared" si="54"/>
        <v>13921.349715</v>
      </c>
    </row>
    <row r="1721" spans="1:13" ht="14" x14ac:dyDescent="0.2">
      <c r="A1721" s="4" t="s">
        <v>3859</v>
      </c>
      <c r="B1721" s="5">
        <v>6192.1474875000013</v>
      </c>
      <c r="C1721" s="5">
        <f t="shared" si="53"/>
        <v>6192.1474875000013</v>
      </c>
      <c r="D1721" s="4">
        <v>1</v>
      </c>
      <c r="E1721" s="5" t="s">
        <v>59</v>
      </c>
      <c r="F1721" s="4" t="s">
        <v>709</v>
      </c>
      <c r="G1721" s="4" t="s">
        <v>20</v>
      </c>
      <c r="H1721" s="4" t="s">
        <v>3859</v>
      </c>
      <c r="I1721" s="4" t="s">
        <v>14</v>
      </c>
      <c r="J1721" s="4" t="s">
        <v>2315</v>
      </c>
      <c r="K1721" s="4" t="s">
        <v>406</v>
      </c>
      <c r="M1721">
        <f t="shared" si="54"/>
        <v>5572.9327387500016</v>
      </c>
    </row>
    <row r="1722" spans="1:13" ht="14" x14ac:dyDescent="0.2">
      <c r="A1722" s="4" t="s">
        <v>3860</v>
      </c>
      <c r="B1722" s="5">
        <v>8154.51024375</v>
      </c>
      <c r="C1722" s="5">
        <f t="shared" si="53"/>
        <v>145.61625435267857</v>
      </c>
      <c r="D1722" s="4">
        <v>56</v>
      </c>
      <c r="E1722" s="5" t="s">
        <v>10</v>
      </c>
      <c r="F1722" s="4" t="s">
        <v>709</v>
      </c>
      <c r="G1722" s="4" t="s">
        <v>20</v>
      </c>
      <c r="H1722" s="4" t="s">
        <v>3861</v>
      </c>
      <c r="I1722" s="4" t="s">
        <v>14</v>
      </c>
      <c r="J1722" s="4" t="s">
        <v>15</v>
      </c>
      <c r="K1722" s="4" t="s">
        <v>406</v>
      </c>
      <c r="M1722">
        <f t="shared" si="54"/>
        <v>131.0546289174107</v>
      </c>
    </row>
    <row r="1723" spans="1:13" ht="14" x14ac:dyDescent="0.2">
      <c r="A1723" s="4" t="s">
        <v>3862</v>
      </c>
      <c r="B1723" s="5">
        <v>5435.600625</v>
      </c>
      <c r="C1723" s="5">
        <f t="shared" si="53"/>
        <v>5435.600625</v>
      </c>
      <c r="D1723" s="4">
        <v>1</v>
      </c>
      <c r="E1723" s="5" t="s">
        <v>59</v>
      </c>
      <c r="F1723" s="4" t="s">
        <v>3862</v>
      </c>
      <c r="G1723" s="4" t="s">
        <v>12</v>
      </c>
      <c r="H1723" s="4" t="s">
        <v>3863</v>
      </c>
      <c r="I1723" s="4" t="s">
        <v>22</v>
      </c>
      <c r="J1723" s="4" t="s">
        <v>3864</v>
      </c>
      <c r="K1723" s="4" t="s">
        <v>227</v>
      </c>
      <c r="M1723">
        <f t="shared" si="54"/>
        <v>4892.0405625000003</v>
      </c>
    </row>
    <row r="1724" spans="1:13" ht="14" x14ac:dyDescent="0.2">
      <c r="A1724" s="4" t="s">
        <v>3865</v>
      </c>
      <c r="B1724" s="5">
        <v>987.28256250000015</v>
      </c>
      <c r="C1724" s="5">
        <f t="shared" si="53"/>
        <v>98.728256250000015</v>
      </c>
      <c r="D1724" s="4">
        <v>10</v>
      </c>
      <c r="E1724" s="5" t="s">
        <v>10</v>
      </c>
      <c r="F1724" s="4" t="s">
        <v>3865</v>
      </c>
      <c r="G1724" s="4" t="s">
        <v>12</v>
      </c>
      <c r="H1724" s="4" t="s">
        <v>3866</v>
      </c>
      <c r="I1724" s="4" t="s">
        <v>22</v>
      </c>
      <c r="J1724" s="4" t="s">
        <v>3479</v>
      </c>
      <c r="K1724" s="4" t="s">
        <v>227</v>
      </c>
      <c r="M1724">
        <f t="shared" si="54"/>
        <v>88.855430625000011</v>
      </c>
    </row>
    <row r="1725" spans="1:13" ht="14" x14ac:dyDescent="0.2">
      <c r="A1725" s="4" t="s">
        <v>3867</v>
      </c>
      <c r="B1725" s="5">
        <v>4118.8541062499999</v>
      </c>
      <c r="C1725" s="5">
        <f t="shared" si="53"/>
        <v>147.10193236607142</v>
      </c>
      <c r="D1725" s="4">
        <v>28</v>
      </c>
      <c r="E1725" s="5" t="s">
        <v>10</v>
      </c>
      <c r="F1725" s="4" t="s">
        <v>3866</v>
      </c>
      <c r="G1725" s="4" t="s">
        <v>12</v>
      </c>
      <c r="H1725" s="4" t="s">
        <v>3866</v>
      </c>
      <c r="I1725" s="4" t="s">
        <v>22</v>
      </c>
      <c r="J1725" s="4" t="s">
        <v>550</v>
      </c>
      <c r="K1725" s="4" t="s">
        <v>227</v>
      </c>
      <c r="M1725">
        <f t="shared" si="54"/>
        <v>132.39173912946427</v>
      </c>
    </row>
    <row r="1726" spans="1:13" ht="14" x14ac:dyDescent="0.2">
      <c r="A1726" s="4" t="s">
        <v>3868</v>
      </c>
      <c r="B1726" s="5">
        <v>3549.78</v>
      </c>
      <c r="C1726" s="5">
        <f t="shared" si="53"/>
        <v>3549.78</v>
      </c>
      <c r="D1726" s="4">
        <v>1</v>
      </c>
      <c r="E1726" s="5" t="s">
        <v>181</v>
      </c>
      <c r="F1726" s="4" t="s">
        <v>3869</v>
      </c>
      <c r="G1726" s="4" t="s">
        <v>20</v>
      </c>
      <c r="H1726" s="4" t="s">
        <v>3868</v>
      </c>
      <c r="I1726" s="4" t="s">
        <v>22</v>
      </c>
      <c r="J1726" s="4" t="s">
        <v>1859</v>
      </c>
      <c r="K1726" s="4" t="s">
        <v>53</v>
      </c>
      <c r="M1726">
        <f t="shared" si="54"/>
        <v>3194.8020000000001</v>
      </c>
    </row>
    <row r="1727" spans="1:13" ht="14" x14ac:dyDescent="0.2">
      <c r="A1727" s="4" t="s">
        <v>3870</v>
      </c>
      <c r="B1727" s="5">
        <v>18747.275625000002</v>
      </c>
      <c r="C1727" s="5">
        <f t="shared" si="53"/>
        <v>669.54555803571441</v>
      </c>
      <c r="D1727" s="4">
        <v>28</v>
      </c>
      <c r="E1727" s="5" t="s">
        <v>10</v>
      </c>
      <c r="F1727" s="4" t="s">
        <v>3870</v>
      </c>
      <c r="G1727" s="4" t="s">
        <v>20</v>
      </c>
      <c r="H1727" s="4" t="s">
        <v>3870</v>
      </c>
      <c r="I1727" s="4" t="s">
        <v>22</v>
      </c>
      <c r="J1727" s="4" t="s">
        <v>89</v>
      </c>
      <c r="K1727" s="4" t="s">
        <v>53</v>
      </c>
      <c r="M1727">
        <f t="shared" si="54"/>
        <v>602.59100223214296</v>
      </c>
    </row>
    <row r="1728" spans="1:13" ht="14" x14ac:dyDescent="0.2">
      <c r="A1728" s="4" t="s">
        <v>3871</v>
      </c>
      <c r="B1728" s="5">
        <v>13034.348437500001</v>
      </c>
      <c r="C1728" s="5">
        <f t="shared" si="53"/>
        <v>434.47828125000001</v>
      </c>
      <c r="D1728" s="4">
        <v>30</v>
      </c>
      <c r="E1728" s="5" t="s">
        <v>10</v>
      </c>
      <c r="F1728" s="4" t="s">
        <v>3872</v>
      </c>
      <c r="G1728" s="4" t="s">
        <v>12</v>
      </c>
      <c r="H1728" s="4" t="s">
        <v>3872</v>
      </c>
      <c r="I1728" s="4" t="s">
        <v>22</v>
      </c>
      <c r="J1728" s="4" t="s">
        <v>1081</v>
      </c>
      <c r="K1728" s="4" t="s">
        <v>227</v>
      </c>
      <c r="M1728">
        <f t="shared" si="54"/>
        <v>391.03045312500001</v>
      </c>
    </row>
    <row r="1729" spans="1:13" ht="14" x14ac:dyDescent="0.2">
      <c r="A1729" s="7" t="s">
        <v>5450</v>
      </c>
      <c r="B1729" s="10">
        <v>16861.455000000002</v>
      </c>
      <c r="C1729" s="5">
        <f t="shared" si="53"/>
        <v>1124.0970000000002</v>
      </c>
      <c r="D1729" s="9">
        <v>15</v>
      </c>
      <c r="E1729" s="10" t="s">
        <v>5193</v>
      </c>
      <c r="F1729" s="7" t="s">
        <v>5451</v>
      </c>
      <c r="H1729" s="7" t="s">
        <v>5451</v>
      </c>
      <c r="J1729" s="7" t="s">
        <v>370</v>
      </c>
      <c r="K1729" s="7" t="s">
        <v>219</v>
      </c>
      <c r="M1729">
        <f t="shared" si="54"/>
        <v>1011.6873000000002</v>
      </c>
    </row>
    <row r="1730" spans="1:13" ht="14" x14ac:dyDescent="0.2">
      <c r="A1730" s="7" t="s">
        <v>5452</v>
      </c>
      <c r="B1730" s="10">
        <v>51582.740625000006</v>
      </c>
      <c r="C1730" s="5">
        <f t="shared" si="53"/>
        <v>1719.4246875000001</v>
      </c>
      <c r="D1730" s="9">
        <v>30</v>
      </c>
      <c r="E1730" s="10" t="s">
        <v>5189</v>
      </c>
      <c r="F1730" s="7" t="s">
        <v>3873</v>
      </c>
      <c r="H1730" s="7" t="s">
        <v>5453</v>
      </c>
      <c r="J1730" s="7" t="s">
        <v>497</v>
      </c>
      <c r="K1730" s="7" t="s">
        <v>812</v>
      </c>
      <c r="M1730">
        <f t="shared" si="54"/>
        <v>1547.4822187500001</v>
      </c>
    </row>
    <row r="1731" spans="1:13" ht="14" x14ac:dyDescent="0.2">
      <c r="A1731" s="4" t="s">
        <v>5454</v>
      </c>
      <c r="B1731" s="5">
        <v>17748.900000000001</v>
      </c>
      <c r="C1731" s="5">
        <f t="shared" ref="C1731:C1794" si="55">(B1731/D1731)</f>
        <v>17748.900000000001</v>
      </c>
      <c r="D1731" s="4">
        <v>1</v>
      </c>
      <c r="E1731" s="4" t="s">
        <v>59</v>
      </c>
      <c r="F1731" s="4" t="s">
        <v>3876</v>
      </c>
      <c r="G1731" s="4" t="s">
        <v>20</v>
      </c>
      <c r="H1731" s="4" t="s">
        <v>3877</v>
      </c>
      <c r="I1731" s="4"/>
      <c r="J1731" s="4" t="s">
        <v>2315</v>
      </c>
      <c r="K1731" s="4" t="s">
        <v>786</v>
      </c>
      <c r="M1731">
        <f t="shared" si="54"/>
        <v>15974.010000000002</v>
      </c>
    </row>
    <row r="1732" spans="1:13" ht="14" x14ac:dyDescent="0.2">
      <c r="A1732" s="4" t="s">
        <v>5455</v>
      </c>
      <c r="B1732" s="5">
        <v>21631.471875000003</v>
      </c>
      <c r="C1732" s="5">
        <f t="shared" si="55"/>
        <v>21631.471875000003</v>
      </c>
      <c r="D1732" s="4">
        <v>1</v>
      </c>
      <c r="E1732" s="5" t="s">
        <v>59</v>
      </c>
      <c r="F1732" s="4" t="s">
        <v>3874</v>
      </c>
      <c r="G1732" s="4" t="s">
        <v>20</v>
      </c>
      <c r="H1732" s="4" t="s">
        <v>3875</v>
      </c>
      <c r="I1732" s="4" t="s">
        <v>14</v>
      </c>
      <c r="J1732" s="4" t="s">
        <v>2315</v>
      </c>
      <c r="K1732" s="4" t="s">
        <v>87</v>
      </c>
      <c r="M1732">
        <f t="shared" si="54"/>
        <v>19468.324687500004</v>
      </c>
    </row>
    <row r="1733" spans="1:13" ht="14" x14ac:dyDescent="0.2">
      <c r="A1733" s="4" t="s">
        <v>3878</v>
      </c>
      <c r="B1733" s="5">
        <v>4326.2943750000004</v>
      </c>
      <c r="C1733" s="5">
        <f t="shared" si="55"/>
        <v>144.20981250000003</v>
      </c>
      <c r="D1733" s="4">
        <v>30</v>
      </c>
      <c r="E1733" s="5" t="s">
        <v>10</v>
      </c>
      <c r="F1733" s="4" t="s">
        <v>3879</v>
      </c>
      <c r="G1733" s="4" t="s">
        <v>12</v>
      </c>
      <c r="H1733" s="4" t="s">
        <v>3880</v>
      </c>
      <c r="I1733" s="4" t="s">
        <v>22</v>
      </c>
      <c r="J1733" s="4" t="s">
        <v>397</v>
      </c>
      <c r="K1733" s="4" t="s">
        <v>1173</v>
      </c>
      <c r="M1733">
        <f t="shared" si="54"/>
        <v>129.78883125000002</v>
      </c>
    </row>
    <row r="1734" spans="1:13" ht="14" x14ac:dyDescent="0.2">
      <c r="A1734" s="4" t="s">
        <v>3881</v>
      </c>
      <c r="B1734" s="5">
        <v>2899.7265375000002</v>
      </c>
      <c r="C1734" s="5">
        <f t="shared" si="55"/>
        <v>289.97265375000001</v>
      </c>
      <c r="D1734" s="4">
        <v>10</v>
      </c>
      <c r="E1734" s="5" t="s">
        <v>10</v>
      </c>
      <c r="F1734" s="4" t="s">
        <v>3882</v>
      </c>
      <c r="G1734" s="4" t="s">
        <v>20</v>
      </c>
      <c r="H1734" s="4" t="s">
        <v>3883</v>
      </c>
      <c r="I1734" s="4" t="s">
        <v>22</v>
      </c>
      <c r="J1734" s="4" t="s">
        <v>3884</v>
      </c>
      <c r="K1734" s="4" t="s">
        <v>87</v>
      </c>
      <c r="M1734">
        <f t="shared" si="54"/>
        <v>260.97538837500002</v>
      </c>
    </row>
    <row r="1735" spans="1:13" ht="14" x14ac:dyDescent="0.2">
      <c r="A1735" s="4" t="s">
        <v>3885</v>
      </c>
      <c r="B1735" s="5">
        <v>10852.343043750001</v>
      </c>
      <c r="C1735" s="5">
        <f t="shared" si="55"/>
        <v>10852.343043750001</v>
      </c>
      <c r="D1735" s="4">
        <v>1</v>
      </c>
      <c r="E1735" s="5" t="s">
        <v>175</v>
      </c>
      <c r="F1735" s="4" t="s">
        <v>3886</v>
      </c>
      <c r="G1735" s="4" t="s">
        <v>12</v>
      </c>
      <c r="H1735" s="4" t="s">
        <v>3887</v>
      </c>
      <c r="I1735" s="4" t="s">
        <v>14</v>
      </c>
      <c r="J1735" s="6">
        <v>0.04</v>
      </c>
      <c r="K1735" s="4" t="s">
        <v>23</v>
      </c>
      <c r="M1735">
        <f t="shared" si="54"/>
        <v>9767.1087393750004</v>
      </c>
    </row>
    <row r="1736" spans="1:13" ht="14" x14ac:dyDescent="0.2">
      <c r="A1736" s="4" t="s">
        <v>3888</v>
      </c>
      <c r="B1736" s="5">
        <v>8582.702456250001</v>
      </c>
      <c r="C1736" s="5">
        <f t="shared" si="55"/>
        <v>8582.702456250001</v>
      </c>
      <c r="D1736" s="4">
        <v>1</v>
      </c>
      <c r="E1736" s="5" t="s">
        <v>175</v>
      </c>
      <c r="F1736" s="4" t="s">
        <v>3886</v>
      </c>
      <c r="G1736" s="4" t="s">
        <v>12</v>
      </c>
      <c r="H1736" s="4" t="s">
        <v>3886</v>
      </c>
      <c r="I1736" s="4" t="s">
        <v>22</v>
      </c>
      <c r="J1736" s="6">
        <v>0.02</v>
      </c>
      <c r="K1736" s="4" t="s">
        <v>244</v>
      </c>
      <c r="M1736">
        <f t="shared" si="54"/>
        <v>7724.4322106250011</v>
      </c>
    </row>
    <row r="1737" spans="1:13" ht="14" x14ac:dyDescent="0.2">
      <c r="A1737" s="4" t="s">
        <v>3889</v>
      </c>
      <c r="B1737" s="5">
        <v>11292.737625000002</v>
      </c>
      <c r="C1737" s="5">
        <f t="shared" si="55"/>
        <v>376.42458750000003</v>
      </c>
      <c r="D1737" s="4">
        <v>30</v>
      </c>
      <c r="E1737" s="5" t="s">
        <v>10</v>
      </c>
      <c r="F1737" s="4" t="s">
        <v>3890</v>
      </c>
      <c r="G1737" s="4" t="s">
        <v>12</v>
      </c>
      <c r="H1737" s="4" t="s">
        <v>3891</v>
      </c>
      <c r="I1737" s="4" t="s">
        <v>22</v>
      </c>
      <c r="J1737" s="4" t="s">
        <v>3892</v>
      </c>
      <c r="K1737" s="4" t="s">
        <v>90</v>
      </c>
      <c r="M1737">
        <f t="shared" si="54"/>
        <v>338.78212875000003</v>
      </c>
    </row>
    <row r="1738" spans="1:13" ht="14" x14ac:dyDescent="0.2">
      <c r="A1738" s="4" t="s">
        <v>3893</v>
      </c>
      <c r="B1738" s="5">
        <v>5740.6598437500006</v>
      </c>
      <c r="C1738" s="5">
        <f t="shared" si="55"/>
        <v>191.35532812500003</v>
      </c>
      <c r="D1738" s="4">
        <v>30</v>
      </c>
      <c r="E1738" s="5" t="s">
        <v>10</v>
      </c>
      <c r="F1738" s="4" t="s">
        <v>3894</v>
      </c>
      <c r="G1738" s="4" t="s">
        <v>12</v>
      </c>
      <c r="H1738" s="4" t="s">
        <v>3895</v>
      </c>
      <c r="I1738" s="4" t="s">
        <v>22</v>
      </c>
      <c r="J1738" s="4" t="s">
        <v>1519</v>
      </c>
      <c r="K1738" s="4" t="s">
        <v>16</v>
      </c>
      <c r="M1738">
        <f t="shared" si="54"/>
        <v>172.21979531250003</v>
      </c>
    </row>
    <row r="1739" spans="1:13" ht="14" x14ac:dyDescent="0.2">
      <c r="A1739" s="4" t="s">
        <v>3896</v>
      </c>
      <c r="B1739" s="5">
        <v>5747.3156812499992</v>
      </c>
      <c r="C1739" s="5">
        <f t="shared" si="55"/>
        <v>191.57718937499996</v>
      </c>
      <c r="D1739" s="4">
        <v>30</v>
      </c>
      <c r="E1739" s="5" t="s">
        <v>10</v>
      </c>
      <c r="F1739" s="4" t="s">
        <v>3894</v>
      </c>
      <c r="G1739" s="4" t="s">
        <v>12</v>
      </c>
      <c r="H1739" s="4" t="s">
        <v>3895</v>
      </c>
      <c r="I1739" s="4" t="s">
        <v>22</v>
      </c>
      <c r="J1739" s="4" t="s">
        <v>548</v>
      </c>
      <c r="K1739" s="4" t="s">
        <v>16</v>
      </c>
      <c r="M1739">
        <f t="shared" si="54"/>
        <v>172.41947043749997</v>
      </c>
    </row>
    <row r="1740" spans="1:13" ht="14" x14ac:dyDescent="0.2">
      <c r="A1740" s="4" t="s">
        <v>3897</v>
      </c>
      <c r="B1740" s="5">
        <v>14365.515937500002</v>
      </c>
      <c r="C1740" s="5">
        <f t="shared" si="55"/>
        <v>478.85053125000007</v>
      </c>
      <c r="D1740" s="4">
        <v>30</v>
      </c>
      <c r="E1740" s="5" t="s">
        <v>10</v>
      </c>
      <c r="F1740" s="4" t="s">
        <v>3897</v>
      </c>
      <c r="G1740" s="4" t="s">
        <v>12</v>
      </c>
      <c r="H1740" s="4" t="s">
        <v>3897</v>
      </c>
      <c r="I1740" s="4" t="s">
        <v>22</v>
      </c>
      <c r="J1740" s="4" t="s">
        <v>3294</v>
      </c>
      <c r="K1740" s="4" t="s">
        <v>2398</v>
      </c>
      <c r="M1740">
        <f t="shared" si="54"/>
        <v>430.96547812500006</v>
      </c>
    </row>
    <row r="1741" spans="1:13" ht="14" x14ac:dyDescent="0.2">
      <c r="A1741" s="4" t="s">
        <v>3898</v>
      </c>
      <c r="B1741" s="5">
        <v>6740.1447749999998</v>
      </c>
      <c r="C1741" s="5">
        <f t="shared" si="55"/>
        <v>224.6714925</v>
      </c>
      <c r="D1741" s="4">
        <v>30</v>
      </c>
      <c r="E1741" s="5" t="s">
        <v>10</v>
      </c>
      <c r="F1741" s="4" t="s">
        <v>3894</v>
      </c>
      <c r="G1741" s="4" t="s">
        <v>12</v>
      </c>
      <c r="H1741" s="4" t="s">
        <v>3894</v>
      </c>
      <c r="I1741" s="4" t="s">
        <v>22</v>
      </c>
      <c r="J1741" s="4" t="s">
        <v>548</v>
      </c>
      <c r="K1741" s="4" t="s">
        <v>16</v>
      </c>
      <c r="M1741">
        <f t="shared" si="54"/>
        <v>202.20434324999999</v>
      </c>
    </row>
    <row r="1742" spans="1:13" ht="14" x14ac:dyDescent="0.2">
      <c r="A1742" s="4" t="s">
        <v>3899</v>
      </c>
      <c r="B1742" s="5">
        <v>10600.530525000002</v>
      </c>
      <c r="C1742" s="5">
        <f t="shared" si="55"/>
        <v>353.35101750000007</v>
      </c>
      <c r="D1742" s="4">
        <v>30</v>
      </c>
      <c r="E1742" s="5" t="s">
        <v>10</v>
      </c>
      <c r="F1742" s="4" t="s">
        <v>3894</v>
      </c>
      <c r="G1742" s="4" t="s">
        <v>12</v>
      </c>
      <c r="H1742" s="4" t="s">
        <v>3900</v>
      </c>
      <c r="I1742" s="4" t="s">
        <v>22</v>
      </c>
      <c r="J1742" s="4" t="s">
        <v>1519</v>
      </c>
      <c r="K1742" s="4" t="s">
        <v>16</v>
      </c>
      <c r="M1742">
        <f t="shared" si="54"/>
        <v>318.01591575000009</v>
      </c>
    </row>
    <row r="1743" spans="1:13" ht="14" x14ac:dyDescent="0.2">
      <c r="A1743" s="4" t="s">
        <v>3901</v>
      </c>
      <c r="B1743" s="5">
        <v>16809.317606250002</v>
      </c>
      <c r="C1743" s="5">
        <f t="shared" si="55"/>
        <v>560.31058687500013</v>
      </c>
      <c r="D1743" s="4">
        <v>30</v>
      </c>
      <c r="E1743" s="5" t="s">
        <v>10</v>
      </c>
      <c r="F1743" s="4" t="s">
        <v>3894</v>
      </c>
      <c r="G1743" s="4" t="s">
        <v>12</v>
      </c>
      <c r="H1743" s="4" t="s">
        <v>3900</v>
      </c>
      <c r="I1743" s="4" t="s">
        <v>22</v>
      </c>
      <c r="J1743" s="4" t="s">
        <v>548</v>
      </c>
      <c r="K1743" s="4" t="s">
        <v>16</v>
      </c>
      <c r="M1743">
        <f t="shared" si="54"/>
        <v>504.27952818750009</v>
      </c>
    </row>
    <row r="1744" spans="1:13" ht="14" x14ac:dyDescent="0.2">
      <c r="A1744" s="4" t="s">
        <v>3902</v>
      </c>
      <c r="B1744" s="5">
        <v>20981.418412499999</v>
      </c>
      <c r="C1744" s="5">
        <f t="shared" si="55"/>
        <v>699.38061374999995</v>
      </c>
      <c r="D1744" s="4">
        <v>30</v>
      </c>
      <c r="E1744" s="5" t="s">
        <v>10</v>
      </c>
      <c r="F1744" s="4" t="s">
        <v>3903</v>
      </c>
      <c r="G1744" s="4" t="s">
        <v>12</v>
      </c>
      <c r="H1744" s="4" t="s">
        <v>3904</v>
      </c>
      <c r="I1744" s="4" t="s">
        <v>22</v>
      </c>
      <c r="J1744" s="4" t="s">
        <v>3905</v>
      </c>
      <c r="K1744" s="4" t="s">
        <v>16</v>
      </c>
      <c r="M1744">
        <f t="shared" si="54"/>
        <v>629.44255237499999</v>
      </c>
    </row>
    <row r="1745" spans="1:25" ht="14" x14ac:dyDescent="0.2">
      <c r="A1745" s="4" t="s">
        <v>3906</v>
      </c>
      <c r="B1745" s="5">
        <v>18736.182562499998</v>
      </c>
      <c r="C1745" s="5">
        <f t="shared" si="55"/>
        <v>624.53941874999998</v>
      </c>
      <c r="D1745" s="4">
        <v>30</v>
      </c>
      <c r="E1745" s="5" t="s">
        <v>10</v>
      </c>
      <c r="F1745" s="4" t="s">
        <v>3903</v>
      </c>
      <c r="G1745" s="4" t="s">
        <v>12</v>
      </c>
      <c r="H1745" s="4" t="s">
        <v>3904</v>
      </c>
      <c r="I1745" s="4" t="s">
        <v>22</v>
      </c>
      <c r="J1745" s="4" t="s">
        <v>3907</v>
      </c>
      <c r="K1745" s="4" t="s">
        <v>16</v>
      </c>
      <c r="M1745">
        <f t="shared" si="54"/>
        <v>562.08547687500004</v>
      </c>
    </row>
    <row r="1746" spans="1:25" ht="14" x14ac:dyDescent="0.2">
      <c r="A1746" s="4" t="s">
        <v>3908</v>
      </c>
      <c r="B1746" s="5">
        <v>3292.4209500000002</v>
      </c>
      <c r="C1746" s="5">
        <f t="shared" si="55"/>
        <v>109.747365</v>
      </c>
      <c r="D1746" s="4">
        <v>30</v>
      </c>
      <c r="E1746" s="5" t="s">
        <v>10</v>
      </c>
      <c r="F1746" s="4" t="s">
        <v>3894</v>
      </c>
      <c r="G1746" s="4" t="s">
        <v>12</v>
      </c>
      <c r="H1746" s="4" t="s">
        <v>3909</v>
      </c>
      <c r="I1746" s="4" t="s">
        <v>22</v>
      </c>
      <c r="J1746" s="4" t="s">
        <v>548</v>
      </c>
      <c r="K1746" s="4" t="s">
        <v>16</v>
      </c>
      <c r="M1746">
        <f t="shared" si="54"/>
        <v>98.772628499999996</v>
      </c>
    </row>
    <row r="1747" spans="1:25" ht="14" x14ac:dyDescent="0.2">
      <c r="A1747" s="4" t="s">
        <v>3910</v>
      </c>
      <c r="B1747" s="5">
        <v>10316.548125000001</v>
      </c>
      <c r="C1747" s="5">
        <f t="shared" si="55"/>
        <v>10316.548125000001</v>
      </c>
      <c r="D1747" s="4">
        <v>1</v>
      </c>
      <c r="E1747" s="4" t="s">
        <v>124</v>
      </c>
      <c r="F1747" s="4" t="s">
        <v>3911</v>
      </c>
      <c r="G1747" s="4" t="s">
        <v>12</v>
      </c>
      <c r="H1747" s="4" t="s">
        <v>3912</v>
      </c>
      <c r="I1747" s="4"/>
      <c r="J1747" s="4" t="s">
        <v>3913</v>
      </c>
      <c r="K1747" s="4" t="s">
        <v>53</v>
      </c>
      <c r="M1747">
        <f t="shared" si="54"/>
        <v>9284.8933125000003</v>
      </c>
    </row>
    <row r="1748" spans="1:25" ht="14" x14ac:dyDescent="0.2">
      <c r="A1748" s="4" t="s">
        <v>3914</v>
      </c>
      <c r="B1748" s="5">
        <v>6185.4916499999999</v>
      </c>
      <c r="C1748" s="5">
        <f t="shared" si="55"/>
        <v>6185.4916499999999</v>
      </c>
      <c r="D1748" s="4">
        <v>1</v>
      </c>
      <c r="E1748" s="5" t="s">
        <v>59</v>
      </c>
      <c r="F1748" s="4" t="s">
        <v>233</v>
      </c>
      <c r="G1748" s="4" t="s">
        <v>20</v>
      </c>
      <c r="H1748" s="4" t="s">
        <v>3915</v>
      </c>
      <c r="I1748" s="4" t="s">
        <v>22</v>
      </c>
      <c r="J1748" s="4" t="s">
        <v>757</v>
      </c>
      <c r="K1748" s="4" t="s">
        <v>179</v>
      </c>
      <c r="M1748">
        <f t="shared" si="54"/>
        <v>5566.9424849999996</v>
      </c>
    </row>
    <row r="1749" spans="1:25" ht="14" x14ac:dyDescent="0.2">
      <c r="A1749" s="4" t="s">
        <v>3916</v>
      </c>
      <c r="B1749" s="5">
        <v>2052.2165625000002</v>
      </c>
      <c r="C1749" s="5">
        <f t="shared" si="55"/>
        <v>2052.2165625000002</v>
      </c>
      <c r="D1749" s="4">
        <v>1</v>
      </c>
      <c r="E1749" s="5" t="s">
        <v>59</v>
      </c>
      <c r="F1749" s="4" t="s">
        <v>233</v>
      </c>
      <c r="G1749" s="4" t="s">
        <v>20</v>
      </c>
      <c r="H1749" s="4" t="s">
        <v>3915</v>
      </c>
      <c r="I1749" s="4" t="s">
        <v>22</v>
      </c>
      <c r="J1749" s="4" t="s">
        <v>62</v>
      </c>
      <c r="K1749" s="4" t="s">
        <v>179</v>
      </c>
      <c r="M1749">
        <f t="shared" si="54"/>
        <v>1846.9949062500002</v>
      </c>
    </row>
    <row r="1750" spans="1:25" ht="14" x14ac:dyDescent="0.2">
      <c r="A1750" s="4" t="s">
        <v>3917</v>
      </c>
      <c r="B1750" s="5">
        <v>1016.1245250000001</v>
      </c>
      <c r="C1750" s="5">
        <f t="shared" si="55"/>
        <v>101.6124525</v>
      </c>
      <c r="D1750" s="4">
        <v>10</v>
      </c>
      <c r="E1750" s="5" t="s">
        <v>10</v>
      </c>
      <c r="F1750" s="4" t="s">
        <v>233</v>
      </c>
      <c r="G1750" s="4" t="s">
        <v>20</v>
      </c>
      <c r="H1750" s="4" t="s">
        <v>3918</v>
      </c>
      <c r="I1750" s="4" t="s">
        <v>22</v>
      </c>
      <c r="J1750" s="4" t="s">
        <v>198</v>
      </c>
      <c r="K1750" s="4" t="s">
        <v>179</v>
      </c>
      <c r="M1750">
        <f t="shared" si="54"/>
        <v>91.45120725000001</v>
      </c>
    </row>
    <row r="1751" spans="1:25" ht="14" x14ac:dyDescent="0.2">
      <c r="A1751" s="4" t="s">
        <v>3919</v>
      </c>
      <c r="B1751" s="5">
        <v>3902.5393875000004</v>
      </c>
      <c r="C1751" s="5">
        <f t="shared" si="55"/>
        <v>39.025393875000006</v>
      </c>
      <c r="D1751" s="4">
        <v>100</v>
      </c>
      <c r="E1751" s="5" t="s">
        <v>30</v>
      </c>
      <c r="F1751" s="4" t="s">
        <v>2068</v>
      </c>
      <c r="G1751" s="4" t="s">
        <v>20</v>
      </c>
      <c r="H1751" s="4" t="s">
        <v>2068</v>
      </c>
      <c r="I1751" s="4" t="s">
        <v>22</v>
      </c>
      <c r="J1751" s="4" t="s">
        <v>148</v>
      </c>
      <c r="K1751" s="4" t="s">
        <v>87</v>
      </c>
      <c r="M1751">
        <f t="shared" si="54"/>
        <v>35.122854487500007</v>
      </c>
    </row>
    <row r="1752" spans="1:25" ht="14" x14ac:dyDescent="0.2">
      <c r="A1752" s="4" t="s">
        <v>3920</v>
      </c>
      <c r="B1752" s="5">
        <v>997.2663187500001</v>
      </c>
      <c r="C1752" s="5">
        <f t="shared" si="55"/>
        <v>997.2663187500001</v>
      </c>
      <c r="D1752" s="4">
        <v>1</v>
      </c>
      <c r="E1752" s="5" t="s">
        <v>124</v>
      </c>
      <c r="F1752" s="4" t="s">
        <v>2068</v>
      </c>
      <c r="G1752" s="4" t="s">
        <v>20</v>
      </c>
      <c r="H1752" s="4" t="s">
        <v>2068</v>
      </c>
      <c r="I1752" s="4" t="s">
        <v>22</v>
      </c>
      <c r="J1752" s="4" t="s">
        <v>3921</v>
      </c>
      <c r="K1752" s="4" t="s">
        <v>87</v>
      </c>
      <c r="M1752">
        <f t="shared" si="54"/>
        <v>897.53968687500014</v>
      </c>
    </row>
    <row r="1753" spans="1:25" ht="14" x14ac:dyDescent="0.2">
      <c r="A1753" s="4" t="s">
        <v>3922</v>
      </c>
      <c r="B1753" s="5">
        <v>3771.6412500000001</v>
      </c>
      <c r="C1753" s="5">
        <f t="shared" si="55"/>
        <v>125.72137500000001</v>
      </c>
      <c r="D1753" s="4">
        <v>30</v>
      </c>
      <c r="E1753" s="5" t="s">
        <v>10</v>
      </c>
      <c r="F1753" s="4" t="s">
        <v>1278</v>
      </c>
      <c r="G1753" s="4" t="s">
        <v>12</v>
      </c>
      <c r="H1753" s="4" t="s">
        <v>3923</v>
      </c>
      <c r="I1753" s="4" t="s">
        <v>22</v>
      </c>
      <c r="J1753" s="4" t="s">
        <v>397</v>
      </c>
      <c r="K1753" s="4" t="s">
        <v>1173</v>
      </c>
      <c r="M1753">
        <f t="shared" si="54"/>
        <v>113.14923750000001</v>
      </c>
    </row>
    <row r="1754" spans="1:25" ht="14" x14ac:dyDescent="0.2">
      <c r="A1754" s="4" t="s">
        <v>3924</v>
      </c>
      <c r="B1754" s="5">
        <v>7210.4906250000004</v>
      </c>
      <c r="C1754" s="5">
        <f t="shared" si="55"/>
        <v>240.34968750000002</v>
      </c>
      <c r="D1754" s="4">
        <v>30</v>
      </c>
      <c r="E1754" s="5" t="s">
        <v>10</v>
      </c>
      <c r="F1754" s="4" t="s">
        <v>1278</v>
      </c>
      <c r="G1754" s="4" t="s">
        <v>12</v>
      </c>
      <c r="H1754" s="4" t="s">
        <v>3925</v>
      </c>
      <c r="I1754" s="4" t="s">
        <v>22</v>
      </c>
      <c r="J1754" s="4" t="s">
        <v>397</v>
      </c>
      <c r="K1754" s="4" t="s">
        <v>1173</v>
      </c>
      <c r="M1754">
        <f t="shared" si="54"/>
        <v>216.31471875</v>
      </c>
    </row>
    <row r="1755" spans="1:25" ht="14" x14ac:dyDescent="0.2">
      <c r="A1755" s="4" t="s">
        <v>3926</v>
      </c>
      <c r="B1755" s="5">
        <v>37716.412500000006</v>
      </c>
      <c r="C1755" s="5">
        <f t="shared" si="55"/>
        <v>1257.2137500000001</v>
      </c>
      <c r="D1755" s="4">
        <v>30</v>
      </c>
      <c r="E1755" s="5" t="s">
        <v>10</v>
      </c>
      <c r="F1755" s="4" t="s">
        <v>3927</v>
      </c>
      <c r="G1755" s="4" t="s">
        <v>12</v>
      </c>
      <c r="H1755" s="4" t="s">
        <v>3928</v>
      </c>
      <c r="I1755" s="4" t="s">
        <v>22</v>
      </c>
      <c r="J1755" s="4" t="s">
        <v>200</v>
      </c>
      <c r="K1755" s="4" t="s">
        <v>90</v>
      </c>
      <c r="M1755">
        <f t="shared" si="54"/>
        <v>1131.492375</v>
      </c>
    </row>
    <row r="1756" spans="1:25" ht="14" x14ac:dyDescent="0.2">
      <c r="A1756" s="4" t="s">
        <v>3929</v>
      </c>
      <c r="B1756" s="5">
        <v>40822.47</v>
      </c>
      <c r="C1756" s="5">
        <f t="shared" si="55"/>
        <v>1360.749</v>
      </c>
      <c r="D1756" s="4">
        <v>30</v>
      </c>
      <c r="E1756" s="5" t="s">
        <v>10</v>
      </c>
      <c r="F1756" s="4" t="s">
        <v>3927</v>
      </c>
      <c r="G1756" s="4" t="s">
        <v>12</v>
      </c>
      <c r="H1756" s="4" t="s">
        <v>3928</v>
      </c>
      <c r="I1756" s="4" t="s">
        <v>22</v>
      </c>
      <c r="J1756" s="4" t="s">
        <v>146</v>
      </c>
      <c r="K1756" s="4" t="s">
        <v>90</v>
      </c>
      <c r="M1756">
        <f t="shared" si="54"/>
        <v>1224.6741</v>
      </c>
    </row>
    <row r="1757" spans="1:25" ht="14" x14ac:dyDescent="0.2">
      <c r="A1757" s="4" t="s">
        <v>3930</v>
      </c>
      <c r="B1757" s="5">
        <v>10871.20125</v>
      </c>
      <c r="C1757" s="5">
        <f t="shared" si="55"/>
        <v>10871.20125</v>
      </c>
      <c r="D1757" s="4">
        <v>1</v>
      </c>
      <c r="E1757" s="5" t="s">
        <v>3931</v>
      </c>
      <c r="F1757" s="4" t="s">
        <v>3932</v>
      </c>
      <c r="G1757" s="4" t="s">
        <v>20</v>
      </c>
      <c r="H1757" s="4" t="s">
        <v>3932</v>
      </c>
      <c r="I1757" s="4" t="s">
        <v>22</v>
      </c>
      <c r="K1757" s="4" t="s">
        <v>23</v>
      </c>
      <c r="M1757">
        <f t="shared" ref="M1757:M1820" si="56">C1757-(C1757* 10%)</f>
        <v>9784.0811250000006</v>
      </c>
    </row>
    <row r="1758" spans="1:25" ht="14" x14ac:dyDescent="0.2">
      <c r="A1758" s="4" t="s">
        <v>3933</v>
      </c>
      <c r="B1758" s="5">
        <v>11037.597187500001</v>
      </c>
      <c r="C1758" s="5">
        <f t="shared" si="55"/>
        <v>11037.597187500001</v>
      </c>
      <c r="D1758" s="4">
        <v>1</v>
      </c>
      <c r="E1758" s="4" t="s">
        <v>701</v>
      </c>
      <c r="F1758" s="4" t="s">
        <v>3933</v>
      </c>
      <c r="G1758" s="4" t="s">
        <v>20</v>
      </c>
      <c r="H1758" s="4" t="s">
        <v>3934</v>
      </c>
      <c r="I1758" s="4"/>
      <c r="J1758" s="8">
        <v>5.0000000000000001E-3</v>
      </c>
      <c r="K1758" s="4" t="s">
        <v>23</v>
      </c>
      <c r="M1758">
        <f t="shared" si="56"/>
        <v>9933.8374687500018</v>
      </c>
    </row>
    <row r="1759" spans="1:25" ht="14" x14ac:dyDescent="0.2">
      <c r="A1759" s="4" t="s">
        <v>3935</v>
      </c>
      <c r="B1759" s="5">
        <v>2440.4737500000001</v>
      </c>
      <c r="C1759" s="5">
        <f t="shared" si="55"/>
        <v>2440.4737500000001</v>
      </c>
      <c r="D1759" s="4">
        <v>1</v>
      </c>
      <c r="E1759" s="5" t="s">
        <v>181</v>
      </c>
      <c r="F1759" s="4" t="s">
        <v>2336</v>
      </c>
      <c r="G1759" s="4" t="s">
        <v>20</v>
      </c>
      <c r="H1759" s="4" t="s">
        <v>3936</v>
      </c>
      <c r="I1759" s="4" t="s">
        <v>22</v>
      </c>
      <c r="K1759" s="4" t="s">
        <v>403</v>
      </c>
      <c r="M1759">
        <f t="shared" si="56"/>
        <v>2196.426375</v>
      </c>
    </row>
    <row r="1760" spans="1:25" ht="14" x14ac:dyDescent="0.2">
      <c r="A1760" s="7" t="s">
        <v>5456</v>
      </c>
      <c r="B1760" s="10">
        <v>16639.59375</v>
      </c>
      <c r="C1760" s="5">
        <f t="shared" si="55"/>
        <v>1386.6328125</v>
      </c>
      <c r="D1760" s="9">
        <v>12</v>
      </c>
      <c r="E1760" s="10" t="s">
        <v>5457</v>
      </c>
      <c r="F1760" s="7" t="s">
        <v>5458</v>
      </c>
      <c r="G1760" s="7" t="s">
        <v>20</v>
      </c>
      <c r="H1760" s="7" t="s">
        <v>3939</v>
      </c>
      <c r="J1760" s="7" t="s">
        <v>25</v>
      </c>
      <c r="K1760" s="7" t="s">
        <v>103</v>
      </c>
      <c r="L1760" s="4"/>
      <c r="M1760">
        <f t="shared" si="56"/>
        <v>1247.96953125</v>
      </c>
      <c r="N1760" s="3"/>
      <c r="O1760" s="3"/>
      <c r="P1760" s="3"/>
      <c r="Q1760" s="2"/>
      <c r="R1760" s="2"/>
      <c r="S1760" s="2"/>
      <c r="T1760" s="2"/>
      <c r="U1760" s="2"/>
      <c r="V1760" s="2"/>
      <c r="W1760" s="2"/>
      <c r="X1760" s="2"/>
      <c r="Y1760" s="2"/>
    </row>
    <row r="1761" spans="1:13" ht="14" x14ac:dyDescent="0.2">
      <c r="A1761" s="4" t="s">
        <v>3937</v>
      </c>
      <c r="B1761" s="5">
        <v>9040.8459375000002</v>
      </c>
      <c r="C1761" s="5">
        <f t="shared" si="55"/>
        <v>1506.80765625</v>
      </c>
      <c r="D1761" s="4">
        <v>6</v>
      </c>
      <c r="E1761" s="5" t="s">
        <v>1265</v>
      </c>
      <c r="F1761" s="4" t="s">
        <v>3938</v>
      </c>
      <c r="G1761" s="4" t="s">
        <v>20</v>
      </c>
      <c r="H1761" s="4" t="s">
        <v>3939</v>
      </c>
      <c r="I1761" s="4" t="s">
        <v>14</v>
      </c>
      <c r="J1761" s="4" t="s">
        <v>25</v>
      </c>
      <c r="K1761" s="4" t="s">
        <v>103</v>
      </c>
      <c r="M1761">
        <f t="shared" si="56"/>
        <v>1356.126890625</v>
      </c>
    </row>
    <row r="1762" spans="1:13" ht="14" x14ac:dyDescent="0.2">
      <c r="A1762" s="4" t="s">
        <v>3940</v>
      </c>
      <c r="B1762" s="5">
        <v>3050.5921875000004</v>
      </c>
      <c r="C1762" s="5">
        <f t="shared" si="55"/>
        <v>3050.5921875000004</v>
      </c>
      <c r="D1762" s="4">
        <v>1</v>
      </c>
      <c r="E1762" s="5" t="s">
        <v>10</v>
      </c>
      <c r="F1762" s="4" t="s">
        <v>3941</v>
      </c>
      <c r="G1762" s="4" t="s">
        <v>20</v>
      </c>
      <c r="H1762" s="4" t="s">
        <v>3942</v>
      </c>
      <c r="I1762" s="4" t="s">
        <v>22</v>
      </c>
      <c r="J1762" s="4" t="s">
        <v>3943</v>
      </c>
      <c r="K1762" s="4" t="s">
        <v>155</v>
      </c>
      <c r="M1762">
        <f t="shared" si="56"/>
        <v>2745.5329687500002</v>
      </c>
    </row>
    <row r="1763" spans="1:13" ht="14" x14ac:dyDescent="0.2">
      <c r="A1763" s="4" t="s">
        <v>3944</v>
      </c>
      <c r="B1763" s="5">
        <v>2773.2656250000005</v>
      </c>
      <c r="C1763" s="5">
        <f t="shared" si="55"/>
        <v>2773.2656250000005</v>
      </c>
      <c r="D1763" s="4">
        <v>1</v>
      </c>
      <c r="E1763" s="5" t="s">
        <v>10</v>
      </c>
      <c r="F1763" s="4" t="s">
        <v>3941</v>
      </c>
      <c r="G1763" s="4" t="s">
        <v>20</v>
      </c>
      <c r="H1763" s="4" t="s">
        <v>3945</v>
      </c>
      <c r="I1763" s="4" t="s">
        <v>22</v>
      </c>
      <c r="J1763" s="4" t="s">
        <v>3946</v>
      </c>
      <c r="K1763" s="4" t="s">
        <v>155</v>
      </c>
      <c r="M1763">
        <f t="shared" si="56"/>
        <v>2495.9390625000005</v>
      </c>
    </row>
    <row r="1764" spans="1:13" ht="14" x14ac:dyDescent="0.2">
      <c r="A1764" s="4" t="s">
        <v>3947</v>
      </c>
      <c r="B1764" s="5">
        <v>15485.915250000002</v>
      </c>
      <c r="C1764" s="5">
        <f t="shared" si="55"/>
        <v>15485.915250000002</v>
      </c>
      <c r="D1764" s="4">
        <v>1</v>
      </c>
      <c r="E1764" s="5" t="s">
        <v>25</v>
      </c>
      <c r="F1764" s="4" t="s">
        <v>3948</v>
      </c>
      <c r="G1764" s="4" t="s">
        <v>12</v>
      </c>
      <c r="H1764" s="4" t="s">
        <v>3948</v>
      </c>
      <c r="I1764" s="4" t="s">
        <v>14</v>
      </c>
      <c r="K1764" s="4" t="s">
        <v>28</v>
      </c>
      <c r="M1764">
        <f t="shared" si="56"/>
        <v>13937.323725000002</v>
      </c>
    </row>
    <row r="1765" spans="1:13" ht="14" x14ac:dyDescent="0.2">
      <c r="A1765" s="4" t="s">
        <v>3949</v>
      </c>
      <c r="B1765" s="5">
        <v>11381.482125</v>
      </c>
      <c r="C1765" s="5">
        <f t="shared" si="55"/>
        <v>1138.1482125</v>
      </c>
      <c r="D1765" s="4">
        <v>10</v>
      </c>
      <c r="E1765" s="5" t="s">
        <v>10</v>
      </c>
      <c r="F1765" s="4" t="s">
        <v>3950</v>
      </c>
      <c r="G1765" s="4" t="s">
        <v>12</v>
      </c>
      <c r="H1765" s="4" t="s">
        <v>3951</v>
      </c>
      <c r="I1765" s="4" t="s">
        <v>22</v>
      </c>
      <c r="J1765" s="4" t="s">
        <v>3952</v>
      </c>
      <c r="K1765" s="4" t="s">
        <v>90</v>
      </c>
      <c r="M1765">
        <f t="shared" si="56"/>
        <v>1024.33339125</v>
      </c>
    </row>
    <row r="1766" spans="1:13" ht="14" x14ac:dyDescent="0.2">
      <c r="A1766" s="4" t="s">
        <v>3953</v>
      </c>
      <c r="B1766" s="5">
        <v>5879.3231250000008</v>
      </c>
      <c r="C1766" s="5">
        <f t="shared" si="55"/>
        <v>5879.3231250000008</v>
      </c>
      <c r="D1766" s="4">
        <v>1</v>
      </c>
      <c r="E1766" s="5" t="s">
        <v>18</v>
      </c>
      <c r="F1766" s="4" t="s">
        <v>3953</v>
      </c>
      <c r="G1766" s="4" t="s">
        <v>20</v>
      </c>
      <c r="H1766" s="4" t="s">
        <v>3954</v>
      </c>
      <c r="I1766" s="4" t="s">
        <v>22</v>
      </c>
      <c r="J1766" s="6">
        <v>0.05</v>
      </c>
      <c r="K1766" s="4" t="s">
        <v>23</v>
      </c>
      <c r="M1766">
        <f t="shared" si="56"/>
        <v>5291.3908125000007</v>
      </c>
    </row>
    <row r="1767" spans="1:13" ht="14" x14ac:dyDescent="0.2">
      <c r="A1767" s="4" t="s">
        <v>3955</v>
      </c>
      <c r="B1767" s="5">
        <v>28753.218000000001</v>
      </c>
      <c r="C1767" s="5">
        <f t="shared" si="55"/>
        <v>28753.218000000001</v>
      </c>
      <c r="D1767" s="4">
        <v>1</v>
      </c>
      <c r="E1767" s="5" t="s">
        <v>25</v>
      </c>
      <c r="F1767" s="4" t="s">
        <v>3956</v>
      </c>
      <c r="G1767" s="4" t="s">
        <v>12</v>
      </c>
      <c r="H1767" s="4" t="s">
        <v>3957</v>
      </c>
      <c r="I1767" s="4" t="s">
        <v>14</v>
      </c>
      <c r="J1767" s="4" t="s">
        <v>3958</v>
      </c>
      <c r="K1767" s="4" t="s">
        <v>312</v>
      </c>
      <c r="M1767">
        <f t="shared" si="56"/>
        <v>25877.896199999999</v>
      </c>
    </row>
    <row r="1768" spans="1:13" ht="14" x14ac:dyDescent="0.2">
      <c r="A1768" s="4" t="s">
        <v>3959</v>
      </c>
      <c r="B1768" s="5">
        <v>96701.553731250009</v>
      </c>
      <c r="C1768" s="5">
        <f t="shared" si="55"/>
        <v>1611.6925621875002</v>
      </c>
      <c r="D1768" s="4">
        <v>60</v>
      </c>
      <c r="E1768" s="5" t="s">
        <v>25</v>
      </c>
      <c r="F1768" s="4" t="s">
        <v>3956</v>
      </c>
      <c r="G1768" s="4" t="s">
        <v>12</v>
      </c>
      <c r="H1768" s="4" t="s">
        <v>3957</v>
      </c>
      <c r="I1768" s="4" t="s">
        <v>14</v>
      </c>
      <c r="K1768" s="4" t="s">
        <v>312</v>
      </c>
      <c r="M1768">
        <f t="shared" si="56"/>
        <v>1450.5233059687503</v>
      </c>
    </row>
    <row r="1769" spans="1:13" ht="14" x14ac:dyDescent="0.2">
      <c r="A1769" s="4" t="s">
        <v>3960</v>
      </c>
      <c r="B1769" s="5">
        <v>97810.859981250003</v>
      </c>
      <c r="C1769" s="5">
        <f t="shared" si="55"/>
        <v>1630.1809996875002</v>
      </c>
      <c r="D1769" s="4">
        <v>60</v>
      </c>
      <c r="E1769" s="5" t="s">
        <v>30</v>
      </c>
      <c r="F1769" s="4" t="s">
        <v>3961</v>
      </c>
      <c r="G1769" s="4" t="s">
        <v>12</v>
      </c>
      <c r="H1769" s="4" t="s">
        <v>3957</v>
      </c>
      <c r="I1769" s="4" t="s">
        <v>14</v>
      </c>
      <c r="J1769" s="4" t="s">
        <v>481</v>
      </c>
      <c r="K1769" s="4" t="s">
        <v>312</v>
      </c>
      <c r="M1769">
        <f t="shared" si="56"/>
        <v>1467.1628997187502</v>
      </c>
    </row>
    <row r="1770" spans="1:13" ht="14" x14ac:dyDescent="0.2">
      <c r="A1770" s="4" t="s">
        <v>3962</v>
      </c>
      <c r="B1770" s="5">
        <v>12157.996500000001</v>
      </c>
      <c r="C1770" s="5">
        <f t="shared" si="55"/>
        <v>405.26655000000005</v>
      </c>
      <c r="D1770" s="4">
        <v>30</v>
      </c>
      <c r="E1770" s="5" t="s">
        <v>10</v>
      </c>
      <c r="F1770" s="4" t="s">
        <v>3963</v>
      </c>
      <c r="G1770" s="4" t="s">
        <v>12</v>
      </c>
      <c r="H1770" s="4" t="s">
        <v>3964</v>
      </c>
      <c r="I1770" s="4" t="s">
        <v>14</v>
      </c>
      <c r="J1770" s="4" t="s">
        <v>707</v>
      </c>
      <c r="K1770" s="4" t="s">
        <v>16</v>
      </c>
      <c r="M1770">
        <f t="shared" si="56"/>
        <v>364.73989500000005</v>
      </c>
    </row>
    <row r="1771" spans="1:13" ht="14" x14ac:dyDescent="0.2">
      <c r="A1771" s="4" t="s">
        <v>3965</v>
      </c>
      <c r="B1771" s="5">
        <v>13864.109512500003</v>
      </c>
      <c r="C1771" s="5">
        <f t="shared" si="55"/>
        <v>495.14676830357155</v>
      </c>
      <c r="D1771" s="4">
        <v>28</v>
      </c>
      <c r="E1771" s="5" t="s">
        <v>10</v>
      </c>
      <c r="F1771" s="4" t="s">
        <v>3963</v>
      </c>
      <c r="G1771" s="4" t="s">
        <v>12</v>
      </c>
      <c r="H1771" s="4" t="s">
        <v>3964</v>
      </c>
      <c r="I1771" s="4" t="s">
        <v>14</v>
      </c>
      <c r="J1771" s="4" t="s">
        <v>271</v>
      </c>
      <c r="K1771" s="4" t="s">
        <v>16</v>
      </c>
      <c r="M1771">
        <f t="shared" si="56"/>
        <v>445.63209147321436</v>
      </c>
    </row>
    <row r="1772" spans="1:13" ht="14" x14ac:dyDescent="0.2">
      <c r="A1772" s="4" t="s">
        <v>3966</v>
      </c>
      <c r="B1772" s="5">
        <v>23379.738525000004</v>
      </c>
      <c r="C1772" s="5">
        <f t="shared" si="55"/>
        <v>259.77487250000007</v>
      </c>
      <c r="D1772" s="4">
        <v>90</v>
      </c>
      <c r="E1772" s="5" t="s">
        <v>10</v>
      </c>
      <c r="F1772" s="4" t="s">
        <v>3963</v>
      </c>
      <c r="G1772" s="4" t="s">
        <v>12</v>
      </c>
      <c r="H1772" s="4" t="s">
        <v>3964</v>
      </c>
      <c r="I1772" s="4" t="s">
        <v>14</v>
      </c>
      <c r="J1772" s="4" t="s">
        <v>273</v>
      </c>
      <c r="K1772" s="4" t="s">
        <v>16</v>
      </c>
      <c r="M1772">
        <f t="shared" si="56"/>
        <v>233.79738525000005</v>
      </c>
    </row>
    <row r="1773" spans="1:13" ht="14" x14ac:dyDescent="0.2">
      <c r="A1773" s="4" t="s">
        <v>3967</v>
      </c>
      <c r="B1773" s="5">
        <v>9872.8256250000013</v>
      </c>
      <c r="C1773" s="5">
        <f t="shared" si="55"/>
        <v>9872.8256250000013</v>
      </c>
      <c r="D1773" s="4">
        <v>1</v>
      </c>
      <c r="E1773" s="4" t="s">
        <v>888</v>
      </c>
      <c r="F1773" s="4" t="s">
        <v>3967</v>
      </c>
      <c r="G1773" s="4" t="s">
        <v>12</v>
      </c>
      <c r="H1773" s="4" t="s">
        <v>3968</v>
      </c>
      <c r="I1773" s="4"/>
      <c r="J1773" s="4" t="s">
        <v>3969</v>
      </c>
      <c r="K1773" s="4" t="s">
        <v>244</v>
      </c>
      <c r="M1773">
        <f t="shared" si="56"/>
        <v>8885.5430625000008</v>
      </c>
    </row>
    <row r="1774" spans="1:13" ht="14" x14ac:dyDescent="0.2">
      <c r="A1774" s="4" t="s">
        <v>3970</v>
      </c>
      <c r="B1774" s="5">
        <v>1977.8930437500003</v>
      </c>
      <c r="C1774" s="5">
        <f t="shared" si="55"/>
        <v>70.639037276785729</v>
      </c>
      <c r="D1774" s="4">
        <v>28</v>
      </c>
      <c r="E1774" s="5" t="s">
        <v>10</v>
      </c>
      <c r="F1774" s="4" t="s">
        <v>3971</v>
      </c>
      <c r="G1774" s="4" t="s">
        <v>12</v>
      </c>
      <c r="H1774" s="4" t="s">
        <v>3971</v>
      </c>
      <c r="I1774" s="4" t="s">
        <v>22</v>
      </c>
      <c r="J1774" s="4" t="s">
        <v>146</v>
      </c>
      <c r="K1774" s="4" t="s">
        <v>312</v>
      </c>
      <c r="M1774">
        <f t="shared" si="56"/>
        <v>63.575133549107157</v>
      </c>
    </row>
    <row r="1775" spans="1:13" ht="14" x14ac:dyDescent="0.2">
      <c r="A1775" s="4" t="s">
        <v>3972</v>
      </c>
      <c r="B1775" s="5">
        <v>2098.807425</v>
      </c>
      <c r="C1775" s="5">
        <f t="shared" si="55"/>
        <v>74.95740803571428</v>
      </c>
      <c r="D1775" s="4">
        <v>28</v>
      </c>
      <c r="E1775" s="5" t="s">
        <v>10</v>
      </c>
      <c r="F1775" s="4" t="s">
        <v>3971</v>
      </c>
      <c r="G1775" s="4" t="s">
        <v>12</v>
      </c>
      <c r="H1775" s="4" t="s">
        <v>3971</v>
      </c>
      <c r="I1775" s="4" t="s">
        <v>22</v>
      </c>
      <c r="J1775" s="4" t="s">
        <v>148</v>
      </c>
      <c r="K1775" s="4" t="s">
        <v>312</v>
      </c>
      <c r="M1775">
        <f t="shared" si="56"/>
        <v>67.461667232142858</v>
      </c>
    </row>
    <row r="1776" spans="1:13" ht="14" x14ac:dyDescent="0.2">
      <c r="A1776" s="4" t="s">
        <v>3973</v>
      </c>
      <c r="B1776" s="5">
        <v>2298.4825500000006</v>
      </c>
      <c r="C1776" s="5">
        <f t="shared" si="55"/>
        <v>82.088662500000027</v>
      </c>
      <c r="D1776" s="4">
        <v>28</v>
      </c>
      <c r="E1776" s="5" t="s">
        <v>10</v>
      </c>
      <c r="F1776" s="4" t="s">
        <v>3971</v>
      </c>
      <c r="G1776" s="4" t="s">
        <v>12</v>
      </c>
      <c r="H1776" s="4" t="s">
        <v>3971</v>
      </c>
      <c r="I1776" s="4" t="s">
        <v>22</v>
      </c>
      <c r="J1776" s="4" t="s">
        <v>495</v>
      </c>
      <c r="K1776" s="4" t="s">
        <v>312</v>
      </c>
      <c r="M1776">
        <f t="shared" si="56"/>
        <v>73.879796250000027</v>
      </c>
    </row>
    <row r="1777" spans="1:25" ht="14" x14ac:dyDescent="0.2">
      <c r="A1777" s="7" t="s">
        <v>5459</v>
      </c>
      <c r="B1777" s="10">
        <v>2773.2656250000005</v>
      </c>
      <c r="C1777" s="5">
        <f t="shared" si="55"/>
        <v>2773.2656250000005</v>
      </c>
      <c r="D1777" s="9">
        <v>1</v>
      </c>
      <c r="E1777" s="10" t="s">
        <v>5193</v>
      </c>
      <c r="F1777" s="7" t="s">
        <v>5460</v>
      </c>
      <c r="G1777" s="7" t="s">
        <v>20</v>
      </c>
      <c r="H1777" s="7" t="s">
        <v>5460</v>
      </c>
      <c r="J1777" s="7" t="s">
        <v>5461</v>
      </c>
      <c r="K1777" s="7" t="s">
        <v>2016</v>
      </c>
      <c r="L1777" s="4"/>
      <c r="M1777">
        <f t="shared" si="56"/>
        <v>2495.9390625000005</v>
      </c>
      <c r="N1777" s="3"/>
      <c r="O1777" s="3"/>
      <c r="P1777" s="3"/>
      <c r="Q1777" s="2"/>
      <c r="R1777" s="2"/>
      <c r="S1777" s="2"/>
      <c r="T1777" s="2"/>
      <c r="U1777" s="2"/>
      <c r="V1777" s="2"/>
      <c r="W1777" s="2"/>
      <c r="X1777" s="2"/>
      <c r="Y1777" s="2"/>
    </row>
    <row r="1778" spans="1:25" ht="14" x14ac:dyDescent="0.2">
      <c r="A1778" s="4" t="s">
        <v>3974</v>
      </c>
      <c r="B1778" s="5">
        <v>3484.3309312500005</v>
      </c>
      <c r="C1778" s="5">
        <f t="shared" si="55"/>
        <v>124.44039040178573</v>
      </c>
      <c r="D1778" s="4">
        <v>28</v>
      </c>
      <c r="E1778" s="5" t="s">
        <v>10</v>
      </c>
      <c r="F1778" s="4" t="s">
        <v>3851</v>
      </c>
      <c r="G1778" s="4" t="s">
        <v>20</v>
      </c>
      <c r="H1778" s="4" t="s">
        <v>3851</v>
      </c>
      <c r="I1778" s="4" t="s">
        <v>22</v>
      </c>
      <c r="J1778" s="4" t="s">
        <v>200</v>
      </c>
      <c r="K1778" s="4" t="s">
        <v>786</v>
      </c>
      <c r="M1778">
        <f t="shared" si="56"/>
        <v>111.99635136160717</v>
      </c>
    </row>
    <row r="1779" spans="1:25" ht="14" x14ac:dyDescent="0.2">
      <c r="A1779" s="4" t="s">
        <v>3975</v>
      </c>
      <c r="B1779" s="5">
        <v>23295.431250000001</v>
      </c>
      <c r="C1779" s="5">
        <f t="shared" si="55"/>
        <v>23295.431250000001</v>
      </c>
      <c r="D1779" s="4">
        <v>1</v>
      </c>
      <c r="E1779" s="5" t="s">
        <v>175</v>
      </c>
      <c r="F1779" s="4" t="s">
        <v>3851</v>
      </c>
      <c r="G1779" s="4" t="s">
        <v>20</v>
      </c>
      <c r="H1779" s="4" t="s">
        <v>3976</v>
      </c>
      <c r="I1779" s="4" t="s">
        <v>22</v>
      </c>
      <c r="K1779" s="4" t="s">
        <v>179</v>
      </c>
      <c r="M1779">
        <f t="shared" si="56"/>
        <v>20965.888125000001</v>
      </c>
    </row>
    <row r="1780" spans="1:25" ht="14" x14ac:dyDescent="0.2">
      <c r="A1780" s="4" t="s">
        <v>3977</v>
      </c>
      <c r="B1780" s="5">
        <v>15530.287500000002</v>
      </c>
      <c r="C1780" s="5">
        <f t="shared" si="55"/>
        <v>517.6762500000001</v>
      </c>
      <c r="D1780" s="4">
        <v>30</v>
      </c>
      <c r="E1780" s="5" t="s">
        <v>30</v>
      </c>
      <c r="F1780" s="4" t="s">
        <v>2891</v>
      </c>
      <c r="G1780" s="4" t="s">
        <v>12</v>
      </c>
      <c r="H1780" s="4" t="s">
        <v>3978</v>
      </c>
      <c r="I1780" s="4" t="s">
        <v>22</v>
      </c>
      <c r="J1780" s="4" t="s">
        <v>481</v>
      </c>
      <c r="K1780" s="4" t="s">
        <v>34</v>
      </c>
      <c r="M1780">
        <f t="shared" si="56"/>
        <v>465.90862500000009</v>
      </c>
    </row>
    <row r="1781" spans="1:25" ht="14" x14ac:dyDescent="0.2">
      <c r="A1781" s="4" t="s">
        <v>3979</v>
      </c>
      <c r="B1781" s="5">
        <v>16418.841806250002</v>
      </c>
      <c r="C1781" s="5">
        <f t="shared" si="55"/>
        <v>547.29472687500004</v>
      </c>
      <c r="D1781" s="4">
        <v>30</v>
      </c>
      <c r="E1781" s="5" t="s">
        <v>30</v>
      </c>
      <c r="F1781" s="4" t="s">
        <v>2891</v>
      </c>
      <c r="G1781" s="4" t="s">
        <v>12</v>
      </c>
      <c r="H1781" s="4" t="s">
        <v>3978</v>
      </c>
      <c r="I1781" s="4" t="s">
        <v>22</v>
      </c>
      <c r="J1781" s="4" t="s">
        <v>481</v>
      </c>
      <c r="K1781" s="4" t="s">
        <v>34</v>
      </c>
      <c r="M1781">
        <f t="shared" si="56"/>
        <v>492.56525418750005</v>
      </c>
    </row>
    <row r="1782" spans="1:25" ht="14" x14ac:dyDescent="0.2">
      <c r="A1782" s="4" t="s">
        <v>3980</v>
      </c>
      <c r="B1782" s="5">
        <v>15530.287500000002</v>
      </c>
      <c r="C1782" s="5">
        <f t="shared" si="55"/>
        <v>517.6762500000001</v>
      </c>
      <c r="D1782" s="4">
        <v>30</v>
      </c>
      <c r="E1782" s="5" t="s">
        <v>30</v>
      </c>
      <c r="F1782" s="4" t="s">
        <v>2891</v>
      </c>
      <c r="G1782" s="4" t="s">
        <v>12</v>
      </c>
      <c r="H1782" s="4" t="s">
        <v>3978</v>
      </c>
      <c r="I1782" s="4" t="s">
        <v>22</v>
      </c>
      <c r="J1782" s="4" t="s">
        <v>397</v>
      </c>
      <c r="K1782" s="4" t="s">
        <v>227</v>
      </c>
      <c r="M1782">
        <f t="shared" si="56"/>
        <v>465.90862500000009</v>
      </c>
    </row>
    <row r="1783" spans="1:25" ht="14" x14ac:dyDescent="0.2">
      <c r="A1783" s="4" t="s">
        <v>3981</v>
      </c>
      <c r="B1783" s="5">
        <v>33057.326250000006</v>
      </c>
      <c r="C1783" s="5">
        <f t="shared" si="55"/>
        <v>1101.9108750000003</v>
      </c>
      <c r="D1783" s="4">
        <v>30</v>
      </c>
      <c r="E1783" s="5" t="s">
        <v>10</v>
      </c>
      <c r="F1783" s="4" t="s">
        <v>3982</v>
      </c>
      <c r="G1783" s="4" t="s">
        <v>20</v>
      </c>
      <c r="H1783" s="4" t="s">
        <v>3983</v>
      </c>
      <c r="I1783" s="4" t="s">
        <v>14</v>
      </c>
      <c r="K1783" s="4" t="s">
        <v>34</v>
      </c>
      <c r="M1783">
        <f t="shared" si="56"/>
        <v>991.71978750000017</v>
      </c>
    </row>
    <row r="1784" spans="1:25" ht="14" x14ac:dyDescent="0.2">
      <c r="A1784" s="4" t="s">
        <v>3984</v>
      </c>
      <c r="B1784" s="5">
        <v>35608.730625000004</v>
      </c>
      <c r="C1784" s="5">
        <f t="shared" si="55"/>
        <v>35608.730625000004</v>
      </c>
      <c r="D1784" s="4">
        <v>1</v>
      </c>
      <c r="E1784" s="5" t="s">
        <v>30</v>
      </c>
      <c r="F1784" s="4" t="s">
        <v>3985</v>
      </c>
      <c r="G1784" s="4" t="s">
        <v>20</v>
      </c>
      <c r="H1784" s="4" t="s">
        <v>3986</v>
      </c>
      <c r="I1784" s="4" t="s">
        <v>14</v>
      </c>
      <c r="K1784" s="4" t="s">
        <v>34</v>
      </c>
      <c r="M1784">
        <f t="shared" si="56"/>
        <v>32047.857562500001</v>
      </c>
    </row>
    <row r="1785" spans="1:25" ht="14" x14ac:dyDescent="0.2">
      <c r="A1785" s="4" t="s">
        <v>3987</v>
      </c>
      <c r="B1785" s="5">
        <v>18747.275625000002</v>
      </c>
      <c r="C1785" s="5">
        <f t="shared" si="55"/>
        <v>624.90918750000003</v>
      </c>
      <c r="D1785" s="4">
        <v>30</v>
      </c>
      <c r="E1785" s="5" t="s">
        <v>10</v>
      </c>
      <c r="F1785" s="4" t="s">
        <v>3988</v>
      </c>
      <c r="G1785" s="4" t="s">
        <v>20</v>
      </c>
      <c r="H1785" s="4" t="s">
        <v>3989</v>
      </c>
      <c r="I1785" s="4" t="s">
        <v>14</v>
      </c>
      <c r="K1785" s="4" t="s">
        <v>34</v>
      </c>
      <c r="M1785">
        <f t="shared" si="56"/>
        <v>562.41826875000004</v>
      </c>
    </row>
    <row r="1786" spans="1:25" ht="14" x14ac:dyDescent="0.2">
      <c r="A1786" s="7" t="s">
        <v>5462</v>
      </c>
      <c r="B1786" s="10">
        <v>4437.2250000000004</v>
      </c>
      <c r="C1786" s="5">
        <f t="shared" si="55"/>
        <v>4437.2250000000004</v>
      </c>
      <c r="D1786" s="9">
        <v>1</v>
      </c>
      <c r="E1786" s="10" t="s">
        <v>5176</v>
      </c>
      <c r="F1786" s="7" t="s">
        <v>5463</v>
      </c>
      <c r="G1786" s="7" t="s">
        <v>12</v>
      </c>
      <c r="H1786" s="7" t="s">
        <v>3992</v>
      </c>
      <c r="J1786" s="7" t="s">
        <v>5179</v>
      </c>
      <c r="K1786" s="7" t="s">
        <v>23</v>
      </c>
      <c r="L1786" s="4"/>
      <c r="M1786">
        <f t="shared" si="56"/>
        <v>3993.5025000000005</v>
      </c>
      <c r="N1786" s="3"/>
      <c r="O1786" s="3"/>
      <c r="P1786" s="3"/>
      <c r="Q1786" s="2"/>
      <c r="R1786" s="2"/>
      <c r="S1786" s="2"/>
      <c r="T1786" s="2"/>
      <c r="U1786" s="2"/>
      <c r="V1786" s="2"/>
      <c r="W1786" s="2"/>
      <c r="X1786" s="2"/>
      <c r="Y1786" s="2"/>
    </row>
    <row r="1787" spans="1:25" ht="14" x14ac:dyDescent="0.2">
      <c r="A1787" s="4" t="s">
        <v>3990</v>
      </c>
      <c r="B1787" s="5">
        <v>19755.635006249999</v>
      </c>
      <c r="C1787" s="5">
        <f t="shared" si="55"/>
        <v>19755.635006249999</v>
      </c>
      <c r="D1787" s="4">
        <v>1</v>
      </c>
      <c r="E1787" s="5" t="s">
        <v>10</v>
      </c>
      <c r="F1787" s="4" t="s">
        <v>3991</v>
      </c>
      <c r="G1787" s="4" t="s">
        <v>12</v>
      </c>
      <c r="H1787" s="4" t="s">
        <v>3992</v>
      </c>
      <c r="I1787" s="4" t="s">
        <v>14</v>
      </c>
      <c r="J1787" s="4" t="s">
        <v>3993</v>
      </c>
      <c r="K1787" s="4" t="s">
        <v>68</v>
      </c>
      <c r="M1787">
        <f t="shared" si="56"/>
        <v>17780.071505624997</v>
      </c>
    </row>
    <row r="1788" spans="1:25" ht="14" x14ac:dyDescent="0.2">
      <c r="A1788" s="4" t="s">
        <v>3994</v>
      </c>
      <c r="B1788" s="5">
        <v>29588.525606250005</v>
      </c>
      <c r="C1788" s="5">
        <f t="shared" si="55"/>
        <v>352.24435245535722</v>
      </c>
      <c r="D1788" s="4">
        <v>84</v>
      </c>
      <c r="E1788" s="5" t="s">
        <v>10</v>
      </c>
      <c r="F1788" s="4" t="s">
        <v>3991</v>
      </c>
      <c r="G1788" s="4" t="s">
        <v>12</v>
      </c>
      <c r="H1788" s="4" t="s">
        <v>3992</v>
      </c>
      <c r="I1788" s="4" t="s">
        <v>14</v>
      </c>
      <c r="J1788" s="4" t="s">
        <v>3995</v>
      </c>
      <c r="K1788" s="4" t="s">
        <v>68</v>
      </c>
      <c r="M1788">
        <f t="shared" si="56"/>
        <v>317.01991720982147</v>
      </c>
    </row>
    <row r="1789" spans="1:25" ht="14" x14ac:dyDescent="0.2">
      <c r="A1789" s="4" t="s">
        <v>3996</v>
      </c>
      <c r="B1789" s="5">
        <v>2949.6453187500001</v>
      </c>
      <c r="C1789" s="5">
        <f t="shared" si="55"/>
        <v>2949.6453187500001</v>
      </c>
      <c r="D1789" s="4">
        <v>1</v>
      </c>
      <c r="E1789" s="5" t="s">
        <v>18</v>
      </c>
      <c r="F1789" s="4" t="s">
        <v>3997</v>
      </c>
      <c r="G1789" s="4" t="s">
        <v>20</v>
      </c>
      <c r="H1789" s="4" t="s">
        <v>3998</v>
      </c>
      <c r="I1789" s="4" t="s">
        <v>22</v>
      </c>
      <c r="J1789" s="4" t="s">
        <v>15</v>
      </c>
      <c r="K1789" s="4" t="s">
        <v>23</v>
      </c>
      <c r="M1789">
        <f t="shared" si="56"/>
        <v>2654.6807868750002</v>
      </c>
    </row>
    <row r="1790" spans="1:25" ht="14" x14ac:dyDescent="0.2">
      <c r="A1790" s="4" t="s">
        <v>3999</v>
      </c>
      <c r="B1790" s="5">
        <v>0</v>
      </c>
      <c r="C1790" s="5">
        <f t="shared" si="55"/>
        <v>0</v>
      </c>
      <c r="D1790" s="4">
        <v>10</v>
      </c>
      <c r="E1790" s="5" t="s">
        <v>10</v>
      </c>
      <c r="F1790" s="4" t="s">
        <v>4000</v>
      </c>
      <c r="G1790" s="4" t="s">
        <v>12</v>
      </c>
      <c r="H1790" s="4" t="s">
        <v>4000</v>
      </c>
      <c r="I1790" s="4" t="s">
        <v>22</v>
      </c>
      <c r="J1790" s="4" t="s">
        <v>67</v>
      </c>
      <c r="K1790" s="4" t="s">
        <v>227</v>
      </c>
      <c r="M1790">
        <f t="shared" si="56"/>
        <v>0</v>
      </c>
    </row>
    <row r="1791" spans="1:25" ht="14" x14ac:dyDescent="0.2">
      <c r="A1791" s="7" t="s">
        <v>5464</v>
      </c>
      <c r="B1791" s="10">
        <v>52913.908125000002</v>
      </c>
      <c r="C1791" s="5">
        <f t="shared" si="55"/>
        <v>8818.9846875000003</v>
      </c>
      <c r="D1791" s="9">
        <v>6</v>
      </c>
      <c r="E1791" s="10" t="s">
        <v>5185</v>
      </c>
      <c r="F1791" s="7" t="s">
        <v>5465</v>
      </c>
      <c r="G1791" s="7" t="s">
        <v>12</v>
      </c>
      <c r="H1791" s="7" t="s">
        <v>4002</v>
      </c>
      <c r="I1791" s="4" t="s">
        <v>22</v>
      </c>
      <c r="J1791" s="7" t="s">
        <v>89</v>
      </c>
      <c r="K1791" s="7" t="s">
        <v>68</v>
      </c>
      <c r="L1791" s="4"/>
      <c r="M1791">
        <f t="shared" si="56"/>
        <v>7937.0862187500006</v>
      </c>
      <c r="N1791" s="3"/>
      <c r="O1791" s="3"/>
      <c r="P1791" s="3"/>
      <c r="Q1791" s="2"/>
      <c r="R1791" s="2"/>
      <c r="S1791" s="2"/>
      <c r="T1791" s="2"/>
      <c r="U1791" s="2"/>
      <c r="V1791" s="2"/>
      <c r="W1791" s="2"/>
      <c r="X1791" s="2"/>
      <c r="Y1791" s="2"/>
    </row>
    <row r="1792" spans="1:25" ht="14" x14ac:dyDescent="0.2">
      <c r="A1792" s="4" t="s">
        <v>4001</v>
      </c>
      <c r="B1792" s="5">
        <v>15974.010000000002</v>
      </c>
      <c r="C1792" s="5">
        <f t="shared" si="55"/>
        <v>1597.4010000000003</v>
      </c>
      <c r="D1792" s="4">
        <v>10</v>
      </c>
      <c r="E1792" s="5" t="s">
        <v>10</v>
      </c>
      <c r="F1792" s="4" t="s">
        <v>3269</v>
      </c>
      <c r="G1792" s="4" t="s">
        <v>12</v>
      </c>
      <c r="H1792" s="4" t="s">
        <v>4002</v>
      </c>
      <c r="I1792" s="4" t="s">
        <v>14</v>
      </c>
      <c r="J1792" s="4" t="s">
        <v>200</v>
      </c>
      <c r="K1792" s="4" t="s">
        <v>68</v>
      </c>
      <c r="M1792">
        <f t="shared" si="56"/>
        <v>1437.6609000000003</v>
      </c>
    </row>
    <row r="1793" spans="1:25" ht="14" x14ac:dyDescent="0.2">
      <c r="A1793" s="4" t="s">
        <v>4003</v>
      </c>
      <c r="B1793" s="5">
        <v>978.40811250000002</v>
      </c>
      <c r="C1793" s="5">
        <f t="shared" si="55"/>
        <v>97.840811250000002</v>
      </c>
      <c r="D1793" s="4">
        <v>10</v>
      </c>
      <c r="E1793" s="5" t="s">
        <v>10</v>
      </c>
      <c r="F1793" s="4" t="s">
        <v>1835</v>
      </c>
      <c r="G1793" s="4" t="s">
        <v>20</v>
      </c>
      <c r="H1793" s="4" t="s">
        <v>4004</v>
      </c>
      <c r="I1793" s="4" t="s">
        <v>22</v>
      </c>
      <c r="J1793" s="4" t="s">
        <v>4005</v>
      </c>
      <c r="K1793" s="4" t="s">
        <v>53</v>
      </c>
      <c r="M1793">
        <f t="shared" si="56"/>
        <v>88.056730125000001</v>
      </c>
    </row>
    <row r="1794" spans="1:25" ht="14" x14ac:dyDescent="0.2">
      <c r="A1794" s="4" t="s">
        <v>4006</v>
      </c>
      <c r="B1794" s="5">
        <v>1331.1675</v>
      </c>
      <c r="C1794" s="5">
        <f t="shared" si="55"/>
        <v>1331.1675</v>
      </c>
      <c r="D1794" s="4">
        <v>1</v>
      </c>
      <c r="E1794" s="5" t="s">
        <v>59</v>
      </c>
      <c r="F1794" s="4" t="s">
        <v>1835</v>
      </c>
      <c r="G1794" s="4" t="s">
        <v>20</v>
      </c>
      <c r="H1794" s="4" t="s">
        <v>4007</v>
      </c>
      <c r="I1794" s="4" t="s">
        <v>22</v>
      </c>
      <c r="J1794" s="4" t="s">
        <v>4008</v>
      </c>
      <c r="K1794" s="4" t="s">
        <v>53</v>
      </c>
      <c r="M1794">
        <f t="shared" si="56"/>
        <v>1198.0507500000001</v>
      </c>
    </row>
    <row r="1795" spans="1:25" ht="14" x14ac:dyDescent="0.2">
      <c r="A1795" s="4" t="s">
        <v>4009</v>
      </c>
      <c r="B1795" s="5">
        <v>37716.412500000006</v>
      </c>
      <c r="C1795" s="5">
        <f t="shared" ref="C1795:C1858" si="57">(B1795/D1795)</f>
        <v>3771.6412500000006</v>
      </c>
      <c r="D1795" s="4">
        <v>10</v>
      </c>
      <c r="E1795" s="4" t="s">
        <v>10</v>
      </c>
      <c r="F1795" s="4" t="s">
        <v>4010</v>
      </c>
      <c r="G1795" s="4" t="s">
        <v>12</v>
      </c>
      <c r="H1795" s="4" t="s">
        <v>4011</v>
      </c>
      <c r="I1795" s="4"/>
      <c r="J1795" s="4" t="s">
        <v>4012</v>
      </c>
      <c r="K1795" s="4" t="s">
        <v>68</v>
      </c>
      <c r="M1795">
        <f t="shared" si="56"/>
        <v>3394.4771250000003</v>
      </c>
    </row>
    <row r="1796" spans="1:25" ht="14" x14ac:dyDescent="0.2">
      <c r="A1796" s="4" t="s">
        <v>4013</v>
      </c>
      <c r="B1796" s="5">
        <v>5879.3231250000008</v>
      </c>
      <c r="C1796" s="5">
        <f t="shared" si="57"/>
        <v>587.93231250000008</v>
      </c>
      <c r="D1796" s="4">
        <v>10</v>
      </c>
      <c r="E1796" s="5" t="s">
        <v>124</v>
      </c>
      <c r="F1796" s="4" t="s">
        <v>4013</v>
      </c>
      <c r="G1796" s="4" t="s">
        <v>20</v>
      </c>
      <c r="H1796" s="4" t="s">
        <v>4013</v>
      </c>
      <c r="I1796" s="4" t="s">
        <v>22</v>
      </c>
      <c r="J1796" s="4" t="s">
        <v>2519</v>
      </c>
      <c r="K1796" s="4" t="s">
        <v>68</v>
      </c>
      <c r="M1796">
        <f t="shared" si="56"/>
        <v>529.13908125000012</v>
      </c>
    </row>
    <row r="1797" spans="1:25" ht="14" x14ac:dyDescent="0.2">
      <c r="A1797" s="4" t="s">
        <v>4014</v>
      </c>
      <c r="B1797" s="5">
        <v>14420.981250000001</v>
      </c>
      <c r="C1797" s="5">
        <f t="shared" si="57"/>
        <v>171.67834821428573</v>
      </c>
      <c r="D1797" s="4">
        <v>84</v>
      </c>
      <c r="E1797" s="5" t="s">
        <v>10</v>
      </c>
      <c r="F1797" s="4" t="s">
        <v>4015</v>
      </c>
      <c r="G1797" s="4" t="s">
        <v>12</v>
      </c>
      <c r="H1797" s="4" t="s">
        <v>4016</v>
      </c>
      <c r="I1797" s="4" t="s">
        <v>14</v>
      </c>
      <c r="J1797" s="4" t="s">
        <v>271</v>
      </c>
      <c r="K1797" s="4" t="s">
        <v>68</v>
      </c>
      <c r="M1797">
        <f t="shared" si="56"/>
        <v>154.51051339285715</v>
      </c>
    </row>
    <row r="1798" spans="1:25" ht="14" x14ac:dyDescent="0.2">
      <c r="A1798" s="4" t="s">
        <v>4017</v>
      </c>
      <c r="B1798" s="5">
        <v>14706.072956250004</v>
      </c>
      <c r="C1798" s="5">
        <f t="shared" si="57"/>
        <v>175.07229709821434</v>
      </c>
      <c r="D1798" s="4">
        <v>84</v>
      </c>
      <c r="E1798" s="5" t="s">
        <v>10</v>
      </c>
      <c r="F1798" s="4" t="s">
        <v>4015</v>
      </c>
      <c r="G1798" s="4" t="s">
        <v>12</v>
      </c>
      <c r="H1798" s="4" t="s">
        <v>4016</v>
      </c>
      <c r="I1798" s="4" t="s">
        <v>14</v>
      </c>
      <c r="J1798" s="4" t="s">
        <v>273</v>
      </c>
      <c r="K1798" s="4" t="s">
        <v>68</v>
      </c>
      <c r="M1798">
        <f t="shared" si="56"/>
        <v>157.56506738839289</v>
      </c>
    </row>
    <row r="1799" spans="1:25" ht="14" x14ac:dyDescent="0.2">
      <c r="A1799" s="4" t="s">
        <v>4018</v>
      </c>
      <c r="B1799" s="5">
        <v>8874.4500000000007</v>
      </c>
      <c r="C1799" s="5">
        <f t="shared" si="57"/>
        <v>422.59285714285716</v>
      </c>
      <c r="D1799" s="4">
        <v>21</v>
      </c>
      <c r="E1799" s="5" t="s">
        <v>10</v>
      </c>
      <c r="F1799" s="4" t="s">
        <v>4019</v>
      </c>
      <c r="G1799" s="4" t="s">
        <v>12</v>
      </c>
      <c r="H1799" s="4" t="s">
        <v>4016</v>
      </c>
      <c r="I1799" s="4" t="s">
        <v>14</v>
      </c>
      <c r="J1799" s="4" t="s">
        <v>273</v>
      </c>
      <c r="K1799" s="4" t="s">
        <v>68</v>
      </c>
      <c r="M1799">
        <f t="shared" si="56"/>
        <v>380.33357142857142</v>
      </c>
    </row>
    <row r="1800" spans="1:25" ht="14" x14ac:dyDescent="0.2">
      <c r="A1800" s="7" t="s">
        <v>5466</v>
      </c>
      <c r="B1800" s="10">
        <v>52913.908125000002</v>
      </c>
      <c r="C1800" s="5">
        <f t="shared" si="57"/>
        <v>6614.2385156250002</v>
      </c>
      <c r="D1800" s="9">
        <v>8</v>
      </c>
      <c r="E1800" s="10" t="s">
        <v>5185</v>
      </c>
      <c r="F1800" s="7" t="s">
        <v>5467</v>
      </c>
      <c r="G1800" s="7" t="s">
        <v>12</v>
      </c>
      <c r="H1800" s="7" t="s">
        <v>5468</v>
      </c>
      <c r="J1800" s="7" t="s">
        <v>67</v>
      </c>
      <c r="K1800" s="7" t="s">
        <v>68</v>
      </c>
      <c r="L1800" s="4"/>
      <c r="M1800">
        <f t="shared" si="56"/>
        <v>5952.8146640625</v>
      </c>
      <c r="N1800" s="3"/>
      <c r="O1800" s="3"/>
      <c r="P1800" s="3"/>
      <c r="Q1800" s="2"/>
      <c r="R1800" s="2"/>
      <c r="S1800" s="2"/>
      <c r="T1800" s="2"/>
      <c r="U1800" s="2"/>
      <c r="V1800" s="2"/>
      <c r="W1800" s="2"/>
      <c r="X1800" s="2"/>
      <c r="Y1800" s="2"/>
    </row>
    <row r="1801" spans="1:25" ht="14" x14ac:dyDescent="0.2">
      <c r="A1801" s="4" t="s">
        <v>4020</v>
      </c>
      <c r="B1801" s="5">
        <v>554.65312500000005</v>
      </c>
      <c r="C1801" s="5">
        <f t="shared" si="57"/>
        <v>554.65312500000005</v>
      </c>
      <c r="D1801" s="4">
        <v>1</v>
      </c>
      <c r="E1801" s="5" t="s">
        <v>124</v>
      </c>
      <c r="F1801" s="4" t="s">
        <v>709</v>
      </c>
      <c r="G1801" s="4" t="s">
        <v>20</v>
      </c>
      <c r="H1801" s="4" t="s">
        <v>709</v>
      </c>
      <c r="I1801" s="4" t="s">
        <v>22</v>
      </c>
      <c r="J1801" s="4" t="s">
        <v>4021</v>
      </c>
      <c r="K1801" s="4" t="s">
        <v>406</v>
      </c>
      <c r="M1801">
        <f t="shared" si="56"/>
        <v>499.18781250000006</v>
      </c>
    </row>
    <row r="1802" spans="1:25" ht="14" x14ac:dyDescent="0.2">
      <c r="A1802" s="4" t="s">
        <v>4022</v>
      </c>
      <c r="B1802" s="5">
        <v>1996.7512500000003</v>
      </c>
      <c r="C1802" s="5">
        <f t="shared" si="57"/>
        <v>1996.7512500000003</v>
      </c>
      <c r="D1802" s="4">
        <v>1</v>
      </c>
      <c r="E1802" s="5" t="s">
        <v>59</v>
      </c>
      <c r="F1802" s="4" t="s">
        <v>4022</v>
      </c>
      <c r="G1802" s="4" t="s">
        <v>20</v>
      </c>
      <c r="H1802" s="4" t="s">
        <v>4023</v>
      </c>
      <c r="I1802" s="4" t="s">
        <v>22</v>
      </c>
      <c r="J1802" s="4" t="s">
        <v>4024</v>
      </c>
      <c r="K1802" s="4" t="s">
        <v>4025</v>
      </c>
      <c r="M1802">
        <f t="shared" si="56"/>
        <v>1797.0761250000003</v>
      </c>
    </row>
    <row r="1803" spans="1:25" ht="14" x14ac:dyDescent="0.2">
      <c r="A1803" s="4" t="s">
        <v>4026</v>
      </c>
      <c r="B1803" s="5">
        <v>30883.085999999999</v>
      </c>
      <c r="C1803" s="5">
        <f t="shared" si="57"/>
        <v>1029.4361999999999</v>
      </c>
      <c r="D1803" s="4">
        <v>30</v>
      </c>
      <c r="E1803" s="5" t="s">
        <v>30</v>
      </c>
      <c r="F1803" s="4" t="s">
        <v>4026</v>
      </c>
      <c r="G1803" s="4" t="s">
        <v>20</v>
      </c>
      <c r="H1803" s="4" t="s">
        <v>4026</v>
      </c>
      <c r="I1803" s="4" t="s">
        <v>22</v>
      </c>
      <c r="J1803" s="4" t="s">
        <v>25</v>
      </c>
      <c r="K1803" s="4" t="s">
        <v>34</v>
      </c>
      <c r="M1803">
        <f t="shared" si="56"/>
        <v>926.49257999999986</v>
      </c>
    </row>
    <row r="1804" spans="1:25" ht="14" x14ac:dyDescent="0.2">
      <c r="A1804" s="7" t="s">
        <v>5469</v>
      </c>
      <c r="B1804" s="10">
        <v>19745.651250000003</v>
      </c>
      <c r="C1804" s="5">
        <f t="shared" si="57"/>
        <v>658.18837500000006</v>
      </c>
      <c r="D1804" s="9">
        <v>30</v>
      </c>
      <c r="E1804" s="10" t="s">
        <v>5189</v>
      </c>
      <c r="F1804" s="7" t="s">
        <v>5470</v>
      </c>
      <c r="G1804" s="7" t="s">
        <v>20</v>
      </c>
      <c r="H1804" s="7" t="s">
        <v>5471</v>
      </c>
      <c r="J1804" s="7" t="s">
        <v>5472</v>
      </c>
      <c r="K1804" s="7" t="s">
        <v>34</v>
      </c>
      <c r="L1804" s="4"/>
      <c r="M1804">
        <f t="shared" si="56"/>
        <v>592.36953750000009</v>
      </c>
      <c r="N1804" s="3"/>
      <c r="O1804" s="3"/>
      <c r="P1804" s="3"/>
      <c r="Q1804" s="2"/>
      <c r="R1804" s="2"/>
      <c r="S1804" s="2"/>
      <c r="T1804" s="2"/>
      <c r="U1804" s="2"/>
      <c r="V1804" s="2"/>
      <c r="W1804" s="2"/>
      <c r="X1804" s="2"/>
      <c r="Y1804" s="2"/>
    </row>
    <row r="1805" spans="1:25" ht="14" x14ac:dyDescent="0.2">
      <c r="A1805" s="4" t="s">
        <v>4027</v>
      </c>
      <c r="B1805" s="5">
        <v>3660.7106250000002</v>
      </c>
      <c r="C1805" s="5">
        <f t="shared" si="57"/>
        <v>130.73966517857144</v>
      </c>
      <c r="D1805" s="4">
        <v>28</v>
      </c>
      <c r="E1805" s="5" t="s">
        <v>10</v>
      </c>
      <c r="F1805" s="4" t="s">
        <v>4028</v>
      </c>
      <c r="G1805" s="4" t="s">
        <v>12</v>
      </c>
      <c r="H1805" s="4" t="s">
        <v>4028</v>
      </c>
      <c r="I1805" s="4" t="s">
        <v>22</v>
      </c>
      <c r="J1805" s="4" t="s">
        <v>148</v>
      </c>
      <c r="K1805" s="4" t="s">
        <v>90</v>
      </c>
      <c r="M1805">
        <f t="shared" si="56"/>
        <v>117.6656986607143</v>
      </c>
    </row>
    <row r="1806" spans="1:25" ht="14" x14ac:dyDescent="0.2">
      <c r="A1806" s="4" t="s">
        <v>4029</v>
      </c>
      <c r="B1806" s="5">
        <v>4215.3637500000004</v>
      </c>
      <c r="C1806" s="5">
        <f t="shared" si="57"/>
        <v>150.54870535714286</v>
      </c>
      <c r="D1806" s="4">
        <v>28</v>
      </c>
      <c r="E1806" s="5" t="s">
        <v>10</v>
      </c>
      <c r="F1806" s="4" t="s">
        <v>4028</v>
      </c>
      <c r="G1806" s="4" t="s">
        <v>12</v>
      </c>
      <c r="H1806" s="4" t="s">
        <v>4028</v>
      </c>
      <c r="I1806" s="4" t="s">
        <v>22</v>
      </c>
      <c r="J1806" s="4" t="s">
        <v>146</v>
      </c>
      <c r="K1806" s="4" t="s">
        <v>90</v>
      </c>
      <c r="M1806">
        <f t="shared" si="56"/>
        <v>135.49383482142858</v>
      </c>
    </row>
    <row r="1807" spans="1:25" ht="14" x14ac:dyDescent="0.2">
      <c r="A1807" s="4" t="s">
        <v>4030</v>
      </c>
      <c r="B1807" s="5">
        <v>4770.0168750000003</v>
      </c>
      <c r="C1807" s="5">
        <f t="shared" si="57"/>
        <v>170.35774553571429</v>
      </c>
      <c r="D1807" s="4">
        <v>28</v>
      </c>
      <c r="E1807" s="5" t="s">
        <v>10</v>
      </c>
      <c r="F1807" s="4" t="s">
        <v>4028</v>
      </c>
      <c r="G1807" s="4" t="s">
        <v>12</v>
      </c>
      <c r="H1807" s="4" t="s">
        <v>4028</v>
      </c>
      <c r="I1807" s="4" t="s">
        <v>22</v>
      </c>
      <c r="J1807" s="4" t="s">
        <v>495</v>
      </c>
      <c r="K1807" s="4" t="s">
        <v>90</v>
      </c>
      <c r="M1807">
        <f t="shared" si="56"/>
        <v>153.32197098214286</v>
      </c>
    </row>
    <row r="1808" spans="1:25" ht="14" x14ac:dyDescent="0.2">
      <c r="A1808" s="7" t="s">
        <v>5473</v>
      </c>
      <c r="B1808" s="10">
        <v>3327.9187500000003</v>
      </c>
      <c r="C1808" s="5">
        <f t="shared" si="57"/>
        <v>3327.9187500000003</v>
      </c>
      <c r="D1808" s="9">
        <v>1</v>
      </c>
      <c r="E1808" s="10" t="s">
        <v>5193</v>
      </c>
      <c r="F1808" s="7" t="s">
        <v>5474</v>
      </c>
      <c r="H1808" s="7" t="s">
        <v>5474</v>
      </c>
      <c r="J1808" s="7" t="s">
        <v>140</v>
      </c>
      <c r="K1808" s="7" t="s">
        <v>219</v>
      </c>
      <c r="M1808">
        <f t="shared" si="56"/>
        <v>2995.1268750000004</v>
      </c>
    </row>
    <row r="1809" spans="1:13" ht="14" x14ac:dyDescent="0.2">
      <c r="A1809" s="4" t="s">
        <v>4031</v>
      </c>
      <c r="B1809" s="5">
        <v>25821.321581250002</v>
      </c>
      <c r="C1809" s="5">
        <f t="shared" si="57"/>
        <v>922.19005647321433</v>
      </c>
      <c r="D1809" s="4">
        <v>28</v>
      </c>
      <c r="E1809" s="5" t="s">
        <v>10</v>
      </c>
      <c r="F1809" s="4" t="s">
        <v>2129</v>
      </c>
      <c r="G1809" s="4" t="s">
        <v>12</v>
      </c>
      <c r="H1809" s="4" t="s">
        <v>4032</v>
      </c>
      <c r="I1809" s="4" t="s">
        <v>14</v>
      </c>
      <c r="J1809" s="4" t="s">
        <v>200</v>
      </c>
      <c r="K1809" s="4" t="s">
        <v>812</v>
      </c>
      <c r="M1809">
        <f t="shared" si="56"/>
        <v>829.97105082589292</v>
      </c>
    </row>
    <row r="1810" spans="1:13" ht="14" x14ac:dyDescent="0.2">
      <c r="A1810" s="4" t="s">
        <v>4033</v>
      </c>
      <c r="B1810" s="5">
        <v>16374.46955625</v>
      </c>
      <c r="C1810" s="5">
        <f t="shared" si="57"/>
        <v>545.81565187499996</v>
      </c>
      <c r="D1810" s="4">
        <v>30</v>
      </c>
      <c r="E1810" s="5" t="s">
        <v>30</v>
      </c>
      <c r="F1810" s="4" t="s">
        <v>4034</v>
      </c>
      <c r="G1810" s="4" t="s">
        <v>12</v>
      </c>
      <c r="H1810" s="4" t="s">
        <v>4035</v>
      </c>
      <c r="I1810" s="4" t="s">
        <v>14</v>
      </c>
      <c r="K1810" s="4" t="s">
        <v>34</v>
      </c>
      <c r="M1810">
        <f t="shared" si="56"/>
        <v>491.23408668749994</v>
      </c>
    </row>
    <row r="1811" spans="1:13" ht="14" x14ac:dyDescent="0.2">
      <c r="A1811" s="4" t="s">
        <v>4036</v>
      </c>
      <c r="B1811" s="5">
        <v>4472.7228000000005</v>
      </c>
      <c r="C1811" s="5">
        <f t="shared" si="57"/>
        <v>159.74010000000001</v>
      </c>
      <c r="D1811" s="4">
        <v>28</v>
      </c>
      <c r="E1811" s="5" t="s">
        <v>10</v>
      </c>
      <c r="F1811" s="4" t="s">
        <v>1418</v>
      </c>
      <c r="G1811" s="4" t="s">
        <v>12</v>
      </c>
      <c r="H1811" s="4" t="s">
        <v>4037</v>
      </c>
      <c r="I1811" s="4" t="s">
        <v>14</v>
      </c>
      <c r="J1811" s="4" t="s">
        <v>1256</v>
      </c>
      <c r="K1811" s="4" t="s">
        <v>812</v>
      </c>
      <c r="M1811">
        <f t="shared" si="56"/>
        <v>143.76609000000002</v>
      </c>
    </row>
    <row r="1812" spans="1:13" ht="14" x14ac:dyDescent="0.2">
      <c r="A1812" s="4" t="s">
        <v>4038</v>
      </c>
      <c r="B1812" s="5">
        <v>7384.6517062500016</v>
      </c>
      <c r="C1812" s="5">
        <f t="shared" si="57"/>
        <v>246.15505687500004</v>
      </c>
      <c r="D1812" s="4">
        <v>30</v>
      </c>
      <c r="E1812" s="5" t="s">
        <v>30</v>
      </c>
      <c r="F1812" s="4" t="s">
        <v>4039</v>
      </c>
      <c r="G1812" s="4" t="s">
        <v>12</v>
      </c>
      <c r="H1812" s="4" t="s">
        <v>4040</v>
      </c>
      <c r="I1812" s="4" t="s">
        <v>14</v>
      </c>
      <c r="K1812" s="4" t="s">
        <v>34</v>
      </c>
      <c r="M1812">
        <f t="shared" si="56"/>
        <v>221.53955118750002</v>
      </c>
    </row>
    <row r="1813" spans="1:13" ht="14" x14ac:dyDescent="0.2">
      <c r="A1813" s="4" t="s">
        <v>4041</v>
      </c>
      <c r="B1813" s="5">
        <v>20588.724000000002</v>
      </c>
      <c r="C1813" s="5">
        <f t="shared" si="57"/>
        <v>20588.724000000002</v>
      </c>
      <c r="D1813" s="4">
        <v>1</v>
      </c>
      <c r="E1813" s="5" t="s">
        <v>175</v>
      </c>
      <c r="F1813" s="4" t="s">
        <v>464</v>
      </c>
      <c r="G1813" s="4" t="s">
        <v>12</v>
      </c>
      <c r="H1813" s="4" t="s">
        <v>4042</v>
      </c>
      <c r="I1813" s="4" t="s">
        <v>14</v>
      </c>
      <c r="K1813" s="4" t="s">
        <v>23</v>
      </c>
      <c r="M1813">
        <f t="shared" si="56"/>
        <v>18529.851600000002</v>
      </c>
    </row>
    <row r="1814" spans="1:13" ht="14" x14ac:dyDescent="0.2">
      <c r="A1814" s="4" t="s">
        <v>4043</v>
      </c>
      <c r="B1814" s="5">
        <v>18163.780537499999</v>
      </c>
      <c r="C1814" s="5">
        <f t="shared" si="57"/>
        <v>605.45935124999994</v>
      </c>
      <c r="D1814" s="4">
        <v>30</v>
      </c>
      <c r="E1814" s="5" t="s">
        <v>10</v>
      </c>
      <c r="F1814" s="4" t="s">
        <v>4044</v>
      </c>
      <c r="G1814" s="4" t="s">
        <v>12</v>
      </c>
      <c r="H1814" s="4" t="s">
        <v>4045</v>
      </c>
      <c r="I1814" s="4" t="s">
        <v>14</v>
      </c>
      <c r="K1814" s="4" t="s">
        <v>812</v>
      </c>
      <c r="M1814">
        <f t="shared" si="56"/>
        <v>544.91341612499991</v>
      </c>
    </row>
    <row r="1815" spans="1:13" ht="14" x14ac:dyDescent="0.2">
      <c r="A1815" s="4" t="s">
        <v>4046</v>
      </c>
      <c r="B1815" s="5">
        <v>6960.8967187500002</v>
      </c>
      <c r="C1815" s="5">
        <f t="shared" si="57"/>
        <v>290.03736328125001</v>
      </c>
      <c r="D1815" s="4">
        <v>24</v>
      </c>
      <c r="E1815" s="5" t="s">
        <v>10</v>
      </c>
      <c r="F1815" s="4" t="s">
        <v>4047</v>
      </c>
      <c r="G1815" s="4" t="s">
        <v>12</v>
      </c>
      <c r="H1815" s="4" t="s">
        <v>4048</v>
      </c>
      <c r="I1815" s="4" t="s">
        <v>22</v>
      </c>
      <c r="J1815" s="4" t="s">
        <v>200</v>
      </c>
      <c r="K1815" s="4" t="s">
        <v>68</v>
      </c>
      <c r="M1815">
        <f t="shared" si="56"/>
        <v>261.03362695312501</v>
      </c>
    </row>
    <row r="1816" spans="1:13" ht="14" x14ac:dyDescent="0.2">
      <c r="A1816" s="4" t="s">
        <v>4049</v>
      </c>
      <c r="B1816" s="5">
        <v>9435.7589625000019</v>
      </c>
      <c r="C1816" s="5">
        <f t="shared" si="57"/>
        <v>471.78794812500007</v>
      </c>
      <c r="D1816" s="4">
        <v>20</v>
      </c>
      <c r="E1816" s="5" t="s">
        <v>10</v>
      </c>
      <c r="F1816" s="4" t="s">
        <v>4050</v>
      </c>
      <c r="G1816" s="4" t="s">
        <v>12</v>
      </c>
      <c r="H1816" s="4" t="s">
        <v>4051</v>
      </c>
      <c r="I1816" s="4" t="s">
        <v>22</v>
      </c>
      <c r="J1816" s="4" t="s">
        <v>15</v>
      </c>
      <c r="K1816" s="4" t="s">
        <v>68</v>
      </c>
      <c r="M1816">
        <f t="shared" si="56"/>
        <v>424.60915331250004</v>
      </c>
    </row>
    <row r="1817" spans="1:13" ht="14" x14ac:dyDescent="0.2">
      <c r="A1817" s="4" t="s">
        <v>4052</v>
      </c>
      <c r="B1817" s="5">
        <v>9766.3322250000001</v>
      </c>
      <c r="C1817" s="5">
        <f t="shared" si="57"/>
        <v>488.31661124999999</v>
      </c>
      <c r="D1817" s="4">
        <v>20</v>
      </c>
      <c r="E1817" s="5" t="s">
        <v>10</v>
      </c>
      <c r="F1817" s="4" t="s">
        <v>4050</v>
      </c>
      <c r="G1817" s="4" t="s">
        <v>12</v>
      </c>
      <c r="H1817" s="4" t="s">
        <v>4051</v>
      </c>
      <c r="I1817" s="4" t="s">
        <v>22</v>
      </c>
      <c r="J1817" s="4" t="s">
        <v>15</v>
      </c>
      <c r="K1817" s="4" t="s">
        <v>68</v>
      </c>
      <c r="M1817">
        <f t="shared" si="56"/>
        <v>439.48495012500001</v>
      </c>
    </row>
    <row r="1818" spans="1:13" ht="14" x14ac:dyDescent="0.2">
      <c r="A1818" s="4" t="s">
        <v>4053</v>
      </c>
      <c r="B1818" s="5">
        <v>7432.3518750000003</v>
      </c>
      <c r="C1818" s="5">
        <f t="shared" si="57"/>
        <v>743.23518750000005</v>
      </c>
      <c r="D1818" s="4">
        <v>10</v>
      </c>
      <c r="E1818" s="5" t="s">
        <v>10</v>
      </c>
      <c r="F1818" s="4" t="s">
        <v>250</v>
      </c>
      <c r="G1818" s="4" t="s">
        <v>20</v>
      </c>
      <c r="H1818" s="4" t="s">
        <v>4054</v>
      </c>
      <c r="I1818" s="4" t="s">
        <v>14</v>
      </c>
      <c r="J1818" s="4" t="s">
        <v>67</v>
      </c>
      <c r="K1818" s="4" t="s">
        <v>53</v>
      </c>
      <c r="M1818">
        <f t="shared" si="56"/>
        <v>668.91166874999999</v>
      </c>
    </row>
    <row r="1819" spans="1:13" ht="14" x14ac:dyDescent="0.2">
      <c r="A1819" s="4" t="s">
        <v>4055</v>
      </c>
      <c r="B1819" s="5">
        <v>9872.8256250000013</v>
      </c>
      <c r="C1819" s="5">
        <f t="shared" si="57"/>
        <v>987.28256250000015</v>
      </c>
      <c r="D1819" s="4">
        <v>10</v>
      </c>
      <c r="E1819" s="5" t="s">
        <v>10</v>
      </c>
      <c r="F1819" s="4" t="s">
        <v>250</v>
      </c>
      <c r="G1819" s="4" t="s">
        <v>20</v>
      </c>
      <c r="H1819" s="4" t="s">
        <v>4054</v>
      </c>
      <c r="I1819" s="4" t="s">
        <v>22</v>
      </c>
      <c r="J1819" s="4" t="s">
        <v>207</v>
      </c>
      <c r="K1819" s="4" t="s">
        <v>53</v>
      </c>
      <c r="M1819">
        <f t="shared" si="56"/>
        <v>888.55430625000008</v>
      </c>
    </row>
    <row r="1820" spans="1:13" ht="14" x14ac:dyDescent="0.2">
      <c r="A1820" s="4" t="s">
        <v>4056</v>
      </c>
      <c r="B1820" s="5">
        <v>4991.8781250000002</v>
      </c>
      <c r="C1820" s="5">
        <f t="shared" si="57"/>
        <v>4991.8781250000002</v>
      </c>
      <c r="D1820" s="4">
        <v>1</v>
      </c>
      <c r="E1820" s="5" t="s">
        <v>181</v>
      </c>
      <c r="F1820" s="4" t="s">
        <v>250</v>
      </c>
      <c r="G1820" s="4" t="s">
        <v>20</v>
      </c>
      <c r="H1820" s="4" t="s">
        <v>4054</v>
      </c>
      <c r="I1820" s="4" t="s">
        <v>22</v>
      </c>
      <c r="J1820" s="4" t="s">
        <v>260</v>
      </c>
      <c r="K1820" s="4" t="s">
        <v>53</v>
      </c>
      <c r="M1820">
        <f t="shared" si="56"/>
        <v>4492.6903124999999</v>
      </c>
    </row>
    <row r="1821" spans="1:13" ht="14" x14ac:dyDescent="0.2">
      <c r="A1821" s="4" t="s">
        <v>4057</v>
      </c>
      <c r="B1821" s="5">
        <v>4644.6652687500009</v>
      </c>
      <c r="C1821" s="5">
        <f t="shared" si="57"/>
        <v>4644.6652687500009</v>
      </c>
      <c r="D1821" s="4">
        <v>1</v>
      </c>
      <c r="E1821" s="5" t="s">
        <v>181</v>
      </c>
      <c r="F1821" s="4" t="s">
        <v>250</v>
      </c>
      <c r="G1821" s="4" t="s">
        <v>20</v>
      </c>
      <c r="H1821" s="4" t="s">
        <v>4054</v>
      </c>
      <c r="I1821" s="4" t="s">
        <v>22</v>
      </c>
      <c r="J1821" s="4" t="s">
        <v>67</v>
      </c>
      <c r="K1821" s="4" t="s">
        <v>53</v>
      </c>
      <c r="M1821">
        <f t="shared" ref="M1821:M1884" si="58">C1821-(C1821* 10%)</f>
        <v>4180.1987418750005</v>
      </c>
    </row>
    <row r="1822" spans="1:13" ht="14" x14ac:dyDescent="0.2">
      <c r="A1822" s="4" t="s">
        <v>4058</v>
      </c>
      <c r="B1822" s="5">
        <v>9053.0483062500025</v>
      </c>
      <c r="C1822" s="5">
        <f t="shared" si="57"/>
        <v>301.76827687500008</v>
      </c>
      <c r="D1822" s="4">
        <v>30</v>
      </c>
      <c r="E1822" s="5" t="s">
        <v>30</v>
      </c>
      <c r="F1822" s="4" t="s">
        <v>2211</v>
      </c>
      <c r="G1822" s="4" t="s">
        <v>12</v>
      </c>
      <c r="H1822" s="4" t="s">
        <v>4059</v>
      </c>
      <c r="I1822" s="4" t="s">
        <v>14</v>
      </c>
      <c r="J1822" s="4" t="s">
        <v>148</v>
      </c>
      <c r="K1822" s="4" t="s">
        <v>227</v>
      </c>
      <c r="M1822">
        <f t="shared" si="58"/>
        <v>271.59144918750007</v>
      </c>
    </row>
    <row r="1823" spans="1:13" ht="14" x14ac:dyDescent="0.2">
      <c r="A1823" s="4" t="s">
        <v>4060</v>
      </c>
      <c r="B1823" s="5">
        <v>39592.249368750003</v>
      </c>
      <c r="C1823" s="5">
        <f t="shared" si="57"/>
        <v>39592.249368750003</v>
      </c>
      <c r="D1823" s="4">
        <v>1</v>
      </c>
      <c r="E1823" s="5" t="s">
        <v>25</v>
      </c>
      <c r="F1823" s="4" t="s">
        <v>4061</v>
      </c>
      <c r="G1823" s="4" t="s">
        <v>12</v>
      </c>
      <c r="H1823" s="4" t="s">
        <v>4062</v>
      </c>
      <c r="I1823" s="4" t="s">
        <v>14</v>
      </c>
      <c r="J1823" s="4" t="s">
        <v>4063</v>
      </c>
      <c r="K1823" s="4" t="s">
        <v>74</v>
      </c>
      <c r="M1823">
        <f t="shared" si="58"/>
        <v>35633.024431875005</v>
      </c>
    </row>
    <row r="1824" spans="1:13" ht="14" x14ac:dyDescent="0.2">
      <c r="A1824" s="4" t="s">
        <v>4064</v>
      </c>
      <c r="B1824" s="5">
        <v>64738.00344375</v>
      </c>
      <c r="C1824" s="5">
        <f t="shared" si="57"/>
        <v>3236.9001721875002</v>
      </c>
      <c r="D1824" s="4">
        <v>20</v>
      </c>
      <c r="E1824" s="5" t="s">
        <v>25</v>
      </c>
      <c r="F1824" s="4" t="s">
        <v>4061</v>
      </c>
      <c r="G1824" s="4" t="s">
        <v>12</v>
      </c>
      <c r="H1824" s="4" t="s">
        <v>4062</v>
      </c>
      <c r="I1824" s="4" t="s">
        <v>14</v>
      </c>
      <c r="J1824" s="4" t="s">
        <v>4063</v>
      </c>
      <c r="K1824" s="4" t="s">
        <v>74</v>
      </c>
      <c r="M1824">
        <f t="shared" si="58"/>
        <v>2913.21015496875</v>
      </c>
    </row>
    <row r="1825" spans="1:13" ht="14" x14ac:dyDescent="0.2">
      <c r="A1825" s="4" t="s">
        <v>4065</v>
      </c>
      <c r="B1825" s="5">
        <v>5435.600625</v>
      </c>
      <c r="C1825" s="5">
        <f t="shared" si="57"/>
        <v>543.56006249999996</v>
      </c>
      <c r="D1825" s="4">
        <v>10</v>
      </c>
      <c r="E1825" s="5" t="s">
        <v>10</v>
      </c>
      <c r="F1825" s="4" t="s">
        <v>250</v>
      </c>
      <c r="G1825" s="4" t="s">
        <v>20</v>
      </c>
      <c r="H1825" s="4" t="s">
        <v>4066</v>
      </c>
      <c r="I1825" s="4" t="s">
        <v>22</v>
      </c>
      <c r="J1825" s="4" t="s">
        <v>67</v>
      </c>
      <c r="K1825" s="4" t="s">
        <v>53</v>
      </c>
      <c r="M1825">
        <f t="shared" si="58"/>
        <v>489.20405624999995</v>
      </c>
    </row>
    <row r="1826" spans="1:13" ht="14" x14ac:dyDescent="0.2">
      <c r="A1826" s="4" t="s">
        <v>4067</v>
      </c>
      <c r="B1826" s="5">
        <v>6544.9068750000006</v>
      </c>
      <c r="C1826" s="5">
        <f t="shared" si="57"/>
        <v>654.49068750000004</v>
      </c>
      <c r="D1826" s="4">
        <v>10</v>
      </c>
      <c r="E1826" s="5" t="s">
        <v>10</v>
      </c>
      <c r="F1826" s="4" t="s">
        <v>250</v>
      </c>
      <c r="G1826" s="4" t="s">
        <v>20</v>
      </c>
      <c r="H1826" s="4" t="s">
        <v>4066</v>
      </c>
      <c r="I1826" s="4" t="s">
        <v>22</v>
      </c>
      <c r="J1826" s="4" t="s">
        <v>207</v>
      </c>
      <c r="K1826" s="4" t="s">
        <v>53</v>
      </c>
      <c r="M1826">
        <f t="shared" si="58"/>
        <v>589.04161875</v>
      </c>
    </row>
    <row r="1827" spans="1:13" ht="14" x14ac:dyDescent="0.2">
      <c r="A1827" s="4" t="s">
        <v>4068</v>
      </c>
      <c r="B1827" s="5">
        <v>10142.387043750001</v>
      </c>
      <c r="C1827" s="5">
        <f t="shared" si="57"/>
        <v>211.29973007812501</v>
      </c>
      <c r="D1827" s="4">
        <v>48</v>
      </c>
      <c r="E1827" s="5" t="s">
        <v>30</v>
      </c>
      <c r="F1827" s="4" t="s">
        <v>1798</v>
      </c>
      <c r="G1827" s="4" t="s">
        <v>20</v>
      </c>
      <c r="H1827" s="4" t="s">
        <v>4069</v>
      </c>
      <c r="I1827" s="4" t="s">
        <v>22</v>
      </c>
      <c r="J1827" s="4" t="s">
        <v>4070</v>
      </c>
      <c r="K1827" s="4" t="s">
        <v>748</v>
      </c>
      <c r="M1827">
        <f t="shared" si="58"/>
        <v>190.1697570703125</v>
      </c>
    </row>
    <row r="1828" spans="1:13" ht="14" x14ac:dyDescent="0.2">
      <c r="A1828" s="4" t="s">
        <v>4071</v>
      </c>
      <c r="B1828" s="5">
        <v>1003.9221562500002</v>
      </c>
      <c r="C1828" s="5">
        <f t="shared" si="57"/>
        <v>1003.9221562500002</v>
      </c>
      <c r="D1828" s="4">
        <v>1</v>
      </c>
      <c r="E1828" s="5" t="s">
        <v>181</v>
      </c>
      <c r="F1828" s="4" t="s">
        <v>4072</v>
      </c>
      <c r="G1828" s="4" t="s">
        <v>20</v>
      </c>
      <c r="H1828" s="4" t="s">
        <v>4073</v>
      </c>
      <c r="I1828" s="4" t="s">
        <v>22</v>
      </c>
      <c r="J1828" s="4" t="s">
        <v>1859</v>
      </c>
      <c r="K1828" s="4" t="s">
        <v>1919</v>
      </c>
      <c r="M1828">
        <f t="shared" si="58"/>
        <v>903.52994062500011</v>
      </c>
    </row>
    <row r="1829" spans="1:13" ht="14" x14ac:dyDescent="0.2">
      <c r="A1829" s="4" t="s">
        <v>4074</v>
      </c>
      <c r="B1829" s="5">
        <v>21964.263750000002</v>
      </c>
      <c r="C1829" s="5">
        <f t="shared" si="57"/>
        <v>878.57055000000003</v>
      </c>
      <c r="D1829" s="4">
        <v>25</v>
      </c>
      <c r="E1829" s="5" t="s">
        <v>10</v>
      </c>
      <c r="F1829" s="4" t="s">
        <v>4072</v>
      </c>
      <c r="G1829" s="4" t="s">
        <v>20</v>
      </c>
      <c r="H1829" s="4" t="s">
        <v>4073</v>
      </c>
      <c r="I1829" s="4" t="s">
        <v>22</v>
      </c>
      <c r="K1829" s="4" t="s">
        <v>1919</v>
      </c>
      <c r="M1829">
        <f t="shared" si="58"/>
        <v>790.71349499999997</v>
      </c>
    </row>
    <row r="1830" spans="1:13" ht="14" x14ac:dyDescent="0.2">
      <c r="A1830" s="4" t="s">
        <v>4075</v>
      </c>
      <c r="B1830" s="5">
        <v>831.97968750000007</v>
      </c>
      <c r="C1830" s="5">
        <f t="shared" si="57"/>
        <v>138.66328125000001</v>
      </c>
      <c r="D1830" s="4">
        <v>6</v>
      </c>
      <c r="E1830" s="5" t="s">
        <v>10</v>
      </c>
      <c r="F1830" s="4" t="s">
        <v>4072</v>
      </c>
      <c r="G1830" s="4" t="s">
        <v>20</v>
      </c>
      <c r="H1830" s="4" t="s">
        <v>4073</v>
      </c>
      <c r="I1830" s="4" t="s">
        <v>22</v>
      </c>
      <c r="J1830" s="4" t="s">
        <v>260</v>
      </c>
      <c r="K1830" s="4" t="s">
        <v>1919</v>
      </c>
      <c r="M1830">
        <f t="shared" si="58"/>
        <v>124.79695312500002</v>
      </c>
    </row>
    <row r="1831" spans="1:13" ht="14" x14ac:dyDescent="0.2">
      <c r="A1831" s="4" t="s">
        <v>4076</v>
      </c>
      <c r="B1831" s="5">
        <v>3327.9187500000003</v>
      </c>
      <c r="C1831" s="5">
        <f t="shared" si="57"/>
        <v>110.93062500000001</v>
      </c>
      <c r="D1831" s="4">
        <v>30</v>
      </c>
      <c r="E1831" s="5" t="s">
        <v>10</v>
      </c>
      <c r="F1831" s="4" t="s">
        <v>4076</v>
      </c>
      <c r="G1831" s="4" t="s">
        <v>20</v>
      </c>
      <c r="H1831" s="4" t="s">
        <v>4077</v>
      </c>
      <c r="I1831" s="4" t="s">
        <v>22</v>
      </c>
      <c r="J1831" s="4" t="s">
        <v>2519</v>
      </c>
      <c r="K1831" s="4" t="s">
        <v>34</v>
      </c>
      <c r="M1831">
        <f t="shared" si="58"/>
        <v>99.837562500000004</v>
      </c>
    </row>
    <row r="1832" spans="1:13" ht="14" x14ac:dyDescent="0.2">
      <c r="A1832" s="4" t="s">
        <v>4078</v>
      </c>
      <c r="B1832" s="5">
        <v>2098.807425</v>
      </c>
      <c r="C1832" s="5">
        <f t="shared" si="57"/>
        <v>74.95740803571428</v>
      </c>
      <c r="D1832" s="4">
        <v>28</v>
      </c>
      <c r="E1832" s="5" t="s">
        <v>10</v>
      </c>
      <c r="F1832" s="4" t="s">
        <v>4079</v>
      </c>
      <c r="G1832" s="4" t="s">
        <v>20</v>
      </c>
      <c r="H1832" s="4" t="s">
        <v>4079</v>
      </c>
      <c r="I1832" s="4" t="s">
        <v>22</v>
      </c>
      <c r="J1832" s="4" t="s">
        <v>78</v>
      </c>
      <c r="K1832" s="4" t="s">
        <v>34</v>
      </c>
      <c r="M1832">
        <f t="shared" si="58"/>
        <v>67.461667232142858</v>
      </c>
    </row>
    <row r="1833" spans="1:13" ht="14" x14ac:dyDescent="0.2">
      <c r="A1833" s="4" t="s">
        <v>4080</v>
      </c>
      <c r="B1833" s="5">
        <v>2254.1103000000003</v>
      </c>
      <c r="C1833" s="5">
        <f t="shared" si="57"/>
        <v>161.00787857142859</v>
      </c>
      <c r="D1833" s="4">
        <v>14</v>
      </c>
      <c r="E1833" s="5" t="s">
        <v>10</v>
      </c>
      <c r="F1833" s="4" t="s">
        <v>4081</v>
      </c>
      <c r="G1833" s="4" t="s">
        <v>20</v>
      </c>
      <c r="H1833" s="4" t="s">
        <v>4082</v>
      </c>
      <c r="I1833" s="4" t="s">
        <v>22</v>
      </c>
      <c r="J1833" s="4" t="s">
        <v>148</v>
      </c>
      <c r="K1833" s="4" t="s">
        <v>748</v>
      </c>
      <c r="M1833">
        <f t="shared" si="58"/>
        <v>144.90709071428574</v>
      </c>
    </row>
    <row r="1834" spans="1:13" ht="14" x14ac:dyDescent="0.2">
      <c r="A1834" s="4" t="s">
        <v>4083</v>
      </c>
      <c r="B1834" s="5">
        <v>29729.407500000001</v>
      </c>
      <c r="C1834" s="5">
        <f t="shared" si="57"/>
        <v>707.84303571428575</v>
      </c>
      <c r="D1834" s="4">
        <v>42</v>
      </c>
      <c r="E1834" s="5" t="s">
        <v>10</v>
      </c>
      <c r="F1834" s="4" t="s">
        <v>4084</v>
      </c>
      <c r="G1834" s="4" t="s">
        <v>20</v>
      </c>
      <c r="H1834" s="4" t="s">
        <v>4085</v>
      </c>
      <c r="I1834" s="4" t="s">
        <v>14</v>
      </c>
      <c r="K1834" s="4" t="s">
        <v>748</v>
      </c>
      <c r="M1834">
        <f t="shared" si="58"/>
        <v>637.05873214285714</v>
      </c>
    </row>
    <row r="1835" spans="1:13" ht="14" x14ac:dyDescent="0.2">
      <c r="A1835" s="4" t="s">
        <v>4086</v>
      </c>
      <c r="B1835" s="5">
        <v>4714.5515625000007</v>
      </c>
      <c r="C1835" s="5">
        <f t="shared" si="57"/>
        <v>4714.5515625000007</v>
      </c>
      <c r="D1835" s="4">
        <v>1</v>
      </c>
      <c r="E1835" s="5" t="s">
        <v>55</v>
      </c>
      <c r="F1835" s="4" t="s">
        <v>4087</v>
      </c>
      <c r="G1835" s="4" t="s">
        <v>20</v>
      </c>
      <c r="H1835" s="4" t="s">
        <v>4088</v>
      </c>
      <c r="I1835" s="4" t="s">
        <v>22</v>
      </c>
      <c r="K1835" s="4" t="s">
        <v>23</v>
      </c>
      <c r="M1835">
        <f t="shared" si="58"/>
        <v>4243.0964062500007</v>
      </c>
    </row>
    <row r="1836" spans="1:13" ht="14" x14ac:dyDescent="0.2">
      <c r="A1836" s="4" t="s">
        <v>4089</v>
      </c>
      <c r="B1836" s="5">
        <v>4714.5515625000007</v>
      </c>
      <c r="C1836" s="5">
        <f t="shared" si="57"/>
        <v>4714.5515625000007</v>
      </c>
      <c r="D1836" s="4">
        <v>1</v>
      </c>
      <c r="E1836" s="5" t="s">
        <v>55</v>
      </c>
      <c r="F1836" s="4" t="s">
        <v>4087</v>
      </c>
      <c r="G1836" s="4" t="s">
        <v>20</v>
      </c>
      <c r="H1836" s="4" t="s">
        <v>4088</v>
      </c>
      <c r="I1836" s="4" t="s">
        <v>22</v>
      </c>
      <c r="K1836" s="4" t="s">
        <v>23</v>
      </c>
      <c r="M1836">
        <f t="shared" si="58"/>
        <v>4243.0964062500007</v>
      </c>
    </row>
    <row r="1837" spans="1:13" ht="14" x14ac:dyDescent="0.2">
      <c r="A1837" s="4" t="s">
        <v>4090</v>
      </c>
      <c r="B1837" s="5">
        <v>1438.77020625</v>
      </c>
      <c r="C1837" s="5">
        <f t="shared" si="57"/>
        <v>143.877020625</v>
      </c>
      <c r="D1837" s="4">
        <v>10</v>
      </c>
      <c r="E1837" s="5" t="s">
        <v>10</v>
      </c>
      <c r="F1837" s="4" t="s">
        <v>3338</v>
      </c>
      <c r="G1837" s="4" t="s">
        <v>20</v>
      </c>
      <c r="H1837" s="4" t="s">
        <v>3338</v>
      </c>
      <c r="I1837" s="4" t="s">
        <v>22</v>
      </c>
      <c r="K1837" s="4" t="s">
        <v>108</v>
      </c>
      <c r="M1837">
        <f t="shared" si="58"/>
        <v>129.48931856249999</v>
      </c>
    </row>
    <row r="1838" spans="1:13" ht="14" x14ac:dyDescent="0.2">
      <c r="A1838" s="4" t="s">
        <v>4091</v>
      </c>
      <c r="B1838" s="5">
        <v>4203.16138125</v>
      </c>
      <c r="C1838" s="5">
        <f t="shared" si="57"/>
        <v>42.031613812499998</v>
      </c>
      <c r="D1838" s="4">
        <v>100</v>
      </c>
      <c r="E1838" s="5" t="s">
        <v>10</v>
      </c>
      <c r="F1838" s="4" t="s">
        <v>3338</v>
      </c>
      <c r="G1838" s="4" t="s">
        <v>20</v>
      </c>
      <c r="H1838" s="4" t="s">
        <v>3338</v>
      </c>
      <c r="I1838" s="4" t="s">
        <v>22</v>
      </c>
      <c r="J1838" s="4" t="s">
        <v>67</v>
      </c>
      <c r="K1838" s="4" t="s">
        <v>108</v>
      </c>
      <c r="M1838">
        <f t="shared" si="58"/>
        <v>37.82845243125</v>
      </c>
    </row>
    <row r="1839" spans="1:13" ht="14" x14ac:dyDescent="0.2">
      <c r="A1839" s="4" t="s">
        <v>4092</v>
      </c>
      <c r="B1839" s="5">
        <v>9351.4516875000008</v>
      </c>
      <c r="C1839" s="5">
        <f t="shared" si="57"/>
        <v>311.71505625000003</v>
      </c>
      <c r="D1839" s="4">
        <v>30</v>
      </c>
      <c r="E1839" s="5" t="s">
        <v>10</v>
      </c>
      <c r="F1839" s="4" t="s">
        <v>4081</v>
      </c>
      <c r="G1839" s="4" t="s">
        <v>20</v>
      </c>
      <c r="H1839" s="4" t="s">
        <v>4093</v>
      </c>
      <c r="I1839" s="4" t="s">
        <v>22</v>
      </c>
      <c r="J1839" s="4" t="s">
        <v>148</v>
      </c>
      <c r="K1839" s="4" t="s">
        <v>748</v>
      </c>
      <c r="M1839">
        <f t="shared" si="58"/>
        <v>280.54355062500002</v>
      </c>
    </row>
    <row r="1840" spans="1:13" ht="14" x14ac:dyDescent="0.2">
      <c r="A1840" s="4" t="s">
        <v>4094</v>
      </c>
      <c r="B1840" s="5">
        <v>3771.6412500000001</v>
      </c>
      <c r="C1840" s="5">
        <f t="shared" si="57"/>
        <v>377.16412500000001</v>
      </c>
      <c r="D1840" s="4">
        <v>10</v>
      </c>
      <c r="E1840" s="5" t="s">
        <v>10</v>
      </c>
      <c r="F1840" s="4" t="s">
        <v>4081</v>
      </c>
      <c r="G1840" s="4" t="s">
        <v>20</v>
      </c>
      <c r="H1840" s="4" t="s">
        <v>4095</v>
      </c>
      <c r="I1840" s="4" t="s">
        <v>22</v>
      </c>
      <c r="J1840" s="4" t="s">
        <v>148</v>
      </c>
      <c r="K1840" s="4" t="s">
        <v>748</v>
      </c>
      <c r="M1840">
        <f t="shared" si="58"/>
        <v>339.44771250000002</v>
      </c>
    </row>
    <row r="1841" spans="1:13" ht="14" x14ac:dyDescent="0.2">
      <c r="A1841" s="4" t="s">
        <v>4096</v>
      </c>
      <c r="B1841" s="5">
        <v>3053.9201062499997</v>
      </c>
      <c r="C1841" s="5">
        <f t="shared" si="57"/>
        <v>3053.9201062499997</v>
      </c>
      <c r="D1841" s="4">
        <v>1</v>
      </c>
      <c r="E1841" s="5" t="s">
        <v>124</v>
      </c>
      <c r="F1841" s="4" t="s">
        <v>4081</v>
      </c>
      <c r="G1841" s="4" t="s">
        <v>20</v>
      </c>
      <c r="H1841" s="4" t="s">
        <v>4095</v>
      </c>
      <c r="I1841" s="4" t="s">
        <v>22</v>
      </c>
      <c r="J1841" s="4" t="s">
        <v>148</v>
      </c>
      <c r="K1841" s="4" t="s">
        <v>748</v>
      </c>
      <c r="M1841">
        <f t="shared" si="58"/>
        <v>2748.5280956249999</v>
      </c>
    </row>
    <row r="1842" spans="1:13" ht="14" x14ac:dyDescent="0.2">
      <c r="A1842" s="4" t="s">
        <v>4097</v>
      </c>
      <c r="B1842" s="5">
        <v>24848.460000000003</v>
      </c>
      <c r="C1842" s="5">
        <f t="shared" si="57"/>
        <v>591.63000000000011</v>
      </c>
      <c r="D1842" s="4">
        <v>42</v>
      </c>
      <c r="E1842" s="5" t="s">
        <v>10</v>
      </c>
      <c r="F1842" s="4" t="s">
        <v>4097</v>
      </c>
      <c r="G1842" s="4" t="s">
        <v>12</v>
      </c>
      <c r="H1842" s="4" t="s">
        <v>4098</v>
      </c>
      <c r="I1842" s="4" t="s">
        <v>14</v>
      </c>
      <c r="J1842" s="4" t="s">
        <v>4099</v>
      </c>
      <c r="K1842" s="4" t="s">
        <v>406</v>
      </c>
      <c r="M1842">
        <f t="shared" si="58"/>
        <v>532.4670000000001</v>
      </c>
    </row>
    <row r="1843" spans="1:13" ht="14" x14ac:dyDescent="0.2">
      <c r="A1843" s="4" t="s">
        <v>4100</v>
      </c>
      <c r="B1843" s="5">
        <v>2092.1515875000005</v>
      </c>
      <c r="C1843" s="5">
        <f t="shared" si="57"/>
        <v>209.21515875000006</v>
      </c>
      <c r="D1843" s="4">
        <v>10</v>
      </c>
      <c r="E1843" s="5" t="s">
        <v>10</v>
      </c>
      <c r="F1843" s="4" t="s">
        <v>4101</v>
      </c>
      <c r="G1843" s="4" t="s">
        <v>20</v>
      </c>
      <c r="H1843" s="4" t="s">
        <v>4102</v>
      </c>
      <c r="I1843" s="4" t="s">
        <v>22</v>
      </c>
      <c r="J1843" s="4" t="s">
        <v>148</v>
      </c>
      <c r="K1843" s="4" t="s">
        <v>748</v>
      </c>
      <c r="M1843">
        <f t="shared" si="58"/>
        <v>188.29364287500005</v>
      </c>
    </row>
    <row r="1844" spans="1:13" ht="14" x14ac:dyDescent="0.2">
      <c r="A1844" s="4" t="s">
        <v>4103</v>
      </c>
      <c r="B1844" s="5">
        <v>16639.59375</v>
      </c>
      <c r="C1844" s="5">
        <f t="shared" si="57"/>
        <v>16639.59375</v>
      </c>
      <c r="D1844" s="4">
        <v>1</v>
      </c>
      <c r="E1844" s="5" t="s">
        <v>124</v>
      </c>
      <c r="F1844" s="4" t="s">
        <v>4103</v>
      </c>
      <c r="G1844" s="4" t="s">
        <v>20</v>
      </c>
      <c r="H1844" s="4" t="s">
        <v>4103</v>
      </c>
      <c r="I1844" s="4" t="s">
        <v>22</v>
      </c>
      <c r="J1844" s="4" t="s">
        <v>2620</v>
      </c>
      <c r="K1844" s="4" t="s">
        <v>2478</v>
      </c>
      <c r="M1844">
        <f t="shared" si="58"/>
        <v>14975.634375</v>
      </c>
    </row>
    <row r="1845" spans="1:13" ht="14" x14ac:dyDescent="0.2">
      <c r="A1845" s="4" t="s">
        <v>4104</v>
      </c>
      <c r="B1845" s="5">
        <v>3738.3620625000003</v>
      </c>
      <c r="C1845" s="5">
        <f t="shared" si="57"/>
        <v>124.61206875000001</v>
      </c>
      <c r="D1845" s="4">
        <v>30</v>
      </c>
      <c r="E1845" s="5" t="s">
        <v>10</v>
      </c>
      <c r="F1845" s="4" t="s">
        <v>4081</v>
      </c>
      <c r="G1845" s="4" t="s">
        <v>20</v>
      </c>
      <c r="H1845" s="4" t="s">
        <v>4105</v>
      </c>
      <c r="I1845" s="4" t="s">
        <v>22</v>
      </c>
      <c r="J1845" s="4" t="s">
        <v>148</v>
      </c>
      <c r="K1845" s="4" t="s">
        <v>748</v>
      </c>
      <c r="M1845">
        <f t="shared" si="58"/>
        <v>112.150861875</v>
      </c>
    </row>
    <row r="1846" spans="1:13" ht="14" x14ac:dyDescent="0.2">
      <c r="A1846" s="4" t="s">
        <v>4106</v>
      </c>
      <c r="B1846" s="5">
        <v>7729.6459500000001</v>
      </c>
      <c r="C1846" s="5">
        <f t="shared" si="57"/>
        <v>276.05878392857142</v>
      </c>
      <c r="D1846" s="4">
        <v>28</v>
      </c>
      <c r="E1846" s="5" t="s">
        <v>30</v>
      </c>
      <c r="F1846" s="4" t="s">
        <v>2496</v>
      </c>
      <c r="G1846" s="4" t="s">
        <v>12</v>
      </c>
      <c r="H1846" s="4" t="s">
        <v>2496</v>
      </c>
      <c r="I1846" s="4" t="s">
        <v>22</v>
      </c>
      <c r="J1846" s="4" t="s">
        <v>146</v>
      </c>
      <c r="K1846" s="4" t="s">
        <v>90</v>
      </c>
      <c r="M1846">
        <f t="shared" si="58"/>
        <v>248.45290553571428</v>
      </c>
    </row>
    <row r="1847" spans="1:13" ht="14" x14ac:dyDescent="0.2">
      <c r="A1847" s="4" t="s">
        <v>4107</v>
      </c>
      <c r="B1847" s="5">
        <v>6299.750193750001</v>
      </c>
      <c r="C1847" s="5">
        <f t="shared" si="57"/>
        <v>224.99107834821433</v>
      </c>
      <c r="D1847" s="4">
        <v>28</v>
      </c>
      <c r="E1847" s="5" t="s">
        <v>30</v>
      </c>
      <c r="F1847" s="4" t="s">
        <v>2496</v>
      </c>
      <c r="G1847" s="4" t="s">
        <v>12</v>
      </c>
      <c r="H1847" s="4" t="s">
        <v>2496</v>
      </c>
      <c r="I1847" s="4" t="s">
        <v>22</v>
      </c>
      <c r="J1847" s="4" t="s">
        <v>200</v>
      </c>
      <c r="K1847" s="4" t="s">
        <v>90</v>
      </c>
      <c r="M1847">
        <f t="shared" si="58"/>
        <v>202.49197051339289</v>
      </c>
    </row>
    <row r="1848" spans="1:13" ht="14" x14ac:dyDescent="0.2">
      <c r="A1848" s="4" t="s">
        <v>4108</v>
      </c>
      <c r="B1848" s="5">
        <v>5324.67</v>
      </c>
      <c r="C1848" s="5">
        <f t="shared" si="57"/>
        <v>95.083392857142854</v>
      </c>
      <c r="D1848" s="4">
        <v>56</v>
      </c>
      <c r="E1848" s="4" t="s">
        <v>10</v>
      </c>
      <c r="F1848" s="4" t="s">
        <v>4108</v>
      </c>
      <c r="G1848" s="4" t="s">
        <v>12</v>
      </c>
      <c r="H1848" s="4" t="s">
        <v>4109</v>
      </c>
      <c r="I1848" s="4"/>
      <c r="J1848" s="4" t="s">
        <v>4110</v>
      </c>
      <c r="K1848" s="4" t="s">
        <v>1316</v>
      </c>
      <c r="M1848">
        <f t="shared" si="58"/>
        <v>85.575053571428569</v>
      </c>
    </row>
    <row r="1849" spans="1:13" ht="14" x14ac:dyDescent="0.2">
      <c r="A1849" s="4" t="s">
        <v>4111</v>
      </c>
      <c r="B1849" s="5">
        <v>4289.6872687500008</v>
      </c>
      <c r="C1849" s="5">
        <f t="shared" si="57"/>
        <v>153.20311674107145</v>
      </c>
      <c r="D1849" s="4">
        <v>28</v>
      </c>
      <c r="E1849" s="5" t="s">
        <v>30</v>
      </c>
      <c r="F1849" s="4" t="s">
        <v>2496</v>
      </c>
      <c r="G1849" s="4" t="s">
        <v>12</v>
      </c>
      <c r="H1849" s="4" t="s">
        <v>2496</v>
      </c>
      <c r="I1849" s="4" t="s">
        <v>22</v>
      </c>
      <c r="J1849" s="4" t="s">
        <v>4112</v>
      </c>
      <c r="K1849" s="4" t="s">
        <v>90</v>
      </c>
      <c r="M1849">
        <f t="shared" si="58"/>
        <v>137.88280506696429</v>
      </c>
    </row>
    <row r="1850" spans="1:13" ht="14" x14ac:dyDescent="0.2">
      <c r="A1850" s="4" t="s">
        <v>4113</v>
      </c>
      <c r="B1850" s="5">
        <v>4401.7272000000003</v>
      </c>
      <c r="C1850" s="5">
        <f t="shared" si="57"/>
        <v>157.20454285714285</v>
      </c>
      <c r="D1850" s="4">
        <v>28</v>
      </c>
      <c r="E1850" s="5" t="s">
        <v>30</v>
      </c>
      <c r="F1850" s="4" t="s">
        <v>2496</v>
      </c>
      <c r="G1850" s="4" t="s">
        <v>12</v>
      </c>
      <c r="H1850" s="4" t="s">
        <v>2496</v>
      </c>
      <c r="I1850" s="4" t="s">
        <v>22</v>
      </c>
      <c r="J1850" s="4" t="s">
        <v>603</v>
      </c>
      <c r="K1850" s="4" t="s">
        <v>90</v>
      </c>
      <c r="M1850">
        <f t="shared" si="58"/>
        <v>141.48408857142857</v>
      </c>
    </row>
    <row r="1851" spans="1:13" ht="14" x14ac:dyDescent="0.2">
      <c r="A1851" s="4" t="s">
        <v>4114</v>
      </c>
      <c r="B1851" s="5">
        <v>2457.1133437500002</v>
      </c>
      <c r="C1851" s="5">
        <f t="shared" si="57"/>
        <v>245.71133437500004</v>
      </c>
      <c r="D1851" s="4">
        <v>10</v>
      </c>
      <c r="E1851" s="5" t="s">
        <v>10</v>
      </c>
      <c r="F1851" s="4" t="s">
        <v>4115</v>
      </c>
      <c r="G1851" s="4" t="s">
        <v>12</v>
      </c>
      <c r="H1851" s="4" t="s">
        <v>4116</v>
      </c>
      <c r="I1851" s="4" t="s">
        <v>22</v>
      </c>
      <c r="J1851" s="4" t="s">
        <v>200</v>
      </c>
      <c r="K1851" s="4" t="s">
        <v>90</v>
      </c>
      <c r="M1851">
        <f t="shared" si="58"/>
        <v>221.14020093750003</v>
      </c>
    </row>
    <row r="1852" spans="1:13" ht="14" x14ac:dyDescent="0.2">
      <c r="A1852" s="4" t="s">
        <v>4117</v>
      </c>
      <c r="B1852" s="5">
        <v>4395.0713625000008</v>
      </c>
      <c r="C1852" s="5">
        <f t="shared" si="57"/>
        <v>36.625594687500005</v>
      </c>
      <c r="D1852" s="4">
        <v>120</v>
      </c>
      <c r="E1852" s="5" t="s">
        <v>30</v>
      </c>
      <c r="F1852" s="4" t="s">
        <v>4118</v>
      </c>
      <c r="G1852" s="4" t="s">
        <v>20</v>
      </c>
      <c r="H1852" s="4" t="s">
        <v>4119</v>
      </c>
      <c r="I1852" s="4" t="s">
        <v>22</v>
      </c>
      <c r="K1852" s="4" t="s">
        <v>34</v>
      </c>
      <c r="M1852">
        <f t="shared" si="58"/>
        <v>32.963035218750008</v>
      </c>
    </row>
    <row r="1853" spans="1:13" ht="14" x14ac:dyDescent="0.2">
      <c r="A1853" s="4" t="s">
        <v>4120</v>
      </c>
      <c r="B1853" s="5">
        <v>2870.884575</v>
      </c>
      <c r="C1853" s="5">
        <f t="shared" si="57"/>
        <v>2870.884575</v>
      </c>
      <c r="D1853" s="4">
        <v>1</v>
      </c>
      <c r="E1853" s="5" t="s">
        <v>59</v>
      </c>
      <c r="F1853" s="4" t="s">
        <v>4121</v>
      </c>
      <c r="G1853" s="4" t="s">
        <v>20</v>
      </c>
      <c r="H1853" s="4" t="s">
        <v>4121</v>
      </c>
      <c r="I1853" s="4" t="s">
        <v>22</v>
      </c>
      <c r="J1853" s="4" t="s">
        <v>3326</v>
      </c>
      <c r="K1853" s="4" t="s">
        <v>34</v>
      </c>
      <c r="M1853">
        <f t="shared" si="58"/>
        <v>2583.7961175</v>
      </c>
    </row>
    <row r="1854" spans="1:13" ht="14" x14ac:dyDescent="0.2">
      <c r="A1854" s="4" t="s">
        <v>4122</v>
      </c>
      <c r="B1854" s="5">
        <v>3891.4463250000003</v>
      </c>
      <c r="C1854" s="5">
        <f t="shared" si="57"/>
        <v>3891.4463250000003</v>
      </c>
      <c r="D1854" s="4">
        <v>1</v>
      </c>
      <c r="E1854" s="5" t="s">
        <v>59</v>
      </c>
      <c r="F1854" s="4" t="s">
        <v>4123</v>
      </c>
      <c r="G1854" s="4" t="s">
        <v>20</v>
      </c>
      <c r="H1854" s="4" t="s">
        <v>4121</v>
      </c>
      <c r="I1854" s="4" t="s">
        <v>22</v>
      </c>
      <c r="J1854" s="4" t="s">
        <v>2341</v>
      </c>
      <c r="K1854" s="4" t="s">
        <v>34</v>
      </c>
      <c r="M1854">
        <f t="shared" si="58"/>
        <v>3502.3016925000002</v>
      </c>
    </row>
    <row r="1855" spans="1:13" ht="14" x14ac:dyDescent="0.2">
      <c r="A1855" s="4" t="s">
        <v>4124</v>
      </c>
      <c r="B1855" s="5">
        <v>4395.0713625000008</v>
      </c>
      <c r="C1855" s="5">
        <f t="shared" si="57"/>
        <v>73.25118937500001</v>
      </c>
      <c r="D1855" s="4">
        <v>60</v>
      </c>
      <c r="E1855" s="5" t="s">
        <v>10</v>
      </c>
      <c r="F1855" s="4" t="s">
        <v>3830</v>
      </c>
      <c r="G1855" s="4" t="s">
        <v>20</v>
      </c>
      <c r="H1855" s="4" t="s">
        <v>3830</v>
      </c>
      <c r="I1855" s="4" t="s">
        <v>22</v>
      </c>
      <c r="J1855" s="4" t="s">
        <v>481</v>
      </c>
      <c r="K1855" s="4" t="s">
        <v>748</v>
      </c>
      <c r="M1855">
        <f t="shared" si="58"/>
        <v>65.926070437500016</v>
      </c>
    </row>
    <row r="1856" spans="1:13" ht="14" x14ac:dyDescent="0.2">
      <c r="A1856" s="4" t="s">
        <v>4125</v>
      </c>
      <c r="B1856" s="5">
        <v>2662.335</v>
      </c>
      <c r="C1856" s="5">
        <f t="shared" si="57"/>
        <v>88.744500000000002</v>
      </c>
      <c r="D1856" s="4">
        <v>30</v>
      </c>
      <c r="E1856" s="5" t="s">
        <v>10</v>
      </c>
      <c r="F1856" s="4" t="s">
        <v>4125</v>
      </c>
      <c r="G1856" s="4" t="s">
        <v>20</v>
      </c>
      <c r="H1856" s="4" t="s">
        <v>3830</v>
      </c>
      <c r="I1856" s="4" t="s">
        <v>22</v>
      </c>
      <c r="J1856" s="4" t="s">
        <v>4126</v>
      </c>
      <c r="K1856" s="4" t="s">
        <v>748</v>
      </c>
      <c r="M1856">
        <f t="shared" si="58"/>
        <v>79.870050000000006</v>
      </c>
    </row>
    <row r="1857" spans="1:13" ht="14" x14ac:dyDescent="0.2">
      <c r="A1857" s="4" t="s">
        <v>4127</v>
      </c>
      <c r="B1857" s="5">
        <v>5913.7116187499996</v>
      </c>
      <c r="C1857" s="5">
        <f t="shared" si="57"/>
        <v>1182.74232375</v>
      </c>
      <c r="D1857" s="4">
        <v>5</v>
      </c>
      <c r="E1857" s="5" t="s">
        <v>124</v>
      </c>
      <c r="F1857" s="4" t="s">
        <v>3830</v>
      </c>
      <c r="G1857" s="4" t="s">
        <v>20</v>
      </c>
      <c r="H1857" s="4" t="s">
        <v>4128</v>
      </c>
      <c r="I1857" s="4" t="s">
        <v>22</v>
      </c>
      <c r="J1857" s="4" t="s">
        <v>4129</v>
      </c>
      <c r="K1857" s="4" t="s">
        <v>406</v>
      </c>
      <c r="M1857">
        <f t="shared" si="58"/>
        <v>1064.4680913749999</v>
      </c>
    </row>
    <row r="1858" spans="1:13" ht="14" x14ac:dyDescent="0.2">
      <c r="A1858" s="4" t="s">
        <v>4130</v>
      </c>
      <c r="B1858" s="5">
        <v>22403.549025000004</v>
      </c>
      <c r="C1858" s="5">
        <f t="shared" si="57"/>
        <v>800.12675089285733</v>
      </c>
      <c r="D1858" s="4">
        <v>28</v>
      </c>
      <c r="E1858" s="5" t="s">
        <v>10</v>
      </c>
      <c r="F1858" s="4" t="s">
        <v>4131</v>
      </c>
      <c r="G1858" s="4" t="s">
        <v>12</v>
      </c>
      <c r="H1858" s="4" t="s">
        <v>4132</v>
      </c>
      <c r="I1858" s="4" t="s">
        <v>22</v>
      </c>
      <c r="J1858" s="4" t="s">
        <v>271</v>
      </c>
      <c r="K1858" s="4" t="s">
        <v>227</v>
      </c>
      <c r="M1858">
        <f t="shared" si="58"/>
        <v>720.11407580357161</v>
      </c>
    </row>
    <row r="1859" spans="1:13" ht="14" x14ac:dyDescent="0.2">
      <c r="A1859" s="4" t="s">
        <v>4133</v>
      </c>
      <c r="B1859" s="5">
        <v>20042.945325000001</v>
      </c>
      <c r="C1859" s="5">
        <f t="shared" ref="C1859:C1922" si="59">(B1859/D1859)</f>
        <v>2004.2945325000001</v>
      </c>
      <c r="D1859" s="4">
        <v>10</v>
      </c>
      <c r="E1859" s="5" t="s">
        <v>30</v>
      </c>
      <c r="F1859" s="4" t="s">
        <v>4134</v>
      </c>
      <c r="G1859" s="4" t="s">
        <v>12</v>
      </c>
      <c r="H1859" s="4" t="s">
        <v>4135</v>
      </c>
      <c r="I1859" s="4" t="s">
        <v>14</v>
      </c>
      <c r="K1859" s="4" t="s">
        <v>155</v>
      </c>
      <c r="M1859">
        <f t="shared" si="58"/>
        <v>1803.86507925</v>
      </c>
    </row>
    <row r="1860" spans="1:13" ht="14" x14ac:dyDescent="0.2">
      <c r="A1860" s="4" t="s">
        <v>4136</v>
      </c>
      <c r="B1860" s="5">
        <v>218533.33125000002</v>
      </c>
      <c r="C1860" s="5">
        <f t="shared" si="59"/>
        <v>218533.33125000002</v>
      </c>
      <c r="D1860" s="4">
        <v>1</v>
      </c>
      <c r="E1860" s="4" t="s">
        <v>55</v>
      </c>
      <c r="F1860" s="4" t="s">
        <v>4136</v>
      </c>
      <c r="G1860" s="4" t="s">
        <v>12</v>
      </c>
      <c r="H1860" s="4" t="s">
        <v>4137</v>
      </c>
      <c r="I1860" s="4"/>
      <c r="J1860" s="4" t="s">
        <v>4138</v>
      </c>
      <c r="K1860" s="4" t="s">
        <v>23</v>
      </c>
      <c r="M1860">
        <f t="shared" si="58"/>
        <v>196679.99812500001</v>
      </c>
    </row>
    <row r="1861" spans="1:13" ht="14" x14ac:dyDescent="0.2">
      <c r="A1861" s="4" t="s">
        <v>4139</v>
      </c>
      <c r="B1861" s="5">
        <v>3882.5718750000005</v>
      </c>
      <c r="C1861" s="5">
        <f t="shared" si="59"/>
        <v>3882.5718750000005</v>
      </c>
      <c r="D1861" s="4">
        <v>1</v>
      </c>
      <c r="E1861" s="5" t="s">
        <v>181</v>
      </c>
      <c r="F1861" s="4" t="s">
        <v>2436</v>
      </c>
      <c r="G1861" s="4" t="s">
        <v>20</v>
      </c>
      <c r="H1861" s="4" t="s">
        <v>4140</v>
      </c>
      <c r="I1861" s="4" t="s">
        <v>22</v>
      </c>
      <c r="J1861" s="4" t="s">
        <v>207</v>
      </c>
      <c r="K1861" s="4" t="s">
        <v>103</v>
      </c>
      <c r="M1861">
        <f t="shared" si="58"/>
        <v>3494.3146875000002</v>
      </c>
    </row>
    <row r="1862" spans="1:13" ht="14" x14ac:dyDescent="0.2">
      <c r="A1862" s="4" t="s">
        <v>4141</v>
      </c>
      <c r="B1862" s="5">
        <v>5088.3877687500008</v>
      </c>
      <c r="C1862" s="5">
        <f t="shared" si="59"/>
        <v>254.41938843750003</v>
      </c>
      <c r="D1862" s="4">
        <v>20</v>
      </c>
      <c r="E1862" s="5" t="s">
        <v>10</v>
      </c>
      <c r="F1862" s="4" t="s">
        <v>2436</v>
      </c>
      <c r="G1862" s="4" t="s">
        <v>20</v>
      </c>
      <c r="H1862" s="4" t="s">
        <v>4140</v>
      </c>
      <c r="I1862" s="4" t="s">
        <v>22</v>
      </c>
      <c r="J1862" s="4" t="s">
        <v>207</v>
      </c>
      <c r="K1862" s="4" t="s">
        <v>103</v>
      </c>
      <c r="M1862">
        <f t="shared" si="58"/>
        <v>228.97744959375004</v>
      </c>
    </row>
    <row r="1863" spans="1:13" ht="14" x14ac:dyDescent="0.2">
      <c r="A1863" s="4" t="s">
        <v>4142</v>
      </c>
      <c r="B1863" s="5">
        <v>3438.8493750000002</v>
      </c>
      <c r="C1863" s="5">
        <f t="shared" si="59"/>
        <v>343.88493750000004</v>
      </c>
      <c r="D1863" s="4">
        <v>10</v>
      </c>
      <c r="E1863" s="5" t="s">
        <v>30</v>
      </c>
      <c r="F1863" s="4" t="s">
        <v>364</v>
      </c>
      <c r="G1863" s="4" t="s">
        <v>20</v>
      </c>
      <c r="H1863" s="4" t="s">
        <v>4143</v>
      </c>
      <c r="I1863" s="4" t="s">
        <v>22</v>
      </c>
      <c r="J1863" s="4" t="s">
        <v>207</v>
      </c>
      <c r="K1863" s="4" t="s">
        <v>53</v>
      </c>
      <c r="M1863">
        <f t="shared" si="58"/>
        <v>309.49644375000003</v>
      </c>
    </row>
    <row r="1864" spans="1:13" ht="14" x14ac:dyDescent="0.2">
      <c r="A1864" s="4" t="s">
        <v>4144</v>
      </c>
      <c r="B1864" s="5">
        <v>3216.9881250000003</v>
      </c>
      <c r="C1864" s="5">
        <f t="shared" si="59"/>
        <v>321.69881250000003</v>
      </c>
      <c r="D1864" s="4">
        <v>10</v>
      </c>
      <c r="E1864" s="5" t="s">
        <v>10</v>
      </c>
      <c r="F1864" s="4" t="s">
        <v>386</v>
      </c>
      <c r="G1864" s="4" t="s">
        <v>20</v>
      </c>
      <c r="H1864" s="4" t="s">
        <v>4145</v>
      </c>
      <c r="I1864" s="4" t="s">
        <v>22</v>
      </c>
      <c r="J1864" s="4" t="s">
        <v>207</v>
      </c>
      <c r="K1864" s="4" t="s">
        <v>53</v>
      </c>
      <c r="M1864">
        <f t="shared" si="58"/>
        <v>289.52893125000003</v>
      </c>
    </row>
    <row r="1865" spans="1:13" ht="14" x14ac:dyDescent="0.2">
      <c r="A1865" s="4" t="s">
        <v>4146</v>
      </c>
      <c r="B1865" s="5">
        <v>5768.3925000000008</v>
      </c>
      <c r="C1865" s="5">
        <f t="shared" si="59"/>
        <v>5768.3925000000008</v>
      </c>
      <c r="D1865" s="4">
        <v>1</v>
      </c>
      <c r="E1865" s="5" t="s">
        <v>30</v>
      </c>
      <c r="F1865" s="4" t="s">
        <v>384</v>
      </c>
      <c r="G1865" s="4" t="s">
        <v>20</v>
      </c>
      <c r="H1865" s="4" t="s">
        <v>4146</v>
      </c>
      <c r="I1865" s="4" t="s">
        <v>22</v>
      </c>
      <c r="J1865" s="4" t="s">
        <v>390</v>
      </c>
      <c r="K1865" s="4" t="s">
        <v>53</v>
      </c>
      <c r="M1865">
        <f t="shared" si="58"/>
        <v>5191.5532500000008</v>
      </c>
    </row>
    <row r="1866" spans="1:13" ht="14" x14ac:dyDescent="0.2">
      <c r="A1866" s="4" t="s">
        <v>4147</v>
      </c>
      <c r="B1866" s="5">
        <v>3605.2453125000002</v>
      </c>
      <c r="C1866" s="5">
        <f t="shared" si="59"/>
        <v>3605.2453125000002</v>
      </c>
      <c r="D1866" s="4">
        <v>1</v>
      </c>
      <c r="E1866" s="5" t="s">
        <v>59</v>
      </c>
      <c r="F1866" s="4" t="s">
        <v>4148</v>
      </c>
      <c r="G1866" s="4" t="s">
        <v>20</v>
      </c>
      <c r="H1866" s="4" t="s">
        <v>4147</v>
      </c>
      <c r="I1866" s="4" t="s">
        <v>22</v>
      </c>
      <c r="J1866" s="4" t="s">
        <v>4149</v>
      </c>
      <c r="K1866" s="4" t="s">
        <v>403</v>
      </c>
      <c r="M1866">
        <f t="shared" si="58"/>
        <v>3244.7207812500001</v>
      </c>
    </row>
    <row r="1867" spans="1:13" ht="14" x14ac:dyDescent="0.2">
      <c r="A1867" s="4" t="s">
        <v>4150</v>
      </c>
      <c r="B1867" s="5">
        <v>2739.9864375000006</v>
      </c>
      <c r="C1867" s="5">
        <f t="shared" si="59"/>
        <v>91.332881250000028</v>
      </c>
      <c r="D1867" s="4">
        <v>30</v>
      </c>
      <c r="E1867" s="5" t="s">
        <v>10</v>
      </c>
      <c r="F1867" s="4" t="s">
        <v>4151</v>
      </c>
      <c r="G1867" s="4" t="s">
        <v>20</v>
      </c>
      <c r="H1867" s="4" t="s">
        <v>4152</v>
      </c>
      <c r="I1867" s="4" t="s">
        <v>22</v>
      </c>
      <c r="J1867" s="4" t="s">
        <v>4153</v>
      </c>
      <c r="K1867" s="4" t="s">
        <v>403</v>
      </c>
      <c r="M1867">
        <f t="shared" si="58"/>
        <v>82.199593125000021</v>
      </c>
    </row>
    <row r="1868" spans="1:13" ht="14" x14ac:dyDescent="0.2">
      <c r="A1868" s="4" t="s">
        <v>4154</v>
      </c>
      <c r="B1868" s="5">
        <v>3046.1549625000002</v>
      </c>
      <c r="C1868" s="5">
        <f t="shared" si="59"/>
        <v>304.61549625000004</v>
      </c>
      <c r="D1868" s="4">
        <v>10</v>
      </c>
      <c r="E1868" s="5" t="s">
        <v>10</v>
      </c>
      <c r="F1868" s="4" t="s">
        <v>1976</v>
      </c>
      <c r="G1868" s="4" t="s">
        <v>20</v>
      </c>
      <c r="H1868" s="4" t="s">
        <v>4155</v>
      </c>
      <c r="I1868" s="4" t="s">
        <v>22</v>
      </c>
      <c r="J1868" s="4" t="s">
        <v>207</v>
      </c>
      <c r="K1868" s="4" t="s">
        <v>87</v>
      </c>
      <c r="M1868">
        <f t="shared" si="58"/>
        <v>274.153946625</v>
      </c>
    </row>
    <row r="1869" spans="1:13" ht="14" x14ac:dyDescent="0.2">
      <c r="A1869" s="4" t="s">
        <v>4156</v>
      </c>
      <c r="B1869" s="5">
        <v>16639.59375</v>
      </c>
      <c r="C1869" s="5">
        <f t="shared" si="59"/>
        <v>138.66328125000001</v>
      </c>
      <c r="D1869" s="4">
        <v>120</v>
      </c>
      <c r="E1869" s="5" t="s">
        <v>10</v>
      </c>
      <c r="F1869" s="4" t="s">
        <v>4157</v>
      </c>
      <c r="G1869" s="4" t="s">
        <v>20</v>
      </c>
      <c r="H1869" s="4" t="s">
        <v>4158</v>
      </c>
      <c r="I1869" s="4" t="s">
        <v>14</v>
      </c>
      <c r="K1869" s="4" t="s">
        <v>34</v>
      </c>
      <c r="M1869">
        <f t="shared" si="58"/>
        <v>124.79695312500002</v>
      </c>
    </row>
    <row r="1870" spans="1:13" ht="14" x14ac:dyDescent="0.2">
      <c r="A1870" s="4" t="s">
        <v>4159</v>
      </c>
      <c r="B1870" s="5">
        <v>16695.0590625</v>
      </c>
      <c r="C1870" s="5">
        <f t="shared" si="59"/>
        <v>16695.0590625</v>
      </c>
      <c r="D1870" s="4">
        <v>1</v>
      </c>
      <c r="E1870" s="5" t="s">
        <v>59</v>
      </c>
      <c r="F1870" s="4" t="s">
        <v>4160</v>
      </c>
      <c r="G1870" s="4" t="s">
        <v>20</v>
      </c>
      <c r="H1870" s="4" t="s">
        <v>4159</v>
      </c>
      <c r="I1870" s="4" t="s">
        <v>14</v>
      </c>
      <c r="K1870" s="4" t="s">
        <v>34</v>
      </c>
      <c r="M1870">
        <f t="shared" si="58"/>
        <v>15025.55315625</v>
      </c>
    </row>
    <row r="1871" spans="1:13" ht="14" x14ac:dyDescent="0.2">
      <c r="A1871" s="4" t="s">
        <v>4161</v>
      </c>
      <c r="B1871" s="5">
        <v>20522.165625000001</v>
      </c>
      <c r="C1871" s="5">
        <f t="shared" si="59"/>
        <v>128.26353515625001</v>
      </c>
      <c r="D1871" s="4">
        <v>160</v>
      </c>
      <c r="E1871" s="5" t="s">
        <v>10</v>
      </c>
      <c r="F1871" s="4" t="s">
        <v>4162</v>
      </c>
      <c r="G1871" s="4" t="s">
        <v>20</v>
      </c>
      <c r="H1871" s="4" t="s">
        <v>4163</v>
      </c>
      <c r="I1871" s="4" t="s">
        <v>14</v>
      </c>
      <c r="K1871" s="4" t="s">
        <v>34</v>
      </c>
      <c r="M1871">
        <f t="shared" si="58"/>
        <v>115.43718164062501</v>
      </c>
    </row>
    <row r="1872" spans="1:13" ht="14" x14ac:dyDescent="0.2">
      <c r="A1872" s="4" t="s">
        <v>4164</v>
      </c>
      <c r="B1872" s="5">
        <v>20522.165625000001</v>
      </c>
      <c r="C1872" s="5">
        <f t="shared" si="59"/>
        <v>20522.165625000001</v>
      </c>
      <c r="D1872" s="4">
        <v>1</v>
      </c>
      <c r="E1872" s="5" t="s">
        <v>59</v>
      </c>
      <c r="F1872" s="4" t="s">
        <v>4160</v>
      </c>
      <c r="G1872" s="4" t="s">
        <v>20</v>
      </c>
      <c r="H1872" s="4" t="s">
        <v>4165</v>
      </c>
      <c r="I1872" s="4" t="s">
        <v>14</v>
      </c>
      <c r="K1872" s="4" t="s">
        <v>34</v>
      </c>
      <c r="M1872">
        <f t="shared" si="58"/>
        <v>18469.9490625</v>
      </c>
    </row>
    <row r="1873" spans="1:25" ht="14" x14ac:dyDescent="0.2">
      <c r="A1873" s="4" t="s">
        <v>4166</v>
      </c>
      <c r="B1873" s="5">
        <v>5452.2402187500011</v>
      </c>
      <c r="C1873" s="5">
        <f t="shared" si="59"/>
        <v>545.22402187500006</v>
      </c>
      <c r="D1873" s="4">
        <v>10</v>
      </c>
      <c r="E1873" s="5" t="s">
        <v>10</v>
      </c>
      <c r="F1873" s="4" t="s">
        <v>3768</v>
      </c>
      <c r="G1873" s="4" t="s">
        <v>12</v>
      </c>
      <c r="H1873" s="4" t="s">
        <v>4167</v>
      </c>
      <c r="I1873" s="4" t="s">
        <v>22</v>
      </c>
      <c r="J1873" s="4" t="s">
        <v>140</v>
      </c>
      <c r="K1873" s="4" t="s">
        <v>108</v>
      </c>
      <c r="M1873">
        <f t="shared" si="58"/>
        <v>490.70161968750006</v>
      </c>
    </row>
    <row r="1874" spans="1:25" ht="14" x14ac:dyDescent="0.2">
      <c r="A1874" s="4" t="s">
        <v>4168</v>
      </c>
      <c r="B1874" s="5">
        <v>22186.125000000004</v>
      </c>
      <c r="C1874" s="5">
        <f t="shared" si="59"/>
        <v>739.53750000000014</v>
      </c>
      <c r="D1874" s="4">
        <v>30</v>
      </c>
      <c r="E1874" s="5" t="s">
        <v>30</v>
      </c>
      <c r="F1874" s="4" t="s">
        <v>4169</v>
      </c>
      <c r="G1874" s="4" t="s">
        <v>12</v>
      </c>
      <c r="H1874" s="4" t="s">
        <v>4170</v>
      </c>
      <c r="I1874" s="4" t="s">
        <v>22</v>
      </c>
      <c r="K1874" s="4" t="s">
        <v>34</v>
      </c>
      <c r="M1874">
        <f t="shared" si="58"/>
        <v>665.58375000000012</v>
      </c>
    </row>
    <row r="1875" spans="1:25" ht="14" x14ac:dyDescent="0.2">
      <c r="A1875" s="7" t="s">
        <v>5475</v>
      </c>
      <c r="B1875" s="10">
        <v>12202.368750000001</v>
      </c>
      <c r="C1875" s="5">
        <f t="shared" si="59"/>
        <v>508.43203125000008</v>
      </c>
      <c r="D1875" s="9">
        <v>24</v>
      </c>
      <c r="E1875" s="10" t="s">
        <v>5193</v>
      </c>
      <c r="F1875" s="7" t="s">
        <v>5476</v>
      </c>
      <c r="G1875" s="7" t="s">
        <v>20</v>
      </c>
      <c r="H1875" s="7" t="s">
        <v>5477</v>
      </c>
      <c r="J1875" s="7" t="s">
        <v>5179</v>
      </c>
      <c r="K1875" s="7" t="s">
        <v>403</v>
      </c>
      <c r="L1875" s="4"/>
      <c r="M1875">
        <f t="shared" si="58"/>
        <v>457.58882812500008</v>
      </c>
      <c r="N1875" s="3"/>
      <c r="O1875" s="3"/>
      <c r="P1875" s="3"/>
      <c r="Q1875" s="2"/>
      <c r="R1875" s="2"/>
      <c r="S1875" s="2"/>
      <c r="T1875" s="2"/>
      <c r="U1875" s="2"/>
      <c r="V1875" s="2"/>
      <c r="W1875" s="2"/>
      <c r="X1875" s="2"/>
      <c r="Y1875" s="2"/>
    </row>
    <row r="1876" spans="1:25" ht="14" x14ac:dyDescent="0.2">
      <c r="A1876" s="4" t="s">
        <v>4171</v>
      </c>
      <c r="B1876" s="5">
        <v>6793.3914750000013</v>
      </c>
      <c r="C1876" s="5">
        <f t="shared" si="59"/>
        <v>6793.3914750000013</v>
      </c>
      <c r="D1876" s="4">
        <v>1</v>
      </c>
      <c r="E1876" s="5" t="s">
        <v>55</v>
      </c>
      <c r="F1876" s="4" t="s">
        <v>4172</v>
      </c>
      <c r="G1876" s="4" t="s">
        <v>20</v>
      </c>
      <c r="H1876" s="4" t="s">
        <v>4173</v>
      </c>
      <c r="I1876" s="4" t="s">
        <v>22</v>
      </c>
      <c r="J1876" s="8">
        <v>5.0000000000000001E-4</v>
      </c>
      <c r="K1876" s="4" t="s">
        <v>23</v>
      </c>
      <c r="M1876">
        <f t="shared" si="58"/>
        <v>6114.0523275000014</v>
      </c>
    </row>
    <row r="1877" spans="1:25" ht="14" x14ac:dyDescent="0.2">
      <c r="A1877" s="4" t="s">
        <v>4174</v>
      </c>
      <c r="B1877" s="5">
        <v>1830.3553125000001</v>
      </c>
      <c r="C1877" s="5">
        <f t="shared" si="59"/>
        <v>1830.3553125000001</v>
      </c>
      <c r="D1877" s="4">
        <v>1</v>
      </c>
      <c r="E1877" s="5" t="s">
        <v>59</v>
      </c>
      <c r="F1877" s="4" t="s">
        <v>4175</v>
      </c>
      <c r="G1877" s="4" t="s">
        <v>20</v>
      </c>
      <c r="H1877" s="4" t="s">
        <v>4176</v>
      </c>
      <c r="I1877" s="4" t="s">
        <v>22</v>
      </c>
      <c r="J1877" s="4" t="s">
        <v>495</v>
      </c>
      <c r="K1877" s="4" t="s">
        <v>1919</v>
      </c>
      <c r="M1877">
        <f t="shared" si="58"/>
        <v>1647.31978125</v>
      </c>
    </row>
    <row r="1878" spans="1:25" ht="14" x14ac:dyDescent="0.2">
      <c r="A1878" s="4" t="s">
        <v>4177</v>
      </c>
      <c r="B1878" s="5">
        <v>998.37562500000013</v>
      </c>
      <c r="C1878" s="5">
        <f t="shared" si="59"/>
        <v>332.79187500000006</v>
      </c>
      <c r="D1878" s="4">
        <v>3</v>
      </c>
      <c r="E1878" s="5" t="s">
        <v>10</v>
      </c>
      <c r="F1878" s="4" t="s">
        <v>4175</v>
      </c>
      <c r="G1878" s="4" t="s">
        <v>20</v>
      </c>
      <c r="H1878" s="4" t="s">
        <v>4176</v>
      </c>
      <c r="I1878" s="4" t="s">
        <v>22</v>
      </c>
      <c r="J1878" s="4" t="s">
        <v>495</v>
      </c>
      <c r="K1878" s="4" t="s">
        <v>1919</v>
      </c>
      <c r="M1878">
        <f t="shared" si="58"/>
        <v>299.51268750000008</v>
      </c>
    </row>
    <row r="1879" spans="1:25" ht="14" x14ac:dyDescent="0.2">
      <c r="A1879" s="4" t="s">
        <v>4178</v>
      </c>
      <c r="B1879" s="5">
        <v>4406.1644250000008</v>
      </c>
      <c r="C1879" s="5">
        <f t="shared" si="59"/>
        <v>146.87214750000004</v>
      </c>
      <c r="D1879" s="4">
        <v>30</v>
      </c>
      <c r="E1879" s="5" t="s">
        <v>30</v>
      </c>
      <c r="F1879" s="4" t="s">
        <v>4179</v>
      </c>
      <c r="G1879" s="4" t="s">
        <v>20</v>
      </c>
      <c r="H1879" s="4" t="s">
        <v>4180</v>
      </c>
      <c r="I1879" s="4" t="s">
        <v>22</v>
      </c>
      <c r="K1879" s="4" t="s">
        <v>34</v>
      </c>
      <c r="M1879">
        <f t="shared" si="58"/>
        <v>132.18493275000003</v>
      </c>
    </row>
    <row r="1880" spans="1:25" ht="14" x14ac:dyDescent="0.2">
      <c r="A1880" s="7" t="s">
        <v>5478</v>
      </c>
      <c r="B1880" s="10">
        <v>45259.695000000007</v>
      </c>
      <c r="C1880" s="5">
        <f t="shared" si="59"/>
        <v>1508.6565000000003</v>
      </c>
      <c r="D1880" s="9">
        <v>30</v>
      </c>
      <c r="E1880" s="10" t="s">
        <v>5189</v>
      </c>
      <c r="F1880" s="7" t="s">
        <v>5479</v>
      </c>
      <c r="G1880" s="7" t="s">
        <v>20</v>
      </c>
      <c r="H1880" s="7" t="s">
        <v>5479</v>
      </c>
      <c r="J1880" s="7" t="s">
        <v>2578</v>
      </c>
      <c r="K1880" s="7" t="s">
        <v>155</v>
      </c>
      <c r="L1880" s="4"/>
      <c r="M1880">
        <f t="shared" si="58"/>
        <v>1357.7908500000003</v>
      </c>
      <c r="N1880" s="3"/>
      <c r="O1880" s="3"/>
      <c r="P1880" s="3"/>
      <c r="Q1880" s="2"/>
      <c r="R1880" s="2"/>
      <c r="S1880" s="2"/>
      <c r="T1880" s="2"/>
      <c r="U1880" s="2"/>
      <c r="V1880" s="2"/>
      <c r="W1880" s="2"/>
      <c r="X1880" s="2"/>
      <c r="Y1880" s="2"/>
    </row>
    <row r="1881" spans="1:25" ht="14" x14ac:dyDescent="0.2">
      <c r="A1881" s="4" t="s">
        <v>4181</v>
      </c>
      <c r="B1881" s="5">
        <v>2677.8652875000002</v>
      </c>
      <c r="C1881" s="5">
        <f t="shared" si="59"/>
        <v>2677.8652875000002</v>
      </c>
      <c r="D1881" s="4">
        <v>1</v>
      </c>
      <c r="E1881" s="5" t="s">
        <v>181</v>
      </c>
      <c r="F1881" s="4" t="s">
        <v>182</v>
      </c>
      <c r="G1881" s="4" t="s">
        <v>20</v>
      </c>
      <c r="H1881" s="4" t="s">
        <v>4182</v>
      </c>
      <c r="I1881" s="4" t="s">
        <v>22</v>
      </c>
      <c r="K1881" s="4" t="s">
        <v>87</v>
      </c>
      <c r="M1881">
        <f t="shared" si="58"/>
        <v>2410.0787587500004</v>
      </c>
    </row>
    <row r="1882" spans="1:25" ht="14" x14ac:dyDescent="0.2">
      <c r="A1882" s="4" t="s">
        <v>4183</v>
      </c>
      <c r="B1882" s="5">
        <v>7698.5853750000015</v>
      </c>
      <c r="C1882" s="5">
        <f t="shared" si="59"/>
        <v>7698.5853750000015</v>
      </c>
      <c r="D1882" s="4">
        <v>1</v>
      </c>
      <c r="E1882" s="5" t="s">
        <v>59</v>
      </c>
      <c r="F1882" s="4" t="s">
        <v>4184</v>
      </c>
      <c r="G1882" s="4" t="s">
        <v>20</v>
      </c>
      <c r="H1882" s="4" t="s">
        <v>4185</v>
      </c>
      <c r="I1882" s="4" t="s">
        <v>14</v>
      </c>
      <c r="J1882" s="4" t="s">
        <v>824</v>
      </c>
      <c r="K1882" s="4" t="s">
        <v>118</v>
      </c>
      <c r="M1882">
        <f t="shared" si="58"/>
        <v>6928.7268375000012</v>
      </c>
    </row>
    <row r="1883" spans="1:25" ht="14" x14ac:dyDescent="0.2">
      <c r="A1883" s="4" t="s">
        <v>4186</v>
      </c>
      <c r="B1883" s="5">
        <v>7698.5853750000015</v>
      </c>
      <c r="C1883" s="5">
        <f t="shared" si="59"/>
        <v>7698.5853750000015</v>
      </c>
      <c r="D1883" s="4">
        <v>1</v>
      </c>
      <c r="E1883" s="5" t="s">
        <v>59</v>
      </c>
      <c r="F1883" s="4" t="s">
        <v>4187</v>
      </c>
      <c r="G1883" s="4" t="s">
        <v>20</v>
      </c>
      <c r="H1883" s="4" t="s">
        <v>4188</v>
      </c>
      <c r="I1883" s="4" t="s">
        <v>14</v>
      </c>
      <c r="K1883" s="4" t="s">
        <v>118</v>
      </c>
      <c r="M1883">
        <f t="shared" si="58"/>
        <v>6928.7268375000012</v>
      </c>
    </row>
    <row r="1884" spans="1:25" ht="14" x14ac:dyDescent="0.2">
      <c r="A1884" s="4" t="s">
        <v>4189</v>
      </c>
      <c r="B1884" s="5">
        <v>7698.5853750000015</v>
      </c>
      <c r="C1884" s="5">
        <f t="shared" si="59"/>
        <v>7698.5853750000015</v>
      </c>
      <c r="D1884" s="4">
        <v>1</v>
      </c>
      <c r="E1884" s="5" t="s">
        <v>59</v>
      </c>
      <c r="F1884" s="4" t="s">
        <v>4190</v>
      </c>
      <c r="G1884" s="4" t="s">
        <v>20</v>
      </c>
      <c r="H1884" s="4" t="s">
        <v>4191</v>
      </c>
      <c r="I1884" s="4" t="s">
        <v>14</v>
      </c>
      <c r="J1884" s="4" t="s">
        <v>2048</v>
      </c>
      <c r="K1884" s="4" t="s">
        <v>406</v>
      </c>
      <c r="M1884">
        <f t="shared" si="58"/>
        <v>6928.7268375000012</v>
      </c>
    </row>
    <row r="1885" spans="1:25" ht="14" x14ac:dyDescent="0.2">
      <c r="A1885" s="4" t="s">
        <v>4192</v>
      </c>
      <c r="B1885" s="5">
        <v>98728.256250000006</v>
      </c>
      <c r="C1885" s="5">
        <f t="shared" si="59"/>
        <v>98728.256250000006</v>
      </c>
      <c r="D1885" s="4">
        <v>1</v>
      </c>
      <c r="E1885" s="5" t="s">
        <v>124</v>
      </c>
      <c r="F1885" s="4" t="s">
        <v>4193</v>
      </c>
      <c r="G1885" s="4" t="s">
        <v>20</v>
      </c>
      <c r="H1885" s="4" t="s">
        <v>4194</v>
      </c>
      <c r="I1885" s="4" t="s">
        <v>22</v>
      </c>
      <c r="J1885" s="4" t="s">
        <v>4195</v>
      </c>
      <c r="K1885" s="4" t="s">
        <v>1502</v>
      </c>
      <c r="M1885">
        <f t="shared" ref="M1885:M1948" si="60">C1885-(C1885* 10%)</f>
        <v>88855.430625000008</v>
      </c>
    </row>
    <row r="1886" spans="1:25" ht="14" x14ac:dyDescent="0.2">
      <c r="A1886" s="4" t="s">
        <v>4196</v>
      </c>
      <c r="B1886" s="5">
        <v>30772.155375000002</v>
      </c>
      <c r="C1886" s="5">
        <f t="shared" si="59"/>
        <v>366.33518303571429</v>
      </c>
      <c r="D1886" s="4">
        <v>84</v>
      </c>
      <c r="E1886" s="5" t="s">
        <v>973</v>
      </c>
      <c r="F1886" s="4" t="s">
        <v>4196</v>
      </c>
      <c r="G1886" s="4" t="s">
        <v>12</v>
      </c>
      <c r="H1886" s="4" t="s">
        <v>4196</v>
      </c>
      <c r="I1886" s="4" t="s">
        <v>22</v>
      </c>
      <c r="J1886" s="4" t="s">
        <v>1084</v>
      </c>
      <c r="K1886" s="4" t="s">
        <v>4197</v>
      </c>
      <c r="M1886">
        <f t="shared" si="60"/>
        <v>329.70166473214289</v>
      </c>
    </row>
    <row r="1887" spans="1:25" ht="14" x14ac:dyDescent="0.2">
      <c r="A1887" s="7" t="s">
        <v>5480</v>
      </c>
      <c r="B1887" s="10">
        <v>3106.0575000000003</v>
      </c>
      <c r="C1887" s="5">
        <f t="shared" si="59"/>
        <v>443.72250000000003</v>
      </c>
      <c r="D1887" s="9">
        <v>7</v>
      </c>
      <c r="E1887" s="10" t="s">
        <v>5193</v>
      </c>
      <c r="F1887" s="7" t="s">
        <v>5007</v>
      </c>
      <c r="H1887" s="7" t="s">
        <v>5481</v>
      </c>
      <c r="J1887" s="7" t="s">
        <v>25</v>
      </c>
      <c r="K1887" s="7" t="s">
        <v>34</v>
      </c>
      <c r="M1887">
        <f t="shared" si="60"/>
        <v>399.35025000000002</v>
      </c>
    </row>
    <row r="1888" spans="1:25" ht="14" x14ac:dyDescent="0.2">
      <c r="A1888" s="4" t="s">
        <v>4198</v>
      </c>
      <c r="B1888" s="5">
        <v>12639.435412500001</v>
      </c>
      <c r="C1888" s="5">
        <f t="shared" si="59"/>
        <v>1263.9435412500002</v>
      </c>
      <c r="D1888" s="4">
        <v>10</v>
      </c>
      <c r="E1888" s="5" t="s">
        <v>30</v>
      </c>
      <c r="F1888" s="4" t="s">
        <v>4199</v>
      </c>
      <c r="G1888" s="4" t="s">
        <v>20</v>
      </c>
      <c r="H1888" s="4" t="s">
        <v>4199</v>
      </c>
      <c r="I1888" s="4" t="s">
        <v>22</v>
      </c>
      <c r="J1888" s="4" t="s">
        <v>481</v>
      </c>
      <c r="K1888" s="4" t="s">
        <v>53</v>
      </c>
      <c r="M1888">
        <f t="shared" si="60"/>
        <v>1137.5491871250001</v>
      </c>
    </row>
    <row r="1889" spans="1:25" ht="14" x14ac:dyDescent="0.2">
      <c r="A1889" s="4" t="s">
        <v>4200</v>
      </c>
      <c r="B1889" s="5">
        <v>29456.518162500004</v>
      </c>
      <c r="C1889" s="5">
        <f t="shared" si="59"/>
        <v>294.56518162500004</v>
      </c>
      <c r="D1889" s="4">
        <v>100</v>
      </c>
      <c r="E1889" s="5" t="s">
        <v>30</v>
      </c>
      <c r="F1889" s="4" t="s">
        <v>4199</v>
      </c>
      <c r="G1889" s="4" t="s">
        <v>20</v>
      </c>
      <c r="H1889" s="4" t="s">
        <v>4199</v>
      </c>
      <c r="I1889" s="4" t="s">
        <v>22</v>
      </c>
      <c r="J1889" s="4" t="s">
        <v>47</v>
      </c>
      <c r="K1889" s="4" t="s">
        <v>53</v>
      </c>
      <c r="M1889">
        <f t="shared" si="60"/>
        <v>265.10866346250003</v>
      </c>
    </row>
    <row r="1890" spans="1:25" ht="14" x14ac:dyDescent="0.2">
      <c r="A1890" s="7" t="s">
        <v>5482</v>
      </c>
      <c r="B1890" s="10">
        <v>23961.015000000003</v>
      </c>
      <c r="C1890" s="5">
        <f t="shared" si="59"/>
        <v>23961.015000000003</v>
      </c>
      <c r="D1890" s="9">
        <v>1</v>
      </c>
      <c r="E1890" s="10" t="s">
        <v>25</v>
      </c>
      <c r="F1890" s="7" t="s">
        <v>5483</v>
      </c>
      <c r="G1890" s="7" t="s">
        <v>12</v>
      </c>
      <c r="H1890" s="16" t="s">
        <v>5484</v>
      </c>
      <c r="I1890" s="16"/>
      <c r="J1890" s="7" t="s">
        <v>25</v>
      </c>
      <c r="K1890" s="7" t="s">
        <v>417</v>
      </c>
      <c r="L1890" s="4"/>
      <c r="M1890">
        <f t="shared" si="60"/>
        <v>21564.913500000002</v>
      </c>
      <c r="N1890" s="3"/>
      <c r="O1890" s="3"/>
      <c r="P1890" s="3"/>
      <c r="Q1890" s="2"/>
      <c r="R1890" s="2"/>
      <c r="S1890" s="2"/>
      <c r="T1890" s="2"/>
      <c r="U1890" s="2"/>
      <c r="V1890" s="2"/>
      <c r="W1890" s="2"/>
      <c r="X1890" s="2"/>
      <c r="Y1890" s="2"/>
    </row>
    <row r="1891" spans="1:25" ht="14" x14ac:dyDescent="0.2">
      <c r="A1891" s="4" t="s">
        <v>4201</v>
      </c>
      <c r="B1891" s="5">
        <v>2798.7796687499999</v>
      </c>
      <c r="C1891" s="5">
        <f t="shared" si="59"/>
        <v>2798.7796687499999</v>
      </c>
      <c r="D1891" s="4">
        <v>1</v>
      </c>
      <c r="E1891" s="5" t="s">
        <v>296</v>
      </c>
      <c r="F1891" s="4" t="s">
        <v>4202</v>
      </c>
      <c r="G1891" s="4" t="s">
        <v>20</v>
      </c>
      <c r="H1891" s="4" t="s">
        <v>4201</v>
      </c>
      <c r="I1891" s="4" t="s">
        <v>22</v>
      </c>
      <c r="K1891" s="4" t="s">
        <v>1555</v>
      </c>
      <c r="M1891">
        <f t="shared" si="60"/>
        <v>2518.9017018750001</v>
      </c>
    </row>
    <row r="1892" spans="1:25" ht="14" x14ac:dyDescent="0.2">
      <c r="A1892" s="4" t="s">
        <v>5485</v>
      </c>
      <c r="B1892" s="5">
        <v>36440.710312500007</v>
      </c>
      <c r="C1892" s="5">
        <f t="shared" si="59"/>
        <v>36440.710312500007</v>
      </c>
      <c r="D1892" s="4">
        <v>1</v>
      </c>
      <c r="E1892" s="5" t="s">
        <v>175</v>
      </c>
      <c r="F1892" s="4" t="s">
        <v>5486</v>
      </c>
      <c r="G1892" s="4" t="s">
        <v>20</v>
      </c>
      <c r="H1892" s="4" t="s">
        <v>5487</v>
      </c>
      <c r="I1892" s="4" t="s">
        <v>14</v>
      </c>
      <c r="J1892" s="4" t="s">
        <v>5488</v>
      </c>
      <c r="K1892" s="4" t="s">
        <v>244</v>
      </c>
      <c r="M1892">
        <f t="shared" si="60"/>
        <v>32796.639281250005</v>
      </c>
    </row>
    <row r="1893" spans="1:25" ht="14" x14ac:dyDescent="0.2">
      <c r="A1893" s="4" t="s">
        <v>4203</v>
      </c>
      <c r="B1893" s="5">
        <v>16893.624881250002</v>
      </c>
      <c r="C1893" s="5">
        <f t="shared" si="59"/>
        <v>844.68124406250013</v>
      </c>
      <c r="D1893" s="4">
        <v>20</v>
      </c>
      <c r="E1893" s="5" t="s">
        <v>10</v>
      </c>
      <c r="F1893" s="4" t="s">
        <v>4204</v>
      </c>
      <c r="G1893" s="4" t="s">
        <v>12</v>
      </c>
      <c r="H1893" s="4" t="s">
        <v>4205</v>
      </c>
      <c r="I1893" s="4" t="s">
        <v>22</v>
      </c>
      <c r="J1893" s="4" t="s">
        <v>273</v>
      </c>
      <c r="K1893" s="4" t="s">
        <v>227</v>
      </c>
      <c r="M1893">
        <f t="shared" si="60"/>
        <v>760.21311965625011</v>
      </c>
    </row>
    <row r="1894" spans="1:25" ht="14" x14ac:dyDescent="0.2">
      <c r="A1894" s="4" t="s">
        <v>4206</v>
      </c>
      <c r="B1894" s="5">
        <v>25048.135125000004</v>
      </c>
      <c r="C1894" s="5">
        <f t="shared" si="59"/>
        <v>1252.4067562500002</v>
      </c>
      <c r="D1894" s="4">
        <v>20</v>
      </c>
      <c r="E1894" s="5" t="s">
        <v>10</v>
      </c>
      <c r="F1894" s="4" t="s">
        <v>4204</v>
      </c>
      <c r="G1894" s="4" t="s">
        <v>12</v>
      </c>
      <c r="H1894" s="4" t="s">
        <v>4207</v>
      </c>
      <c r="I1894" s="4" t="s">
        <v>22</v>
      </c>
      <c r="J1894" s="4" t="s">
        <v>895</v>
      </c>
      <c r="K1894" s="4" t="s">
        <v>227</v>
      </c>
      <c r="M1894">
        <f t="shared" si="60"/>
        <v>1127.1660806250002</v>
      </c>
    </row>
    <row r="1895" spans="1:25" ht="14" x14ac:dyDescent="0.2">
      <c r="A1895" s="4" t="s">
        <v>4208</v>
      </c>
      <c r="B1895" s="5">
        <v>15031.099687500002</v>
      </c>
      <c r="C1895" s="5">
        <f t="shared" si="59"/>
        <v>2505.1832812500002</v>
      </c>
      <c r="D1895" s="4">
        <v>6</v>
      </c>
      <c r="E1895" s="5" t="s">
        <v>10</v>
      </c>
      <c r="F1895" s="4" t="s">
        <v>4208</v>
      </c>
      <c r="G1895" s="4" t="s">
        <v>12</v>
      </c>
      <c r="H1895" s="4" t="s">
        <v>4208</v>
      </c>
      <c r="I1895" s="4" t="s">
        <v>22</v>
      </c>
      <c r="J1895" s="4" t="s">
        <v>4209</v>
      </c>
      <c r="K1895" s="4" t="s">
        <v>227</v>
      </c>
      <c r="M1895">
        <f t="shared" si="60"/>
        <v>2254.664953125</v>
      </c>
    </row>
    <row r="1896" spans="1:25" ht="14" x14ac:dyDescent="0.2">
      <c r="A1896" s="4" t="s">
        <v>4210</v>
      </c>
      <c r="B1896" s="5">
        <v>14310.050625000002</v>
      </c>
      <c r="C1896" s="5">
        <f t="shared" si="59"/>
        <v>238.50084375000003</v>
      </c>
      <c r="D1896" s="4">
        <v>60</v>
      </c>
      <c r="E1896" s="5" t="s">
        <v>10</v>
      </c>
      <c r="F1896" s="4" t="s">
        <v>4204</v>
      </c>
      <c r="G1896" s="4" t="s">
        <v>12</v>
      </c>
      <c r="H1896" s="4" t="s">
        <v>4204</v>
      </c>
      <c r="I1896" s="4" t="s">
        <v>22</v>
      </c>
      <c r="J1896" s="4" t="s">
        <v>271</v>
      </c>
      <c r="K1896" s="4" t="s">
        <v>227</v>
      </c>
      <c r="M1896">
        <f t="shared" si="60"/>
        <v>214.65075937500004</v>
      </c>
    </row>
    <row r="1897" spans="1:25" ht="14" x14ac:dyDescent="0.2">
      <c r="A1897" s="4" t="s">
        <v>4211</v>
      </c>
      <c r="B1897" s="5">
        <v>15863.079375000001</v>
      </c>
      <c r="C1897" s="5">
        <f t="shared" si="59"/>
        <v>264.38465625000003</v>
      </c>
      <c r="D1897" s="4">
        <v>60</v>
      </c>
      <c r="E1897" s="5" t="s">
        <v>10</v>
      </c>
      <c r="F1897" s="4" t="s">
        <v>4204</v>
      </c>
      <c r="G1897" s="4" t="s">
        <v>12</v>
      </c>
      <c r="H1897" s="4" t="s">
        <v>4204</v>
      </c>
      <c r="I1897" s="4" t="s">
        <v>22</v>
      </c>
      <c r="J1897" s="4" t="s">
        <v>273</v>
      </c>
      <c r="K1897" s="4" t="s">
        <v>227</v>
      </c>
      <c r="M1897">
        <f t="shared" si="60"/>
        <v>237.94619062500004</v>
      </c>
    </row>
    <row r="1898" spans="1:25" ht="14" x14ac:dyDescent="0.2">
      <c r="A1898" s="4" t="s">
        <v>4212</v>
      </c>
      <c r="B1898" s="5">
        <v>422423.82000000007</v>
      </c>
      <c r="C1898" s="5">
        <f t="shared" si="59"/>
        <v>7543.2825000000012</v>
      </c>
      <c r="D1898" s="4">
        <v>56</v>
      </c>
      <c r="E1898" s="5" t="s">
        <v>10</v>
      </c>
      <c r="F1898" s="4" t="s">
        <v>1404</v>
      </c>
      <c r="G1898" s="4" t="s">
        <v>12</v>
      </c>
      <c r="H1898" s="4" t="s">
        <v>4213</v>
      </c>
      <c r="I1898" s="4" t="s">
        <v>14</v>
      </c>
      <c r="J1898" s="4" t="s">
        <v>146</v>
      </c>
      <c r="K1898" s="4" t="s">
        <v>227</v>
      </c>
      <c r="M1898">
        <f t="shared" si="60"/>
        <v>6788.9542500000007</v>
      </c>
    </row>
    <row r="1899" spans="1:25" ht="14" x14ac:dyDescent="0.2">
      <c r="A1899" s="4" t="s">
        <v>4214</v>
      </c>
      <c r="B1899" s="5">
        <v>32395.070418750005</v>
      </c>
      <c r="C1899" s="5">
        <f t="shared" si="59"/>
        <v>1079.8356806250001</v>
      </c>
      <c r="D1899" s="4">
        <v>30</v>
      </c>
      <c r="E1899" s="5" t="s">
        <v>30</v>
      </c>
      <c r="F1899" s="4" t="s">
        <v>2638</v>
      </c>
      <c r="G1899" s="4" t="s">
        <v>12</v>
      </c>
      <c r="H1899" s="4" t="s">
        <v>4215</v>
      </c>
      <c r="I1899" s="4" t="s">
        <v>14</v>
      </c>
      <c r="J1899" s="4" t="s">
        <v>146</v>
      </c>
      <c r="K1899" s="4" t="s">
        <v>23</v>
      </c>
      <c r="M1899">
        <f t="shared" si="60"/>
        <v>971.85211256250011</v>
      </c>
    </row>
    <row r="1900" spans="1:25" ht="14" x14ac:dyDescent="0.2">
      <c r="A1900" s="4" t="s">
        <v>4216</v>
      </c>
      <c r="B1900" s="5">
        <v>39754.208081250006</v>
      </c>
      <c r="C1900" s="5">
        <f t="shared" si="59"/>
        <v>39754.208081250006</v>
      </c>
      <c r="D1900" s="4">
        <v>1</v>
      </c>
      <c r="E1900" s="5" t="s">
        <v>30</v>
      </c>
      <c r="F1900" s="4" t="s">
        <v>2638</v>
      </c>
      <c r="G1900" s="4" t="s">
        <v>12</v>
      </c>
      <c r="H1900" s="4" t="s">
        <v>4215</v>
      </c>
      <c r="I1900" s="4" t="s">
        <v>14</v>
      </c>
      <c r="J1900" s="4" t="s">
        <v>148</v>
      </c>
      <c r="K1900" s="4" t="s">
        <v>23</v>
      </c>
      <c r="M1900">
        <f t="shared" si="60"/>
        <v>35778.787273125003</v>
      </c>
    </row>
    <row r="1901" spans="1:25" ht="14" x14ac:dyDescent="0.2">
      <c r="A1901" s="4" t="s">
        <v>4217</v>
      </c>
      <c r="B1901" s="5">
        <v>24293.806875000002</v>
      </c>
      <c r="C1901" s="5">
        <f t="shared" si="59"/>
        <v>24293.806875000002</v>
      </c>
      <c r="D1901" s="4">
        <v>1</v>
      </c>
      <c r="E1901" s="4" t="s">
        <v>59</v>
      </c>
      <c r="F1901" s="4" t="s">
        <v>4217</v>
      </c>
      <c r="G1901" s="4" t="s">
        <v>20</v>
      </c>
      <c r="H1901" s="4" t="s">
        <v>4218</v>
      </c>
      <c r="I1901" s="4"/>
      <c r="J1901" s="4" t="s">
        <v>2315</v>
      </c>
      <c r="K1901" s="4" t="s">
        <v>74</v>
      </c>
      <c r="M1901">
        <f t="shared" si="60"/>
        <v>21864.426187500001</v>
      </c>
    </row>
    <row r="1902" spans="1:25" ht="14" x14ac:dyDescent="0.2">
      <c r="A1902" s="4" t="s">
        <v>4219</v>
      </c>
      <c r="B1902" s="5">
        <v>13311.675000000001</v>
      </c>
      <c r="C1902" s="5">
        <f t="shared" si="59"/>
        <v>13311.675000000001</v>
      </c>
      <c r="D1902" s="4">
        <v>1</v>
      </c>
      <c r="E1902" s="5" t="s">
        <v>124</v>
      </c>
      <c r="F1902" s="4" t="s">
        <v>694</v>
      </c>
      <c r="G1902" s="4" t="s">
        <v>20</v>
      </c>
      <c r="H1902" s="4" t="s">
        <v>4220</v>
      </c>
      <c r="I1902" s="4" t="s">
        <v>14</v>
      </c>
      <c r="J1902" s="4" t="s">
        <v>696</v>
      </c>
      <c r="K1902" s="4" t="s">
        <v>53</v>
      </c>
      <c r="M1902">
        <f t="shared" si="60"/>
        <v>11980.507500000002</v>
      </c>
    </row>
    <row r="1903" spans="1:25" ht="14" x14ac:dyDescent="0.2">
      <c r="A1903" s="4" t="s">
        <v>4221</v>
      </c>
      <c r="B1903" s="5">
        <v>4799.9681437500003</v>
      </c>
      <c r="C1903" s="5">
        <f t="shared" si="59"/>
        <v>159.99893812500002</v>
      </c>
      <c r="D1903" s="4">
        <v>30</v>
      </c>
      <c r="E1903" s="5" t="s">
        <v>30</v>
      </c>
      <c r="F1903" s="4" t="s">
        <v>1479</v>
      </c>
      <c r="G1903" s="4" t="s">
        <v>12</v>
      </c>
      <c r="H1903" s="4" t="s">
        <v>4222</v>
      </c>
      <c r="I1903" s="4" t="s">
        <v>22</v>
      </c>
      <c r="J1903" s="4" t="s">
        <v>146</v>
      </c>
      <c r="K1903" s="4" t="s">
        <v>312</v>
      </c>
      <c r="M1903">
        <f t="shared" si="60"/>
        <v>143.99904431250002</v>
      </c>
    </row>
    <row r="1904" spans="1:25" ht="14" x14ac:dyDescent="0.2">
      <c r="A1904" s="4" t="s">
        <v>4223</v>
      </c>
      <c r="B1904" s="5">
        <v>6379.6202437499996</v>
      </c>
      <c r="C1904" s="5">
        <f t="shared" si="59"/>
        <v>212.65400812499999</v>
      </c>
      <c r="D1904" s="4">
        <v>30</v>
      </c>
      <c r="E1904" s="5" t="s">
        <v>30</v>
      </c>
      <c r="F1904" s="4" t="s">
        <v>1479</v>
      </c>
      <c r="G1904" s="4" t="s">
        <v>12</v>
      </c>
      <c r="H1904" s="4" t="s">
        <v>4222</v>
      </c>
      <c r="I1904" s="4" t="s">
        <v>22</v>
      </c>
      <c r="J1904" s="4" t="s">
        <v>148</v>
      </c>
      <c r="K1904" s="4" t="s">
        <v>312</v>
      </c>
      <c r="M1904">
        <f t="shared" si="60"/>
        <v>191.3886073125</v>
      </c>
    </row>
    <row r="1905" spans="1:13" ht="14" x14ac:dyDescent="0.2">
      <c r="A1905" s="4" t="s">
        <v>4224</v>
      </c>
      <c r="B1905" s="5">
        <v>5702.9434312500007</v>
      </c>
      <c r="C1905" s="5">
        <f t="shared" si="59"/>
        <v>190.09811437500002</v>
      </c>
      <c r="D1905" s="4">
        <v>30</v>
      </c>
      <c r="E1905" s="5" t="s">
        <v>30</v>
      </c>
      <c r="F1905" s="4" t="s">
        <v>1479</v>
      </c>
      <c r="G1905" s="4" t="s">
        <v>12</v>
      </c>
      <c r="H1905" s="4" t="s">
        <v>4222</v>
      </c>
      <c r="I1905" s="4" t="s">
        <v>22</v>
      </c>
      <c r="J1905" s="4" t="s">
        <v>200</v>
      </c>
      <c r="K1905" s="4" t="s">
        <v>312</v>
      </c>
      <c r="M1905">
        <f t="shared" si="60"/>
        <v>171.08830293750003</v>
      </c>
    </row>
    <row r="1906" spans="1:13" ht="14" x14ac:dyDescent="0.2">
      <c r="A1906" s="4" t="s">
        <v>4225</v>
      </c>
      <c r="B1906" s="5">
        <v>5142.7437750000008</v>
      </c>
      <c r="C1906" s="5">
        <f t="shared" si="59"/>
        <v>514.27437750000013</v>
      </c>
      <c r="D1906" s="4">
        <v>10</v>
      </c>
      <c r="E1906" s="5" t="s">
        <v>10</v>
      </c>
      <c r="F1906" s="4" t="s">
        <v>4226</v>
      </c>
      <c r="G1906" s="4" t="s">
        <v>12</v>
      </c>
      <c r="H1906" s="4" t="s">
        <v>4227</v>
      </c>
      <c r="I1906" s="4" t="s">
        <v>22</v>
      </c>
      <c r="J1906" s="4" t="s">
        <v>273</v>
      </c>
      <c r="K1906" s="4" t="s">
        <v>227</v>
      </c>
      <c r="M1906">
        <f t="shared" si="60"/>
        <v>462.8469397500001</v>
      </c>
    </row>
    <row r="1907" spans="1:13" ht="14" x14ac:dyDescent="0.2">
      <c r="A1907" s="4" t="s">
        <v>4228</v>
      </c>
      <c r="B1907" s="5">
        <v>5142.7437750000008</v>
      </c>
      <c r="C1907" s="5">
        <f t="shared" si="59"/>
        <v>514.27437750000013</v>
      </c>
      <c r="D1907" s="4">
        <v>10</v>
      </c>
      <c r="E1907" s="5" t="s">
        <v>10</v>
      </c>
      <c r="F1907" s="4" t="s">
        <v>4226</v>
      </c>
      <c r="G1907" s="4" t="s">
        <v>12</v>
      </c>
      <c r="H1907" s="4" t="s">
        <v>4227</v>
      </c>
      <c r="I1907" s="4" t="s">
        <v>22</v>
      </c>
      <c r="J1907" s="4" t="s">
        <v>273</v>
      </c>
      <c r="K1907" s="4" t="s">
        <v>227</v>
      </c>
      <c r="M1907">
        <f t="shared" si="60"/>
        <v>462.8469397500001</v>
      </c>
    </row>
    <row r="1908" spans="1:13" ht="14" x14ac:dyDescent="0.2">
      <c r="A1908" s="4" t="s">
        <v>4229</v>
      </c>
      <c r="B1908" s="5">
        <v>2792.1238312500004</v>
      </c>
      <c r="C1908" s="5">
        <f t="shared" si="59"/>
        <v>2792.1238312500004</v>
      </c>
      <c r="D1908" s="4">
        <v>1</v>
      </c>
      <c r="E1908" s="5" t="s">
        <v>59</v>
      </c>
      <c r="F1908" s="4" t="s">
        <v>709</v>
      </c>
      <c r="G1908" s="4" t="s">
        <v>20</v>
      </c>
      <c r="H1908" s="4" t="s">
        <v>4230</v>
      </c>
      <c r="I1908" s="4" t="s">
        <v>22</v>
      </c>
      <c r="J1908" s="4" t="s">
        <v>3037</v>
      </c>
      <c r="K1908" s="4" t="s">
        <v>406</v>
      </c>
      <c r="M1908">
        <f t="shared" si="60"/>
        <v>2512.9114481250003</v>
      </c>
    </row>
    <row r="1909" spans="1:13" ht="14" x14ac:dyDescent="0.2">
      <c r="A1909" s="4" t="s">
        <v>4231</v>
      </c>
      <c r="B1909" s="5">
        <v>15777.662793750005</v>
      </c>
      <c r="C1909" s="5">
        <f t="shared" si="59"/>
        <v>187.82931897321436</v>
      </c>
      <c r="D1909" s="4">
        <v>84</v>
      </c>
      <c r="E1909" s="5" t="s">
        <v>10</v>
      </c>
      <c r="F1909" s="4" t="s">
        <v>4232</v>
      </c>
      <c r="G1909" s="4" t="s">
        <v>12</v>
      </c>
      <c r="H1909" s="4" t="s">
        <v>4232</v>
      </c>
      <c r="I1909" s="4" t="s">
        <v>22</v>
      </c>
      <c r="J1909" s="4" t="s">
        <v>271</v>
      </c>
      <c r="K1909" s="4" t="s">
        <v>227</v>
      </c>
      <c r="M1909">
        <f t="shared" si="60"/>
        <v>169.04638707589291</v>
      </c>
    </row>
    <row r="1910" spans="1:13" ht="14" x14ac:dyDescent="0.2">
      <c r="A1910" s="4" t="s">
        <v>4233</v>
      </c>
      <c r="B1910" s="5">
        <v>6163.3055249999998</v>
      </c>
      <c r="C1910" s="5">
        <f t="shared" si="59"/>
        <v>123.2661105</v>
      </c>
      <c r="D1910" s="4">
        <v>50</v>
      </c>
      <c r="E1910" s="5" t="s">
        <v>10</v>
      </c>
      <c r="F1910" s="4" t="s">
        <v>408</v>
      </c>
      <c r="G1910" s="4" t="s">
        <v>12</v>
      </c>
      <c r="H1910" s="4" t="s">
        <v>4234</v>
      </c>
      <c r="I1910" s="4" t="s">
        <v>22</v>
      </c>
      <c r="J1910" s="4" t="s">
        <v>15</v>
      </c>
      <c r="K1910" s="4" t="s">
        <v>90</v>
      </c>
      <c r="M1910">
        <f t="shared" si="60"/>
        <v>110.93949945</v>
      </c>
    </row>
    <row r="1911" spans="1:13" ht="14" x14ac:dyDescent="0.2">
      <c r="A1911" s="4" t="s">
        <v>4235</v>
      </c>
      <c r="B1911" s="5">
        <v>8618.2002562500002</v>
      </c>
      <c r="C1911" s="5">
        <f t="shared" si="59"/>
        <v>287.27334187500003</v>
      </c>
      <c r="D1911" s="4">
        <v>30</v>
      </c>
      <c r="E1911" s="5" t="s">
        <v>10</v>
      </c>
      <c r="F1911" s="4" t="s">
        <v>4236</v>
      </c>
      <c r="G1911" s="4" t="s">
        <v>12</v>
      </c>
      <c r="H1911" s="4" t="s">
        <v>4236</v>
      </c>
      <c r="I1911" s="4" t="s">
        <v>22</v>
      </c>
      <c r="J1911" s="4" t="s">
        <v>78</v>
      </c>
      <c r="K1911" s="4" t="s">
        <v>90</v>
      </c>
      <c r="M1911">
        <f t="shared" si="60"/>
        <v>258.54600768750004</v>
      </c>
    </row>
    <row r="1912" spans="1:13" ht="14" x14ac:dyDescent="0.2">
      <c r="A1912" s="4" t="s">
        <v>4237</v>
      </c>
      <c r="B1912" s="5">
        <v>5756.1901312500004</v>
      </c>
      <c r="C1912" s="5">
        <f t="shared" si="59"/>
        <v>115.12380262500001</v>
      </c>
      <c r="D1912" s="4">
        <v>50</v>
      </c>
      <c r="E1912" s="5" t="s">
        <v>10</v>
      </c>
      <c r="F1912" s="4" t="s">
        <v>408</v>
      </c>
      <c r="G1912" s="4" t="s">
        <v>12</v>
      </c>
      <c r="H1912" s="4" t="s">
        <v>4234</v>
      </c>
      <c r="I1912" s="4" t="s">
        <v>22</v>
      </c>
      <c r="J1912" s="4" t="s">
        <v>78</v>
      </c>
      <c r="K1912" s="4" t="s">
        <v>90</v>
      </c>
      <c r="M1912">
        <f t="shared" si="60"/>
        <v>103.61142236250001</v>
      </c>
    </row>
    <row r="1913" spans="1:13" ht="14" x14ac:dyDescent="0.2">
      <c r="A1913" s="4" t="s">
        <v>4238</v>
      </c>
      <c r="B1913" s="5">
        <v>3058.3573312500002</v>
      </c>
      <c r="C1913" s="5">
        <f t="shared" si="59"/>
        <v>3058.3573312500002</v>
      </c>
      <c r="D1913" s="4">
        <v>1</v>
      </c>
      <c r="E1913" s="5" t="s">
        <v>181</v>
      </c>
      <c r="F1913" s="4" t="s">
        <v>4239</v>
      </c>
      <c r="G1913" s="4" t="s">
        <v>20</v>
      </c>
      <c r="H1913" s="4" t="s">
        <v>4240</v>
      </c>
      <c r="I1913" s="4" t="s">
        <v>22</v>
      </c>
      <c r="J1913" s="4" t="s">
        <v>4241</v>
      </c>
      <c r="K1913" s="4" t="s">
        <v>53</v>
      </c>
      <c r="M1913">
        <f t="shared" si="60"/>
        <v>2752.5215981250003</v>
      </c>
    </row>
    <row r="1914" spans="1:13" ht="14" x14ac:dyDescent="0.2">
      <c r="A1914" s="4" t="s">
        <v>4242</v>
      </c>
      <c r="B1914" s="5">
        <v>5370.1515562499999</v>
      </c>
      <c r="C1914" s="5">
        <f t="shared" si="59"/>
        <v>179.00505187499999</v>
      </c>
      <c r="D1914" s="4">
        <v>30</v>
      </c>
      <c r="E1914" s="5" t="s">
        <v>10</v>
      </c>
      <c r="F1914" s="4" t="s">
        <v>1479</v>
      </c>
      <c r="G1914" s="4" t="s">
        <v>12</v>
      </c>
      <c r="H1914" s="4" t="s">
        <v>4243</v>
      </c>
      <c r="I1914" s="4" t="s">
        <v>22</v>
      </c>
      <c r="J1914" s="4" t="s">
        <v>146</v>
      </c>
      <c r="K1914" s="4" t="s">
        <v>312</v>
      </c>
      <c r="M1914">
        <f t="shared" si="60"/>
        <v>161.1045466875</v>
      </c>
    </row>
    <row r="1915" spans="1:13" ht="14" x14ac:dyDescent="0.2">
      <c r="A1915" s="4" t="s">
        <v>4244</v>
      </c>
      <c r="B1915" s="5">
        <v>5570.9359875</v>
      </c>
      <c r="C1915" s="5">
        <f t="shared" si="59"/>
        <v>185.69786625</v>
      </c>
      <c r="D1915" s="4">
        <v>30</v>
      </c>
      <c r="E1915" s="5" t="s">
        <v>10</v>
      </c>
      <c r="F1915" s="4" t="s">
        <v>1479</v>
      </c>
      <c r="G1915" s="4" t="s">
        <v>12</v>
      </c>
      <c r="H1915" s="4" t="s">
        <v>4243</v>
      </c>
      <c r="I1915" s="4" t="s">
        <v>22</v>
      </c>
      <c r="J1915" s="4" t="s">
        <v>148</v>
      </c>
      <c r="K1915" s="4" t="s">
        <v>312</v>
      </c>
      <c r="M1915">
        <f t="shared" si="60"/>
        <v>167.128079625</v>
      </c>
    </row>
    <row r="1916" spans="1:13" ht="14" x14ac:dyDescent="0.2">
      <c r="A1916" s="4" t="s">
        <v>4245</v>
      </c>
      <c r="B1916" s="5">
        <v>5159.38336875</v>
      </c>
      <c r="C1916" s="5">
        <f t="shared" si="59"/>
        <v>171.97944562500001</v>
      </c>
      <c r="D1916" s="4">
        <v>30</v>
      </c>
      <c r="E1916" s="5" t="s">
        <v>10</v>
      </c>
      <c r="F1916" s="4" t="s">
        <v>1476</v>
      </c>
      <c r="G1916" s="4" t="s">
        <v>12</v>
      </c>
      <c r="H1916" s="4" t="s">
        <v>4246</v>
      </c>
      <c r="I1916" s="4" t="s">
        <v>22</v>
      </c>
      <c r="J1916" s="4" t="s">
        <v>146</v>
      </c>
      <c r="K1916" s="4" t="s">
        <v>312</v>
      </c>
      <c r="M1916">
        <f t="shared" si="60"/>
        <v>154.78150106250001</v>
      </c>
    </row>
    <row r="1917" spans="1:13" ht="14" x14ac:dyDescent="0.2">
      <c r="A1917" s="4" t="s">
        <v>4247</v>
      </c>
      <c r="B1917" s="5">
        <v>9584.4060000000009</v>
      </c>
      <c r="C1917" s="5">
        <f t="shared" si="59"/>
        <v>319.48020000000002</v>
      </c>
      <c r="D1917" s="4">
        <v>30</v>
      </c>
      <c r="E1917" s="5" t="s">
        <v>10</v>
      </c>
      <c r="F1917" s="4" t="s">
        <v>1476</v>
      </c>
      <c r="G1917" s="4" t="s">
        <v>12</v>
      </c>
      <c r="H1917" s="4" t="s">
        <v>1476</v>
      </c>
      <c r="I1917" s="4" t="s">
        <v>22</v>
      </c>
      <c r="J1917" s="4" t="s">
        <v>146</v>
      </c>
      <c r="K1917" s="4" t="s">
        <v>312</v>
      </c>
      <c r="M1917">
        <f t="shared" si="60"/>
        <v>287.53218000000004</v>
      </c>
    </row>
    <row r="1918" spans="1:13" ht="14" x14ac:dyDescent="0.2">
      <c r="A1918" s="4" t="s">
        <v>4248</v>
      </c>
      <c r="B1918" s="5">
        <v>5435.600625</v>
      </c>
      <c r="C1918" s="5">
        <f t="shared" si="59"/>
        <v>181.18668750000001</v>
      </c>
      <c r="D1918" s="4">
        <v>30</v>
      </c>
      <c r="E1918" s="5" t="s">
        <v>10</v>
      </c>
      <c r="F1918" s="4" t="s">
        <v>4248</v>
      </c>
      <c r="G1918" s="4" t="s">
        <v>12</v>
      </c>
      <c r="H1918" s="4" t="s">
        <v>4243</v>
      </c>
      <c r="I1918" s="4" t="s">
        <v>22</v>
      </c>
      <c r="J1918" s="4" t="s">
        <v>4249</v>
      </c>
      <c r="K1918" s="4" t="s">
        <v>312</v>
      </c>
      <c r="M1918">
        <f t="shared" si="60"/>
        <v>163.06801874999999</v>
      </c>
    </row>
    <row r="1919" spans="1:13" ht="14" x14ac:dyDescent="0.2">
      <c r="A1919" s="4" t="s">
        <v>4250</v>
      </c>
      <c r="B1919" s="5">
        <v>3594.1522500000001</v>
      </c>
      <c r="C1919" s="5">
        <f t="shared" si="59"/>
        <v>119.805075</v>
      </c>
      <c r="D1919" s="4">
        <v>30</v>
      </c>
      <c r="E1919" s="5" t="s">
        <v>10</v>
      </c>
      <c r="F1919" s="4" t="s">
        <v>1476</v>
      </c>
      <c r="G1919" s="4" t="s">
        <v>12</v>
      </c>
      <c r="H1919" s="4" t="s">
        <v>1476</v>
      </c>
      <c r="I1919" s="4" t="s">
        <v>22</v>
      </c>
      <c r="J1919" s="4" t="s">
        <v>200</v>
      </c>
      <c r="K1919" s="4" t="s">
        <v>312</v>
      </c>
      <c r="M1919">
        <f t="shared" si="60"/>
        <v>107.8245675</v>
      </c>
    </row>
    <row r="1920" spans="1:13" ht="14" x14ac:dyDescent="0.2">
      <c r="A1920" s="4" t="s">
        <v>4251</v>
      </c>
      <c r="B1920" s="5">
        <v>9650.9643750000014</v>
      </c>
      <c r="C1920" s="5">
        <f t="shared" si="59"/>
        <v>344.67729910714291</v>
      </c>
      <c r="D1920" s="4">
        <v>28</v>
      </c>
      <c r="E1920" s="5" t="s">
        <v>10</v>
      </c>
      <c r="F1920" s="4" t="s">
        <v>1476</v>
      </c>
      <c r="G1920" s="4" t="s">
        <v>12</v>
      </c>
      <c r="H1920" s="4" t="s">
        <v>4252</v>
      </c>
      <c r="I1920" s="4" t="s">
        <v>22</v>
      </c>
      <c r="J1920" s="4" t="s">
        <v>146</v>
      </c>
      <c r="K1920" s="4" t="s">
        <v>312</v>
      </c>
      <c r="M1920">
        <f t="shared" si="60"/>
        <v>310.20956919642862</v>
      </c>
    </row>
    <row r="1921" spans="1:13" ht="14" x14ac:dyDescent="0.2">
      <c r="A1921" s="4" t="s">
        <v>4253</v>
      </c>
      <c r="B1921" s="5">
        <v>9872.8256250000013</v>
      </c>
      <c r="C1921" s="5">
        <f t="shared" si="59"/>
        <v>352.60091517857148</v>
      </c>
      <c r="D1921" s="4">
        <v>28</v>
      </c>
      <c r="E1921" s="5" t="s">
        <v>10</v>
      </c>
      <c r="F1921" s="4" t="s">
        <v>1476</v>
      </c>
      <c r="G1921" s="4" t="s">
        <v>12</v>
      </c>
      <c r="H1921" s="4" t="s">
        <v>4252</v>
      </c>
      <c r="I1921" s="4" t="s">
        <v>22</v>
      </c>
      <c r="J1921" s="4" t="s">
        <v>148</v>
      </c>
      <c r="K1921" s="4" t="s">
        <v>312</v>
      </c>
      <c r="M1921">
        <f t="shared" si="60"/>
        <v>317.34082366071436</v>
      </c>
    </row>
    <row r="1922" spans="1:13" ht="14" x14ac:dyDescent="0.2">
      <c r="A1922" s="4" t="s">
        <v>4254</v>
      </c>
      <c r="B1922" s="5">
        <v>3882.5718750000005</v>
      </c>
      <c r="C1922" s="5">
        <f t="shared" si="59"/>
        <v>3882.5718750000005</v>
      </c>
      <c r="D1922" s="4">
        <v>1</v>
      </c>
      <c r="E1922" s="5" t="s">
        <v>181</v>
      </c>
      <c r="F1922" s="4" t="s">
        <v>4255</v>
      </c>
      <c r="G1922" s="4" t="s">
        <v>20</v>
      </c>
      <c r="H1922" s="4" t="s">
        <v>4256</v>
      </c>
      <c r="I1922" s="4" t="s">
        <v>22</v>
      </c>
      <c r="J1922" s="4" t="s">
        <v>2315</v>
      </c>
      <c r="K1922" s="4" t="s">
        <v>403</v>
      </c>
      <c r="M1922">
        <f t="shared" si="60"/>
        <v>3494.3146875000002</v>
      </c>
    </row>
    <row r="1923" spans="1:13" ht="14" x14ac:dyDescent="0.2">
      <c r="A1923" s="4" t="s">
        <v>4257</v>
      </c>
      <c r="B1923" s="5">
        <v>987.28256250000015</v>
      </c>
      <c r="C1923" s="5">
        <f t="shared" ref="C1923:C1986" si="61">(B1923/D1923)</f>
        <v>70.520183035714297</v>
      </c>
      <c r="D1923" s="4">
        <v>14</v>
      </c>
      <c r="E1923" s="5" t="s">
        <v>10</v>
      </c>
      <c r="F1923" s="4" t="s">
        <v>4257</v>
      </c>
      <c r="G1923" s="4" t="s">
        <v>20</v>
      </c>
      <c r="H1923" s="4" t="s">
        <v>4255</v>
      </c>
      <c r="I1923" s="4" t="s">
        <v>22</v>
      </c>
      <c r="J1923" s="4" t="s">
        <v>25</v>
      </c>
      <c r="K1923" s="4" t="s">
        <v>406</v>
      </c>
      <c r="M1923">
        <f t="shared" si="60"/>
        <v>63.468164732142867</v>
      </c>
    </row>
    <row r="1924" spans="1:13" ht="14" x14ac:dyDescent="0.2">
      <c r="A1924" s="4" t="s">
        <v>4258</v>
      </c>
      <c r="B1924" s="5">
        <v>6306.4060312500005</v>
      </c>
      <c r="C1924" s="5">
        <f t="shared" si="61"/>
        <v>6306.4060312500005</v>
      </c>
      <c r="D1924" s="4">
        <v>1</v>
      </c>
      <c r="E1924" s="5" t="s">
        <v>59</v>
      </c>
      <c r="F1924" s="4" t="s">
        <v>2924</v>
      </c>
      <c r="G1924" s="4" t="s">
        <v>20</v>
      </c>
      <c r="H1924" s="4" t="s">
        <v>4258</v>
      </c>
      <c r="I1924" s="4" t="s">
        <v>22</v>
      </c>
      <c r="K1924" s="4" t="s">
        <v>34</v>
      </c>
      <c r="M1924">
        <f t="shared" si="60"/>
        <v>5675.7654281250007</v>
      </c>
    </row>
    <row r="1925" spans="1:13" ht="14" x14ac:dyDescent="0.2">
      <c r="A1925" s="4" t="s">
        <v>4259</v>
      </c>
      <c r="B1925" s="5">
        <v>5324.67</v>
      </c>
      <c r="C1925" s="5">
        <f t="shared" si="61"/>
        <v>532.46699999999998</v>
      </c>
      <c r="D1925" s="4">
        <v>10</v>
      </c>
      <c r="E1925" s="5" t="s">
        <v>10</v>
      </c>
      <c r="F1925" s="4" t="s">
        <v>4260</v>
      </c>
      <c r="G1925" s="4" t="s">
        <v>20</v>
      </c>
      <c r="H1925" s="4" t="s">
        <v>4261</v>
      </c>
      <c r="I1925" s="4" t="s">
        <v>22</v>
      </c>
      <c r="J1925" s="4" t="s">
        <v>207</v>
      </c>
      <c r="K1925" s="4" t="s">
        <v>53</v>
      </c>
      <c r="M1925">
        <f t="shared" si="60"/>
        <v>479.22029999999995</v>
      </c>
    </row>
    <row r="1926" spans="1:13" ht="14" x14ac:dyDescent="0.2">
      <c r="A1926" s="4" t="s">
        <v>4262</v>
      </c>
      <c r="B1926" s="5">
        <v>31732.814587500005</v>
      </c>
      <c r="C1926" s="5">
        <f t="shared" si="61"/>
        <v>31732.814587500005</v>
      </c>
      <c r="D1926" s="4">
        <v>1</v>
      </c>
      <c r="E1926" s="5" t="s">
        <v>30</v>
      </c>
      <c r="F1926" s="4" t="s">
        <v>4263</v>
      </c>
      <c r="G1926" s="4" t="s">
        <v>12</v>
      </c>
      <c r="H1926" s="4" t="s">
        <v>4264</v>
      </c>
      <c r="I1926" s="4" t="s">
        <v>14</v>
      </c>
      <c r="J1926" s="4" t="s">
        <v>140</v>
      </c>
      <c r="K1926" s="4" t="s">
        <v>312</v>
      </c>
      <c r="M1926">
        <f t="shared" si="60"/>
        <v>28559.533128750005</v>
      </c>
    </row>
    <row r="1927" spans="1:13" ht="14" x14ac:dyDescent="0.2">
      <c r="A1927" s="4" t="s">
        <v>4265</v>
      </c>
      <c r="B1927" s="5">
        <v>7765.1437500000011</v>
      </c>
      <c r="C1927" s="5">
        <f t="shared" si="61"/>
        <v>258.83812500000005</v>
      </c>
      <c r="D1927" s="4">
        <v>30</v>
      </c>
      <c r="E1927" s="5" t="s">
        <v>10</v>
      </c>
      <c r="F1927" s="4" t="s">
        <v>601</v>
      </c>
      <c r="G1927" s="4" t="s">
        <v>12</v>
      </c>
      <c r="H1927" s="4" t="s">
        <v>601</v>
      </c>
      <c r="I1927" s="4" t="s">
        <v>22</v>
      </c>
      <c r="J1927" s="4" t="s">
        <v>200</v>
      </c>
      <c r="K1927" s="4" t="s">
        <v>312</v>
      </c>
      <c r="M1927">
        <f t="shared" si="60"/>
        <v>232.95431250000004</v>
      </c>
    </row>
    <row r="1928" spans="1:13" ht="14" x14ac:dyDescent="0.2">
      <c r="A1928" s="4" t="s">
        <v>4266</v>
      </c>
      <c r="B1928" s="5">
        <v>6493.5000000000009</v>
      </c>
      <c r="C1928" s="5">
        <f t="shared" si="61"/>
        <v>64.935000000000002</v>
      </c>
      <c r="D1928" s="4">
        <v>100</v>
      </c>
      <c r="E1928" s="5" t="s">
        <v>957</v>
      </c>
      <c r="F1928" s="4" t="s">
        <v>4267</v>
      </c>
      <c r="G1928" s="4" t="s">
        <v>12</v>
      </c>
      <c r="H1928" s="4" t="s">
        <v>4268</v>
      </c>
      <c r="I1928" s="4" t="s">
        <v>22</v>
      </c>
      <c r="J1928" s="4" t="s">
        <v>3148</v>
      </c>
      <c r="K1928" s="4" t="s">
        <v>74</v>
      </c>
      <c r="M1928">
        <f t="shared" si="60"/>
        <v>58.441500000000005</v>
      </c>
    </row>
    <row r="1929" spans="1:13" ht="14" x14ac:dyDescent="0.2">
      <c r="A1929" s="4" t="s">
        <v>4269</v>
      </c>
      <c r="B1929" s="5">
        <v>5627.7000000000007</v>
      </c>
      <c r="C1929" s="5">
        <f t="shared" si="61"/>
        <v>5627.7000000000007</v>
      </c>
      <c r="D1929" s="4">
        <v>1</v>
      </c>
      <c r="E1929" s="5" t="s">
        <v>10</v>
      </c>
      <c r="F1929" s="4" t="s">
        <v>4270</v>
      </c>
      <c r="G1929" s="4" t="s">
        <v>12</v>
      </c>
      <c r="H1929" s="4" t="s">
        <v>4270</v>
      </c>
      <c r="I1929" s="4" t="s">
        <v>22</v>
      </c>
      <c r="J1929" s="4" t="s">
        <v>2883</v>
      </c>
      <c r="K1929" s="4" t="s">
        <v>74</v>
      </c>
      <c r="M1929">
        <f t="shared" si="60"/>
        <v>5064.93</v>
      </c>
    </row>
    <row r="1930" spans="1:13" ht="14" x14ac:dyDescent="0.2">
      <c r="A1930" s="4" t="s">
        <v>4271</v>
      </c>
      <c r="B1930" s="5">
        <v>1731.6000000000001</v>
      </c>
      <c r="C1930" s="5">
        <f t="shared" si="61"/>
        <v>1731.6000000000001</v>
      </c>
      <c r="D1930" s="4">
        <v>1</v>
      </c>
      <c r="E1930" s="5" t="s">
        <v>701</v>
      </c>
      <c r="F1930" s="4" t="s">
        <v>171</v>
      </c>
      <c r="G1930" s="4" t="s">
        <v>12</v>
      </c>
      <c r="H1930" s="4" t="s">
        <v>4272</v>
      </c>
      <c r="I1930" s="4" t="s">
        <v>22</v>
      </c>
      <c r="J1930" s="4" t="s">
        <v>603</v>
      </c>
      <c r="K1930" s="4" t="s">
        <v>74</v>
      </c>
      <c r="M1930">
        <f t="shared" si="60"/>
        <v>1558.44</v>
      </c>
    </row>
    <row r="1931" spans="1:13" ht="14" x14ac:dyDescent="0.2">
      <c r="A1931" s="4" t="s">
        <v>4273</v>
      </c>
      <c r="B1931" s="5">
        <v>2056.2750000000001</v>
      </c>
      <c r="C1931" s="5">
        <f t="shared" si="61"/>
        <v>2056.2750000000001</v>
      </c>
      <c r="D1931" s="4">
        <v>1</v>
      </c>
      <c r="E1931" s="5" t="s">
        <v>25</v>
      </c>
      <c r="F1931" s="4" t="s">
        <v>171</v>
      </c>
      <c r="G1931" s="4" t="s">
        <v>12</v>
      </c>
      <c r="H1931" s="4" t="s">
        <v>4272</v>
      </c>
      <c r="I1931" s="4" t="s">
        <v>22</v>
      </c>
      <c r="J1931" s="4" t="s">
        <v>200</v>
      </c>
      <c r="K1931" s="4" t="s">
        <v>74</v>
      </c>
      <c r="M1931">
        <f t="shared" si="60"/>
        <v>1850.6475</v>
      </c>
    </row>
    <row r="1932" spans="1:13" ht="14" x14ac:dyDescent="0.2">
      <c r="A1932" s="4" t="s">
        <v>4274</v>
      </c>
      <c r="B1932" s="5">
        <v>2218.6125000000006</v>
      </c>
      <c r="C1932" s="5">
        <f t="shared" si="61"/>
        <v>73.953750000000028</v>
      </c>
      <c r="D1932" s="4">
        <v>30</v>
      </c>
      <c r="E1932" s="5" t="s">
        <v>10</v>
      </c>
      <c r="F1932" s="4" t="s">
        <v>171</v>
      </c>
      <c r="G1932" s="4" t="s">
        <v>20</v>
      </c>
      <c r="H1932" s="4" t="s">
        <v>171</v>
      </c>
      <c r="I1932" s="4" t="s">
        <v>22</v>
      </c>
      <c r="J1932" s="4" t="s">
        <v>198</v>
      </c>
      <c r="K1932" s="4" t="s">
        <v>74</v>
      </c>
      <c r="M1932">
        <f t="shared" si="60"/>
        <v>66.558375000000026</v>
      </c>
    </row>
    <row r="1933" spans="1:13" ht="14" x14ac:dyDescent="0.2">
      <c r="A1933" s="4" t="s">
        <v>4275</v>
      </c>
      <c r="B1933" s="5">
        <v>2440.4737500000001</v>
      </c>
      <c r="C1933" s="5">
        <f t="shared" si="61"/>
        <v>2440.4737500000001</v>
      </c>
      <c r="D1933" s="4">
        <v>1</v>
      </c>
      <c r="E1933" s="5" t="s">
        <v>55</v>
      </c>
      <c r="F1933" s="4" t="s">
        <v>4276</v>
      </c>
      <c r="G1933" s="4" t="s">
        <v>20</v>
      </c>
      <c r="H1933" s="4" t="s">
        <v>794</v>
      </c>
      <c r="I1933" s="4" t="s">
        <v>22</v>
      </c>
      <c r="J1933" s="4" t="s">
        <v>293</v>
      </c>
      <c r="K1933" s="4" t="s">
        <v>23</v>
      </c>
      <c r="M1933">
        <f t="shared" si="60"/>
        <v>2196.426375</v>
      </c>
    </row>
    <row r="1934" spans="1:13" ht="14" x14ac:dyDescent="0.2">
      <c r="A1934" s="4" t="s">
        <v>4277</v>
      </c>
      <c r="B1934" s="5">
        <v>6234.3011250000009</v>
      </c>
      <c r="C1934" s="5">
        <f t="shared" si="61"/>
        <v>6234.3011250000009</v>
      </c>
      <c r="D1934" s="4">
        <v>1</v>
      </c>
      <c r="E1934" s="5" t="s">
        <v>4278</v>
      </c>
      <c r="F1934" s="4" t="s">
        <v>4279</v>
      </c>
      <c r="G1934" s="4" t="s">
        <v>20</v>
      </c>
      <c r="H1934" s="4" t="s">
        <v>4279</v>
      </c>
      <c r="I1934" s="4" t="s">
        <v>22</v>
      </c>
      <c r="K1934" s="4" t="s">
        <v>118</v>
      </c>
      <c r="M1934">
        <f t="shared" si="60"/>
        <v>5610.8710125000007</v>
      </c>
    </row>
    <row r="1935" spans="1:13" ht="14" x14ac:dyDescent="0.2">
      <c r="A1935" s="4" t="s">
        <v>4280</v>
      </c>
      <c r="B1935" s="5">
        <v>29396.615625000002</v>
      </c>
      <c r="C1935" s="5">
        <f t="shared" si="61"/>
        <v>29396.615625000002</v>
      </c>
      <c r="D1935" s="4">
        <v>1</v>
      </c>
      <c r="E1935" s="5" t="s">
        <v>170</v>
      </c>
      <c r="F1935" s="4" t="s">
        <v>4281</v>
      </c>
      <c r="G1935" s="4" t="s">
        <v>12</v>
      </c>
      <c r="H1935" s="4" t="s">
        <v>4282</v>
      </c>
      <c r="I1935" s="4" t="s">
        <v>14</v>
      </c>
      <c r="J1935" s="4" t="s">
        <v>4283</v>
      </c>
      <c r="K1935" s="4" t="s">
        <v>74</v>
      </c>
      <c r="M1935">
        <f t="shared" si="60"/>
        <v>26456.954062500001</v>
      </c>
    </row>
    <row r="1936" spans="1:13" ht="14" x14ac:dyDescent="0.2">
      <c r="A1936" s="4" t="s">
        <v>4284</v>
      </c>
      <c r="B1936" s="5">
        <v>29396.615625000002</v>
      </c>
      <c r="C1936" s="5">
        <f t="shared" si="61"/>
        <v>29396.615625000002</v>
      </c>
      <c r="D1936" s="4">
        <v>1</v>
      </c>
      <c r="E1936" s="5" t="s">
        <v>170</v>
      </c>
      <c r="F1936" s="4" t="s">
        <v>4285</v>
      </c>
      <c r="G1936" s="4" t="s">
        <v>12</v>
      </c>
      <c r="H1936" s="4" t="s">
        <v>4286</v>
      </c>
      <c r="I1936" s="4" t="s">
        <v>14</v>
      </c>
      <c r="J1936" s="4" t="s">
        <v>2626</v>
      </c>
      <c r="K1936" s="4" t="s">
        <v>74</v>
      </c>
      <c r="M1936">
        <f t="shared" si="60"/>
        <v>26456.954062500001</v>
      </c>
    </row>
    <row r="1937" spans="1:25" ht="14" x14ac:dyDescent="0.2">
      <c r="A1937" s="7" t="s">
        <v>5489</v>
      </c>
      <c r="B1937" s="10">
        <v>16084.940625000001</v>
      </c>
      <c r="C1937" s="5">
        <f t="shared" si="61"/>
        <v>16084.940625000001</v>
      </c>
      <c r="D1937" s="9">
        <v>1</v>
      </c>
      <c r="E1937" s="10" t="s">
        <v>5490</v>
      </c>
      <c r="F1937" s="7" t="s">
        <v>5491</v>
      </c>
      <c r="G1937" s="7" t="s">
        <v>12</v>
      </c>
      <c r="H1937" s="7" t="s">
        <v>5492</v>
      </c>
      <c r="I1937" s="4" t="s">
        <v>14</v>
      </c>
      <c r="J1937" s="7" t="s">
        <v>5493</v>
      </c>
      <c r="K1937" s="7" t="s">
        <v>74</v>
      </c>
      <c r="L1937" s="4"/>
      <c r="M1937">
        <f t="shared" si="60"/>
        <v>14476.446562500001</v>
      </c>
      <c r="N1937" s="3"/>
      <c r="O1937" s="3"/>
      <c r="P1937" s="3"/>
      <c r="Q1937" s="2"/>
      <c r="R1937" s="2"/>
      <c r="S1937" s="2"/>
      <c r="T1937" s="2"/>
      <c r="U1937" s="2"/>
      <c r="V1937" s="2"/>
      <c r="W1937" s="2"/>
      <c r="X1937" s="2"/>
      <c r="Y1937" s="2"/>
    </row>
    <row r="1938" spans="1:25" ht="14" x14ac:dyDescent="0.2">
      <c r="A1938" s="4" t="s">
        <v>4287</v>
      </c>
      <c r="B1938" s="5">
        <v>443.72250000000003</v>
      </c>
      <c r="C1938" s="5">
        <f t="shared" si="61"/>
        <v>443.72250000000003</v>
      </c>
      <c r="D1938" s="4">
        <v>1</v>
      </c>
      <c r="E1938" s="5" t="s">
        <v>25</v>
      </c>
      <c r="F1938" s="4" t="s">
        <v>4287</v>
      </c>
      <c r="G1938" s="4" t="s">
        <v>20</v>
      </c>
      <c r="H1938" s="4" t="s">
        <v>4287</v>
      </c>
      <c r="I1938" s="4" t="s">
        <v>22</v>
      </c>
      <c r="K1938" s="4" t="s">
        <v>28</v>
      </c>
      <c r="M1938">
        <f t="shared" si="60"/>
        <v>399.35025000000002</v>
      </c>
    </row>
    <row r="1939" spans="1:25" ht="14" x14ac:dyDescent="0.2">
      <c r="A1939" s="4" t="s">
        <v>4288</v>
      </c>
      <c r="B1939" s="5">
        <v>2214.1752750000001</v>
      </c>
      <c r="C1939" s="5">
        <f t="shared" si="61"/>
        <v>2214.1752750000001</v>
      </c>
      <c r="D1939" s="4">
        <v>1</v>
      </c>
      <c r="E1939" s="5" t="s">
        <v>874</v>
      </c>
      <c r="F1939" s="4" t="s">
        <v>4289</v>
      </c>
      <c r="G1939" s="4" t="s">
        <v>20</v>
      </c>
      <c r="H1939" s="4" t="s">
        <v>4290</v>
      </c>
      <c r="I1939" s="4" t="s">
        <v>22</v>
      </c>
      <c r="J1939" s="4" t="s">
        <v>4291</v>
      </c>
      <c r="K1939" s="4" t="s">
        <v>23</v>
      </c>
      <c r="M1939">
        <f t="shared" si="60"/>
        <v>1992.7577475000001</v>
      </c>
    </row>
    <row r="1940" spans="1:25" ht="14" x14ac:dyDescent="0.2">
      <c r="A1940" s="4" t="s">
        <v>4292</v>
      </c>
      <c r="B1940" s="5">
        <v>2218.6125000000002</v>
      </c>
      <c r="C1940" s="5">
        <f t="shared" si="61"/>
        <v>554.65312500000005</v>
      </c>
      <c r="D1940" s="4">
        <v>4</v>
      </c>
      <c r="E1940" s="5" t="s">
        <v>10</v>
      </c>
      <c r="F1940" s="4" t="s">
        <v>2138</v>
      </c>
      <c r="G1940" s="4" t="s">
        <v>20</v>
      </c>
      <c r="H1940" s="4" t="s">
        <v>4293</v>
      </c>
      <c r="I1940" s="4" t="s">
        <v>22</v>
      </c>
      <c r="J1940" s="4" t="s">
        <v>207</v>
      </c>
      <c r="K1940" s="4" t="s">
        <v>53</v>
      </c>
      <c r="M1940">
        <f t="shared" si="60"/>
        <v>499.18781250000006</v>
      </c>
    </row>
    <row r="1941" spans="1:25" ht="14" x14ac:dyDescent="0.2">
      <c r="A1941" s="4" t="s">
        <v>4294</v>
      </c>
      <c r="B1941" s="5">
        <v>13977.258750000001</v>
      </c>
      <c r="C1941" s="5">
        <f t="shared" si="61"/>
        <v>465.90862500000003</v>
      </c>
      <c r="D1941" s="4">
        <v>30</v>
      </c>
      <c r="E1941" s="5" t="s">
        <v>30</v>
      </c>
      <c r="F1941" s="4" t="s">
        <v>4295</v>
      </c>
      <c r="G1941" s="4" t="s">
        <v>20</v>
      </c>
      <c r="H1941" s="4" t="s">
        <v>4296</v>
      </c>
      <c r="I1941" s="4" t="s">
        <v>22</v>
      </c>
      <c r="K1941" s="4" t="s">
        <v>34</v>
      </c>
      <c r="M1941">
        <f t="shared" si="60"/>
        <v>419.31776250000001</v>
      </c>
    </row>
    <row r="1942" spans="1:25" ht="14" x14ac:dyDescent="0.2">
      <c r="A1942" s="4" t="s">
        <v>4297</v>
      </c>
      <c r="B1942" s="5">
        <v>9259.3792687500008</v>
      </c>
      <c r="C1942" s="5">
        <f t="shared" si="61"/>
        <v>308.64597562500001</v>
      </c>
      <c r="D1942" s="4">
        <v>30</v>
      </c>
      <c r="E1942" s="5" t="s">
        <v>10</v>
      </c>
      <c r="F1942" s="4" t="s">
        <v>4298</v>
      </c>
      <c r="G1942" s="4" t="s">
        <v>12</v>
      </c>
      <c r="H1942" s="4" t="s">
        <v>4298</v>
      </c>
      <c r="I1942" s="4" t="s">
        <v>22</v>
      </c>
      <c r="J1942" s="4" t="s">
        <v>146</v>
      </c>
      <c r="K1942" s="4" t="s">
        <v>227</v>
      </c>
      <c r="M1942">
        <f t="shared" si="60"/>
        <v>277.78137806249998</v>
      </c>
    </row>
    <row r="1943" spans="1:25" ht="14" x14ac:dyDescent="0.2">
      <c r="A1943" s="4" t="s">
        <v>4299</v>
      </c>
      <c r="B1943" s="5">
        <v>42153.637500000004</v>
      </c>
      <c r="C1943" s="5">
        <f t="shared" si="61"/>
        <v>42153.637500000004</v>
      </c>
      <c r="D1943" s="4">
        <v>1</v>
      </c>
      <c r="E1943" s="5" t="s">
        <v>25</v>
      </c>
      <c r="F1943" s="4" t="s">
        <v>4300</v>
      </c>
      <c r="G1943" s="4" t="s">
        <v>12</v>
      </c>
      <c r="H1943" s="4" t="s">
        <v>4301</v>
      </c>
      <c r="I1943" s="4" t="s">
        <v>14</v>
      </c>
      <c r="J1943" s="4" t="s">
        <v>4302</v>
      </c>
      <c r="K1943" s="4" t="s">
        <v>74</v>
      </c>
      <c r="M1943">
        <f t="shared" si="60"/>
        <v>37938.273750000008</v>
      </c>
    </row>
    <row r="1944" spans="1:25" ht="14" x14ac:dyDescent="0.2">
      <c r="A1944" s="4" t="s">
        <v>4303</v>
      </c>
      <c r="B1944" s="5">
        <v>33279.1875</v>
      </c>
      <c r="C1944" s="5">
        <f t="shared" si="61"/>
        <v>33279.1875</v>
      </c>
      <c r="D1944" s="4">
        <v>1</v>
      </c>
      <c r="E1944" s="5" t="s">
        <v>170</v>
      </c>
      <c r="F1944" s="4" t="s">
        <v>4304</v>
      </c>
      <c r="G1944" s="4" t="s">
        <v>12</v>
      </c>
      <c r="H1944" s="4" t="s">
        <v>4305</v>
      </c>
      <c r="I1944" s="4" t="s">
        <v>14</v>
      </c>
      <c r="J1944" s="4" t="s">
        <v>4306</v>
      </c>
      <c r="K1944" s="4" t="s">
        <v>74</v>
      </c>
      <c r="M1944">
        <f t="shared" si="60"/>
        <v>29951.268749999999</v>
      </c>
    </row>
    <row r="1945" spans="1:25" ht="14" x14ac:dyDescent="0.2">
      <c r="A1945" s="4" t="s">
        <v>4307</v>
      </c>
      <c r="B1945" s="5">
        <v>43262.943750000006</v>
      </c>
      <c r="C1945" s="5">
        <f t="shared" si="61"/>
        <v>43262.943750000006</v>
      </c>
      <c r="D1945" s="4">
        <v>1</v>
      </c>
      <c r="E1945" s="5" t="s">
        <v>170</v>
      </c>
      <c r="F1945" s="4" t="s">
        <v>4304</v>
      </c>
      <c r="G1945" s="4" t="s">
        <v>12</v>
      </c>
      <c r="H1945" s="4" t="s">
        <v>4305</v>
      </c>
      <c r="I1945" s="4" t="s">
        <v>14</v>
      </c>
      <c r="J1945" s="4" t="s">
        <v>4308</v>
      </c>
      <c r="K1945" s="4" t="s">
        <v>74</v>
      </c>
      <c r="M1945">
        <f t="shared" si="60"/>
        <v>38936.649375000008</v>
      </c>
    </row>
    <row r="1946" spans="1:25" ht="14" x14ac:dyDescent="0.2">
      <c r="A1946" s="4" t="s">
        <v>4309</v>
      </c>
      <c r="B1946" s="5">
        <v>112367.17659375002</v>
      </c>
      <c r="C1946" s="5">
        <f t="shared" si="61"/>
        <v>1872.7862765625002</v>
      </c>
      <c r="D1946" s="4">
        <v>60</v>
      </c>
      <c r="E1946" s="5" t="s">
        <v>10</v>
      </c>
      <c r="F1946" s="4" t="s">
        <v>4310</v>
      </c>
      <c r="G1946" s="4" t="s">
        <v>12</v>
      </c>
      <c r="H1946" s="4" t="s">
        <v>4311</v>
      </c>
      <c r="I1946" s="4" t="s">
        <v>22</v>
      </c>
      <c r="J1946" s="4" t="s">
        <v>140</v>
      </c>
      <c r="K1946" s="4" t="s">
        <v>227</v>
      </c>
      <c r="M1946">
        <f t="shared" si="60"/>
        <v>1685.5076489062503</v>
      </c>
    </row>
    <row r="1947" spans="1:25" ht="14" x14ac:dyDescent="0.2">
      <c r="A1947" s="4" t="s">
        <v>4312</v>
      </c>
      <c r="B1947" s="5">
        <v>201907.04917500002</v>
      </c>
      <c r="C1947" s="5">
        <f t="shared" si="61"/>
        <v>3365.1174862500002</v>
      </c>
      <c r="D1947" s="4">
        <v>60</v>
      </c>
      <c r="E1947" s="5" t="s">
        <v>10</v>
      </c>
      <c r="F1947" s="4" t="s">
        <v>4313</v>
      </c>
      <c r="G1947" s="4" t="s">
        <v>12</v>
      </c>
      <c r="H1947" s="4" t="s">
        <v>4314</v>
      </c>
      <c r="I1947" s="4" t="s">
        <v>14</v>
      </c>
      <c r="J1947" s="4" t="s">
        <v>95</v>
      </c>
      <c r="K1947" s="4" t="s">
        <v>227</v>
      </c>
      <c r="M1947">
        <f t="shared" si="60"/>
        <v>3028.6057376250001</v>
      </c>
    </row>
    <row r="1948" spans="1:25" ht="14" x14ac:dyDescent="0.2">
      <c r="A1948" s="4" t="s">
        <v>4315</v>
      </c>
      <c r="B1948" s="5">
        <v>25739.232918750004</v>
      </c>
      <c r="C1948" s="5">
        <f t="shared" si="61"/>
        <v>857.97443062500008</v>
      </c>
      <c r="D1948" s="4">
        <v>30</v>
      </c>
      <c r="E1948" s="5" t="s">
        <v>10</v>
      </c>
      <c r="F1948" s="4" t="s">
        <v>4316</v>
      </c>
      <c r="G1948" s="4" t="s">
        <v>12</v>
      </c>
      <c r="H1948" s="4" t="s">
        <v>4317</v>
      </c>
      <c r="I1948" s="4" t="s">
        <v>22</v>
      </c>
      <c r="J1948" s="4" t="s">
        <v>148</v>
      </c>
      <c r="K1948" s="4" t="s">
        <v>227</v>
      </c>
      <c r="M1948">
        <f t="shared" si="60"/>
        <v>772.17698756250002</v>
      </c>
    </row>
    <row r="1949" spans="1:25" ht="14" x14ac:dyDescent="0.2">
      <c r="A1949" s="4" t="s">
        <v>4318</v>
      </c>
      <c r="B1949" s="5">
        <v>17637.969375000001</v>
      </c>
      <c r="C1949" s="5">
        <f t="shared" si="61"/>
        <v>587.93231249999997</v>
      </c>
      <c r="D1949" s="4">
        <v>30</v>
      </c>
      <c r="E1949" s="5" t="s">
        <v>10</v>
      </c>
      <c r="F1949" s="4" t="s">
        <v>4319</v>
      </c>
      <c r="G1949" s="4" t="s">
        <v>12</v>
      </c>
      <c r="H1949" s="4" t="s">
        <v>4319</v>
      </c>
      <c r="I1949" s="4" t="s">
        <v>22</v>
      </c>
      <c r="J1949" s="4" t="s">
        <v>2519</v>
      </c>
      <c r="K1949" s="4" t="s">
        <v>227</v>
      </c>
      <c r="M1949">
        <f t="shared" ref="M1949:M2012" si="62">C1949-(C1949* 10%)</f>
        <v>529.13908125</v>
      </c>
    </row>
    <row r="1950" spans="1:25" ht="14" x14ac:dyDescent="0.2">
      <c r="A1950" s="4" t="s">
        <v>4320</v>
      </c>
      <c r="B1950" s="5">
        <v>21742.4025</v>
      </c>
      <c r="C1950" s="5">
        <f t="shared" si="61"/>
        <v>724.74675000000002</v>
      </c>
      <c r="D1950" s="4">
        <v>30</v>
      </c>
      <c r="E1950" s="5" t="s">
        <v>10</v>
      </c>
      <c r="F1950" s="4" t="s">
        <v>4321</v>
      </c>
      <c r="G1950" s="4" t="s">
        <v>12</v>
      </c>
      <c r="H1950" s="4" t="s">
        <v>4322</v>
      </c>
      <c r="I1950" s="4" t="s">
        <v>22</v>
      </c>
      <c r="J1950" s="4" t="s">
        <v>78</v>
      </c>
      <c r="K1950" s="4" t="s">
        <v>227</v>
      </c>
      <c r="M1950">
        <f t="shared" si="62"/>
        <v>652.27207499999997</v>
      </c>
    </row>
    <row r="1951" spans="1:25" ht="14" x14ac:dyDescent="0.2">
      <c r="A1951" s="7" t="s">
        <v>5494</v>
      </c>
      <c r="B1951" s="10">
        <v>3106.0575000000003</v>
      </c>
      <c r="C1951" s="5">
        <f t="shared" si="61"/>
        <v>110.93062500000001</v>
      </c>
      <c r="D1951" s="9">
        <v>28</v>
      </c>
      <c r="E1951" s="10" t="s">
        <v>5193</v>
      </c>
      <c r="F1951" s="7" t="s">
        <v>5495</v>
      </c>
      <c r="G1951" s="7" t="s">
        <v>12</v>
      </c>
      <c r="H1951" s="7" t="s">
        <v>5496</v>
      </c>
      <c r="I1951" s="4" t="s">
        <v>22</v>
      </c>
      <c r="J1951" s="7" t="s">
        <v>5497</v>
      </c>
      <c r="K1951" s="7" t="s">
        <v>90</v>
      </c>
      <c r="L1951" s="4"/>
      <c r="M1951">
        <f t="shared" si="62"/>
        <v>99.837562500000004</v>
      </c>
      <c r="N1951" s="3"/>
      <c r="O1951" s="3"/>
      <c r="P1951" s="3"/>
      <c r="Q1951" s="2"/>
      <c r="R1951" s="2"/>
      <c r="S1951" s="2"/>
      <c r="T1951" s="2"/>
      <c r="U1951" s="2"/>
      <c r="V1951" s="2"/>
      <c r="W1951" s="2"/>
      <c r="X1951" s="2"/>
      <c r="Y1951" s="2"/>
    </row>
    <row r="1952" spans="1:25" ht="14" x14ac:dyDescent="0.2">
      <c r="A1952" s="7" t="s">
        <v>5498</v>
      </c>
      <c r="B1952" s="10">
        <v>6205.4591625000012</v>
      </c>
      <c r="C1952" s="5">
        <f t="shared" si="61"/>
        <v>689.49546250000014</v>
      </c>
      <c r="D1952" s="9">
        <v>9</v>
      </c>
      <c r="E1952" s="10" t="s">
        <v>5189</v>
      </c>
      <c r="F1952" s="7" t="s">
        <v>5499</v>
      </c>
      <c r="H1952" s="7" t="s">
        <v>5500</v>
      </c>
      <c r="J1952" s="7" t="s">
        <v>1172</v>
      </c>
      <c r="K1952" s="7" t="s">
        <v>155</v>
      </c>
      <c r="M1952">
        <f t="shared" si="62"/>
        <v>620.54591625000012</v>
      </c>
    </row>
    <row r="1953" spans="1:25" ht="14" x14ac:dyDescent="0.2">
      <c r="A1953" s="4" t="s">
        <v>4323</v>
      </c>
      <c r="B1953" s="5">
        <v>4215.3637500000004</v>
      </c>
      <c r="C1953" s="5">
        <f t="shared" si="61"/>
        <v>4215.3637500000004</v>
      </c>
      <c r="D1953" s="4">
        <v>1</v>
      </c>
      <c r="E1953" s="5" t="s">
        <v>874</v>
      </c>
      <c r="F1953" s="4" t="s">
        <v>4323</v>
      </c>
      <c r="G1953" s="4" t="s">
        <v>20</v>
      </c>
      <c r="H1953" s="4" t="s">
        <v>4323</v>
      </c>
      <c r="I1953" s="4" t="s">
        <v>22</v>
      </c>
      <c r="J1953" s="4" t="s">
        <v>4324</v>
      </c>
      <c r="K1953" s="4" t="s">
        <v>23</v>
      </c>
      <c r="M1953">
        <f t="shared" si="62"/>
        <v>3793.8273750000003</v>
      </c>
    </row>
    <row r="1954" spans="1:25" ht="14" x14ac:dyDescent="0.2">
      <c r="A1954" s="4" t="s">
        <v>4325</v>
      </c>
      <c r="B1954" s="5">
        <v>22163.938875000003</v>
      </c>
      <c r="C1954" s="5">
        <f t="shared" si="61"/>
        <v>738.79796250000015</v>
      </c>
      <c r="D1954" s="4">
        <v>30</v>
      </c>
      <c r="E1954" s="5" t="s">
        <v>10</v>
      </c>
      <c r="F1954" s="4" t="s">
        <v>4326</v>
      </c>
      <c r="G1954" s="4" t="s">
        <v>12</v>
      </c>
      <c r="H1954" s="4" t="s">
        <v>4326</v>
      </c>
      <c r="I1954" s="4" t="s">
        <v>22</v>
      </c>
      <c r="J1954" s="4" t="s">
        <v>163</v>
      </c>
      <c r="K1954" s="4" t="s">
        <v>90</v>
      </c>
      <c r="M1954">
        <f t="shared" si="62"/>
        <v>664.91816625000013</v>
      </c>
    </row>
    <row r="1955" spans="1:25" ht="14" x14ac:dyDescent="0.2">
      <c r="A1955" s="4" t="s">
        <v>4327</v>
      </c>
      <c r="B1955" s="5">
        <v>6052.3748999999998</v>
      </c>
      <c r="C1955" s="5">
        <f t="shared" si="61"/>
        <v>216.15624642857142</v>
      </c>
      <c r="D1955" s="4">
        <v>28</v>
      </c>
      <c r="E1955" s="5" t="s">
        <v>10</v>
      </c>
      <c r="F1955" s="4" t="s">
        <v>4328</v>
      </c>
      <c r="G1955" s="4" t="s">
        <v>20</v>
      </c>
      <c r="H1955" s="4" t="s">
        <v>4328</v>
      </c>
      <c r="I1955" s="4" t="s">
        <v>22</v>
      </c>
      <c r="J1955" s="6">
        <v>1</v>
      </c>
      <c r="K1955" s="4" t="s">
        <v>312</v>
      </c>
      <c r="M1955">
        <f t="shared" si="62"/>
        <v>194.54062178571428</v>
      </c>
    </row>
    <row r="1956" spans="1:25" ht="14" x14ac:dyDescent="0.2">
      <c r="A1956" s="4" t="s">
        <v>4329</v>
      </c>
      <c r="B1956" s="5">
        <v>2755.516725</v>
      </c>
      <c r="C1956" s="5">
        <f t="shared" si="61"/>
        <v>2755.516725</v>
      </c>
      <c r="D1956" s="4">
        <v>1</v>
      </c>
      <c r="E1956" s="5" t="s">
        <v>25</v>
      </c>
      <c r="F1956" s="4" t="s">
        <v>5501</v>
      </c>
      <c r="G1956" s="4" t="s">
        <v>20</v>
      </c>
      <c r="H1956" s="4" t="s">
        <v>4329</v>
      </c>
      <c r="I1956" s="4" t="s">
        <v>22</v>
      </c>
      <c r="J1956" s="6">
        <v>1</v>
      </c>
      <c r="K1956" s="4" t="s">
        <v>219</v>
      </c>
      <c r="M1956">
        <f t="shared" si="62"/>
        <v>2479.9650524999997</v>
      </c>
    </row>
    <row r="1957" spans="1:25" ht="14" x14ac:dyDescent="0.2">
      <c r="A1957" s="4" t="s">
        <v>4330</v>
      </c>
      <c r="B1957" s="5">
        <v>24567.805518749999</v>
      </c>
      <c r="C1957" s="5">
        <f t="shared" si="61"/>
        <v>818.92685062499993</v>
      </c>
      <c r="D1957" s="4">
        <v>30</v>
      </c>
      <c r="E1957" s="5" t="s">
        <v>10</v>
      </c>
      <c r="F1957" s="4" t="s">
        <v>4331</v>
      </c>
      <c r="G1957" s="4" t="s">
        <v>12</v>
      </c>
      <c r="H1957" s="4" t="s">
        <v>4332</v>
      </c>
      <c r="I1957" s="4" t="s">
        <v>14</v>
      </c>
      <c r="J1957" s="4" t="s">
        <v>4333</v>
      </c>
      <c r="K1957" s="4" t="s">
        <v>48</v>
      </c>
      <c r="M1957">
        <f t="shared" si="62"/>
        <v>737.03416556249999</v>
      </c>
    </row>
    <row r="1958" spans="1:25" ht="14" x14ac:dyDescent="0.2">
      <c r="A1958" s="4" t="s">
        <v>4334</v>
      </c>
      <c r="B1958" s="5">
        <v>22603.224150000005</v>
      </c>
      <c r="C1958" s="5">
        <f t="shared" si="61"/>
        <v>753.44080500000018</v>
      </c>
      <c r="D1958" s="4">
        <v>30</v>
      </c>
      <c r="E1958" s="5" t="s">
        <v>10</v>
      </c>
      <c r="F1958" s="4" t="s">
        <v>4331</v>
      </c>
      <c r="G1958" s="4" t="s">
        <v>12</v>
      </c>
      <c r="H1958" s="4" t="s">
        <v>4332</v>
      </c>
      <c r="I1958" s="4" t="s">
        <v>14</v>
      </c>
      <c r="J1958" s="4" t="s">
        <v>218</v>
      </c>
      <c r="K1958" s="4" t="s">
        <v>48</v>
      </c>
      <c r="M1958">
        <f t="shared" si="62"/>
        <v>678.09672450000016</v>
      </c>
    </row>
    <row r="1959" spans="1:25" ht="14" x14ac:dyDescent="0.2">
      <c r="A1959" s="7" t="s">
        <v>5502</v>
      </c>
      <c r="B1959" s="10">
        <v>53246.700000000004</v>
      </c>
      <c r="C1959" s="5">
        <f t="shared" si="61"/>
        <v>53246.700000000004</v>
      </c>
      <c r="D1959" s="9">
        <v>1</v>
      </c>
      <c r="E1959" s="10" t="s">
        <v>5217</v>
      </c>
      <c r="F1959" s="7" t="s">
        <v>5503</v>
      </c>
      <c r="G1959" s="7" t="s">
        <v>12</v>
      </c>
      <c r="H1959" s="7" t="s">
        <v>5504</v>
      </c>
      <c r="I1959" s="4" t="s">
        <v>14</v>
      </c>
      <c r="J1959" s="7" t="s">
        <v>5505</v>
      </c>
      <c r="K1959" s="7" t="s">
        <v>244</v>
      </c>
      <c r="L1959" s="4"/>
      <c r="M1959">
        <f t="shared" si="62"/>
        <v>47922.030000000006</v>
      </c>
      <c r="N1959" s="3"/>
      <c r="O1959" s="3"/>
      <c r="P1959" s="3"/>
      <c r="Q1959" s="2"/>
      <c r="R1959" s="2"/>
      <c r="S1959" s="2"/>
      <c r="T1959" s="2"/>
      <c r="U1959" s="2"/>
      <c r="V1959" s="2"/>
      <c r="W1959" s="2"/>
      <c r="X1959" s="2"/>
      <c r="Y1959" s="2"/>
    </row>
    <row r="1960" spans="1:25" ht="14" x14ac:dyDescent="0.2">
      <c r="A1960" s="4" t="s">
        <v>4335</v>
      </c>
      <c r="B1960" s="5">
        <v>18303.553125000002</v>
      </c>
      <c r="C1960" s="5">
        <f t="shared" si="61"/>
        <v>610.11843750000003</v>
      </c>
      <c r="D1960" s="4">
        <v>30</v>
      </c>
      <c r="E1960" s="5" t="s">
        <v>10</v>
      </c>
      <c r="F1960" s="4" t="s">
        <v>4336</v>
      </c>
      <c r="G1960" s="4" t="s">
        <v>20</v>
      </c>
      <c r="H1960" s="4" t="s">
        <v>4337</v>
      </c>
      <c r="I1960" s="4" t="s">
        <v>22</v>
      </c>
      <c r="J1960" s="4" t="s">
        <v>1084</v>
      </c>
      <c r="K1960" s="4" t="s">
        <v>406</v>
      </c>
      <c r="M1960">
        <f t="shared" si="62"/>
        <v>549.10659375</v>
      </c>
    </row>
    <row r="1961" spans="1:25" ht="14" x14ac:dyDescent="0.2">
      <c r="A1961" s="4" t="s">
        <v>4338</v>
      </c>
      <c r="B1961" s="5">
        <v>6655.8375000000005</v>
      </c>
      <c r="C1961" s="5">
        <f t="shared" si="61"/>
        <v>221.86125000000001</v>
      </c>
      <c r="D1961" s="4">
        <v>30</v>
      </c>
      <c r="E1961" s="5" t="s">
        <v>10</v>
      </c>
      <c r="F1961" s="4" t="s">
        <v>4338</v>
      </c>
      <c r="G1961" s="4" t="s">
        <v>12</v>
      </c>
      <c r="H1961" s="4" t="s">
        <v>4339</v>
      </c>
      <c r="I1961" s="4" t="s">
        <v>22</v>
      </c>
      <c r="J1961" s="4" t="s">
        <v>2012</v>
      </c>
      <c r="K1961" s="4" t="s">
        <v>312</v>
      </c>
      <c r="M1961">
        <f t="shared" si="62"/>
        <v>199.67512500000001</v>
      </c>
    </row>
    <row r="1962" spans="1:25" ht="14" x14ac:dyDescent="0.2">
      <c r="A1962" s="4" t="s">
        <v>4340</v>
      </c>
      <c r="B1962" s="5">
        <v>3971.3163750000003</v>
      </c>
      <c r="C1962" s="5">
        <f t="shared" si="61"/>
        <v>141.83272767857144</v>
      </c>
      <c r="D1962" s="4">
        <v>28</v>
      </c>
      <c r="E1962" s="5" t="s">
        <v>10</v>
      </c>
      <c r="F1962" s="4" t="s">
        <v>4341</v>
      </c>
      <c r="G1962" s="4" t="s">
        <v>12</v>
      </c>
      <c r="H1962" s="4" t="s">
        <v>4341</v>
      </c>
      <c r="I1962" s="4" t="s">
        <v>22</v>
      </c>
      <c r="J1962" s="4" t="s">
        <v>146</v>
      </c>
      <c r="K1962" s="4" t="s">
        <v>312</v>
      </c>
      <c r="M1962">
        <f t="shared" si="62"/>
        <v>127.6494549107143</v>
      </c>
    </row>
    <row r="1963" spans="1:25" ht="14" x14ac:dyDescent="0.2">
      <c r="A1963" s="4" t="s">
        <v>4342</v>
      </c>
      <c r="B1963" s="5">
        <v>5213.7393750000001</v>
      </c>
      <c r="C1963" s="5">
        <f t="shared" si="61"/>
        <v>186.20497767857142</v>
      </c>
      <c r="D1963" s="4">
        <v>28</v>
      </c>
      <c r="E1963" s="5" t="s">
        <v>10</v>
      </c>
      <c r="F1963" s="4" t="s">
        <v>4341</v>
      </c>
      <c r="G1963" s="4" t="s">
        <v>12</v>
      </c>
      <c r="H1963" s="4" t="s">
        <v>4341</v>
      </c>
      <c r="I1963" s="4" t="s">
        <v>22</v>
      </c>
      <c r="J1963" s="4" t="s">
        <v>148</v>
      </c>
      <c r="K1963" s="4" t="s">
        <v>312</v>
      </c>
      <c r="M1963">
        <f t="shared" si="62"/>
        <v>167.58447991071429</v>
      </c>
    </row>
    <row r="1964" spans="1:25" ht="14" x14ac:dyDescent="0.2">
      <c r="A1964" s="4" t="s">
        <v>4343</v>
      </c>
      <c r="B1964" s="5">
        <v>5435.600625</v>
      </c>
      <c r="C1964" s="5">
        <f t="shared" si="61"/>
        <v>194.12859374999999</v>
      </c>
      <c r="D1964" s="4">
        <v>28</v>
      </c>
      <c r="E1964" s="5" t="s">
        <v>10</v>
      </c>
      <c r="F1964" s="4" t="s">
        <v>4341</v>
      </c>
      <c r="G1964" s="4" t="s">
        <v>12</v>
      </c>
      <c r="H1964" s="4" t="s">
        <v>4341</v>
      </c>
      <c r="I1964" s="4" t="s">
        <v>22</v>
      </c>
      <c r="J1964" s="4" t="s">
        <v>495</v>
      </c>
      <c r="K1964" s="4" t="s">
        <v>312</v>
      </c>
      <c r="M1964">
        <f t="shared" si="62"/>
        <v>174.71573437499998</v>
      </c>
    </row>
    <row r="1965" spans="1:25" ht="14" x14ac:dyDescent="0.2">
      <c r="A1965" s="4" t="s">
        <v>4344</v>
      </c>
      <c r="B1965" s="5">
        <v>23397.487425000003</v>
      </c>
      <c r="C1965" s="5">
        <f t="shared" si="61"/>
        <v>779.91624750000005</v>
      </c>
      <c r="D1965" s="4">
        <v>30</v>
      </c>
      <c r="E1965" s="5" t="s">
        <v>10</v>
      </c>
      <c r="F1965" s="4" t="s">
        <v>4345</v>
      </c>
      <c r="G1965" s="4" t="s">
        <v>12</v>
      </c>
      <c r="H1965" s="4" t="s">
        <v>4346</v>
      </c>
      <c r="I1965" s="4" t="s">
        <v>14</v>
      </c>
      <c r="J1965" s="4" t="s">
        <v>4347</v>
      </c>
      <c r="K1965" s="4" t="s">
        <v>227</v>
      </c>
      <c r="M1965">
        <f t="shared" si="62"/>
        <v>701.92462275000003</v>
      </c>
    </row>
    <row r="1966" spans="1:25" ht="14" x14ac:dyDescent="0.2">
      <c r="A1966" s="4" t="s">
        <v>4348</v>
      </c>
      <c r="B1966" s="5">
        <v>6960.8967187500002</v>
      </c>
      <c r="C1966" s="5">
        <f t="shared" si="61"/>
        <v>248.60345424107143</v>
      </c>
      <c r="D1966" s="4">
        <v>28</v>
      </c>
      <c r="E1966" s="5" t="s">
        <v>10</v>
      </c>
      <c r="F1966" s="4" t="s">
        <v>4349</v>
      </c>
      <c r="G1966" s="4" t="s">
        <v>20</v>
      </c>
      <c r="H1966" s="4" t="s">
        <v>4350</v>
      </c>
      <c r="I1966" s="4" t="s">
        <v>22</v>
      </c>
      <c r="J1966" s="4" t="s">
        <v>200</v>
      </c>
      <c r="K1966" s="4" t="s">
        <v>179</v>
      </c>
      <c r="M1966">
        <f t="shared" si="62"/>
        <v>223.74310881696428</v>
      </c>
    </row>
    <row r="1967" spans="1:25" ht="14" x14ac:dyDescent="0.2">
      <c r="A1967" s="4" t="s">
        <v>4351</v>
      </c>
      <c r="B1967" s="5">
        <v>2038.9048875000001</v>
      </c>
      <c r="C1967" s="5">
        <f t="shared" si="61"/>
        <v>2038.9048875000001</v>
      </c>
      <c r="D1967" s="4">
        <v>1</v>
      </c>
      <c r="E1967" s="5" t="s">
        <v>59</v>
      </c>
      <c r="F1967" s="4" t="s">
        <v>4352</v>
      </c>
      <c r="G1967" s="4" t="s">
        <v>20</v>
      </c>
      <c r="H1967" s="4" t="s">
        <v>4353</v>
      </c>
      <c r="I1967" s="4" t="s">
        <v>22</v>
      </c>
      <c r="J1967" s="4" t="s">
        <v>4354</v>
      </c>
      <c r="K1967" s="4" t="s">
        <v>118</v>
      </c>
      <c r="M1967">
        <f t="shared" si="62"/>
        <v>1835.0143987500001</v>
      </c>
    </row>
    <row r="1968" spans="1:25" ht="14" x14ac:dyDescent="0.2">
      <c r="A1968" s="4" t="s">
        <v>4355</v>
      </c>
      <c r="B1968" s="5">
        <v>3347.8862625000002</v>
      </c>
      <c r="C1968" s="5">
        <f t="shared" si="61"/>
        <v>3347.8862625000002</v>
      </c>
      <c r="D1968" s="4">
        <v>1</v>
      </c>
      <c r="E1968" s="5" t="s">
        <v>10</v>
      </c>
      <c r="F1968" s="4" t="s">
        <v>4356</v>
      </c>
      <c r="G1968" s="4" t="s">
        <v>20</v>
      </c>
      <c r="H1968" s="4" t="s">
        <v>4353</v>
      </c>
      <c r="I1968" s="4" t="s">
        <v>22</v>
      </c>
      <c r="J1968" s="4" t="s">
        <v>4357</v>
      </c>
      <c r="K1968" s="4" t="s">
        <v>118</v>
      </c>
      <c r="M1968">
        <f t="shared" si="62"/>
        <v>3013.0976362500001</v>
      </c>
    </row>
    <row r="1969" spans="1:25" ht="14" x14ac:dyDescent="0.2">
      <c r="A1969" s="4" t="s">
        <v>4358</v>
      </c>
      <c r="B1969" s="5">
        <v>1138.1482125000002</v>
      </c>
      <c r="C1969" s="5">
        <f t="shared" si="61"/>
        <v>113.81482125000002</v>
      </c>
      <c r="D1969" s="4">
        <v>10</v>
      </c>
      <c r="E1969" s="5" t="s">
        <v>10</v>
      </c>
      <c r="F1969" s="4" t="s">
        <v>1110</v>
      </c>
      <c r="G1969" s="4" t="s">
        <v>20</v>
      </c>
      <c r="H1969" s="4" t="s">
        <v>4359</v>
      </c>
      <c r="I1969" s="4" t="s">
        <v>22</v>
      </c>
      <c r="J1969" s="4" t="s">
        <v>207</v>
      </c>
      <c r="K1969" s="4" t="s">
        <v>53</v>
      </c>
      <c r="M1969">
        <f t="shared" si="62"/>
        <v>102.43333912500002</v>
      </c>
    </row>
    <row r="1970" spans="1:25" ht="14" x14ac:dyDescent="0.2">
      <c r="A1970" s="4" t="s">
        <v>4360</v>
      </c>
      <c r="B1970" s="5">
        <v>1916.8812000000003</v>
      </c>
      <c r="C1970" s="5">
        <f t="shared" si="61"/>
        <v>136.92008571428573</v>
      </c>
      <c r="D1970" s="4">
        <v>14</v>
      </c>
      <c r="E1970" s="5" t="s">
        <v>10</v>
      </c>
      <c r="F1970" s="4" t="s">
        <v>1110</v>
      </c>
      <c r="G1970" s="4" t="s">
        <v>20</v>
      </c>
      <c r="H1970" s="4" t="s">
        <v>4359</v>
      </c>
      <c r="I1970" s="4" t="s">
        <v>22</v>
      </c>
      <c r="J1970" s="4" t="s">
        <v>207</v>
      </c>
      <c r="K1970" s="4" t="s">
        <v>53</v>
      </c>
      <c r="M1970">
        <f t="shared" si="62"/>
        <v>123.22807714285716</v>
      </c>
    </row>
    <row r="1971" spans="1:25" ht="14" x14ac:dyDescent="0.2">
      <c r="A1971" s="4" t="s">
        <v>4361</v>
      </c>
      <c r="B1971" s="5">
        <v>9983.7562500000004</v>
      </c>
      <c r="C1971" s="5">
        <f t="shared" si="61"/>
        <v>499.18781250000001</v>
      </c>
      <c r="D1971" s="4">
        <v>20</v>
      </c>
      <c r="E1971" s="5" t="s">
        <v>10</v>
      </c>
      <c r="F1971" s="4" t="s">
        <v>4362</v>
      </c>
      <c r="G1971" s="4" t="s">
        <v>20</v>
      </c>
      <c r="H1971" s="4" t="s">
        <v>4363</v>
      </c>
      <c r="I1971" s="4" t="s">
        <v>22</v>
      </c>
      <c r="J1971" s="4" t="s">
        <v>273</v>
      </c>
      <c r="K1971" s="4" t="s">
        <v>87</v>
      </c>
      <c r="M1971">
        <f t="shared" si="62"/>
        <v>449.26903125000001</v>
      </c>
    </row>
    <row r="1972" spans="1:25" ht="14" x14ac:dyDescent="0.2">
      <c r="A1972" s="4" t="s">
        <v>4364</v>
      </c>
      <c r="B1972" s="5">
        <v>14420.981250000001</v>
      </c>
      <c r="C1972" s="5">
        <f t="shared" si="61"/>
        <v>721.04906249999999</v>
      </c>
      <c r="D1972" s="4">
        <v>20</v>
      </c>
      <c r="E1972" s="5" t="s">
        <v>10</v>
      </c>
      <c r="F1972" s="4" t="s">
        <v>4362</v>
      </c>
      <c r="G1972" s="4" t="s">
        <v>20</v>
      </c>
      <c r="H1972" s="4" t="s">
        <v>4363</v>
      </c>
      <c r="I1972" s="4" t="s">
        <v>22</v>
      </c>
      <c r="J1972" s="4" t="s">
        <v>198</v>
      </c>
      <c r="K1972" s="4" t="s">
        <v>87</v>
      </c>
      <c r="M1972">
        <f t="shared" si="62"/>
        <v>648.94415624999999</v>
      </c>
    </row>
    <row r="1973" spans="1:25" ht="14" x14ac:dyDescent="0.2">
      <c r="A1973" s="4" t="s">
        <v>4365</v>
      </c>
      <c r="B1973" s="5">
        <v>26956.141875000001</v>
      </c>
      <c r="C1973" s="5">
        <f t="shared" si="61"/>
        <v>449.26903125000001</v>
      </c>
      <c r="D1973" s="4">
        <v>60</v>
      </c>
      <c r="E1973" s="5" t="s">
        <v>10</v>
      </c>
      <c r="F1973" s="4" t="s">
        <v>4366</v>
      </c>
      <c r="G1973" s="4" t="s">
        <v>12</v>
      </c>
      <c r="H1973" s="4" t="s">
        <v>4366</v>
      </c>
      <c r="I1973" s="4" t="s">
        <v>14</v>
      </c>
      <c r="J1973" s="4" t="s">
        <v>4367</v>
      </c>
      <c r="K1973" s="4" t="s">
        <v>16</v>
      </c>
      <c r="M1973">
        <f t="shared" si="62"/>
        <v>404.34212812499999</v>
      </c>
    </row>
    <row r="1974" spans="1:25" ht="14" x14ac:dyDescent="0.2">
      <c r="A1974" s="4" t="s">
        <v>4368</v>
      </c>
      <c r="B1974" s="5">
        <v>2329.5431250000001</v>
      </c>
      <c r="C1974" s="5">
        <f t="shared" si="61"/>
        <v>2329.5431250000001</v>
      </c>
      <c r="D1974" s="4">
        <v>1</v>
      </c>
      <c r="E1974" s="5" t="s">
        <v>55</v>
      </c>
      <c r="F1974" s="4" t="s">
        <v>4369</v>
      </c>
      <c r="G1974" s="4" t="s">
        <v>20</v>
      </c>
      <c r="H1974" s="4" t="s">
        <v>4370</v>
      </c>
      <c r="I1974" s="4" t="s">
        <v>22</v>
      </c>
      <c r="K1974" s="4" t="s">
        <v>53</v>
      </c>
      <c r="M1974">
        <f t="shared" si="62"/>
        <v>2096.5888125000001</v>
      </c>
    </row>
    <row r="1975" spans="1:25" ht="14" x14ac:dyDescent="0.2">
      <c r="A1975" s="4" t="s">
        <v>4371</v>
      </c>
      <c r="B1975" s="5">
        <v>2056.2750000000001</v>
      </c>
      <c r="C1975" s="5">
        <f t="shared" si="61"/>
        <v>2056.2750000000001</v>
      </c>
      <c r="D1975" s="4">
        <v>1</v>
      </c>
      <c r="E1975" s="5" t="s">
        <v>55</v>
      </c>
      <c r="F1975" s="4" t="s">
        <v>4372</v>
      </c>
      <c r="G1975" s="4" t="s">
        <v>20</v>
      </c>
      <c r="H1975" s="4" t="s">
        <v>4373</v>
      </c>
      <c r="I1975" s="4" t="s">
        <v>22</v>
      </c>
      <c r="J1975" s="4" t="s">
        <v>146</v>
      </c>
      <c r="K1975" s="4" t="s">
        <v>103</v>
      </c>
      <c r="M1975">
        <f t="shared" si="62"/>
        <v>1850.6475</v>
      </c>
    </row>
    <row r="1976" spans="1:25" ht="14" x14ac:dyDescent="0.2">
      <c r="A1976" s="4" t="s">
        <v>4374</v>
      </c>
      <c r="B1976" s="5">
        <v>20949.248531250003</v>
      </c>
      <c r="C1976" s="5">
        <f t="shared" si="61"/>
        <v>209.49248531250004</v>
      </c>
      <c r="D1976" s="4">
        <v>100</v>
      </c>
      <c r="E1976" s="5" t="s">
        <v>10</v>
      </c>
      <c r="F1976" s="4" t="s">
        <v>4375</v>
      </c>
      <c r="G1976" s="4" t="s">
        <v>12</v>
      </c>
      <c r="H1976" s="4" t="s">
        <v>4376</v>
      </c>
      <c r="I1976" s="4" t="s">
        <v>22</v>
      </c>
      <c r="J1976" s="4" t="s">
        <v>679</v>
      </c>
      <c r="K1976" s="4" t="s">
        <v>34</v>
      </c>
      <c r="M1976">
        <f t="shared" si="62"/>
        <v>188.54323678125002</v>
      </c>
    </row>
    <row r="1977" spans="1:25" ht="14" x14ac:dyDescent="0.2">
      <c r="A1977" s="4" t="s">
        <v>4377</v>
      </c>
      <c r="B1977" s="5">
        <v>4459.4111250000005</v>
      </c>
      <c r="C1977" s="5">
        <f t="shared" si="61"/>
        <v>445.94111250000003</v>
      </c>
      <c r="D1977" s="4">
        <v>10</v>
      </c>
      <c r="E1977" s="5" t="s">
        <v>10</v>
      </c>
      <c r="F1977" s="4" t="s">
        <v>4375</v>
      </c>
      <c r="G1977" s="4" t="s">
        <v>12</v>
      </c>
      <c r="H1977" s="4" t="s">
        <v>4376</v>
      </c>
      <c r="I1977" s="4" t="s">
        <v>22</v>
      </c>
      <c r="J1977" s="4" t="s">
        <v>679</v>
      </c>
      <c r="K1977" s="4" t="s">
        <v>34</v>
      </c>
      <c r="M1977">
        <f t="shared" si="62"/>
        <v>401.34700125000001</v>
      </c>
    </row>
    <row r="1978" spans="1:25" ht="14" x14ac:dyDescent="0.2">
      <c r="A1978" s="4" t="s">
        <v>4378</v>
      </c>
      <c r="B1978" s="5">
        <v>1904.67883125</v>
      </c>
      <c r="C1978" s="5">
        <f t="shared" si="61"/>
        <v>1904.67883125</v>
      </c>
      <c r="D1978" s="4">
        <v>1</v>
      </c>
      <c r="E1978" s="5" t="s">
        <v>10</v>
      </c>
      <c r="F1978" s="4" t="s">
        <v>1745</v>
      </c>
      <c r="G1978" s="4" t="s">
        <v>20</v>
      </c>
      <c r="H1978" s="4" t="s">
        <v>4379</v>
      </c>
      <c r="I1978" s="4" t="s">
        <v>22</v>
      </c>
      <c r="J1978" s="4" t="s">
        <v>95</v>
      </c>
      <c r="K1978" s="4" t="s">
        <v>53</v>
      </c>
      <c r="M1978">
        <f t="shared" si="62"/>
        <v>1714.210948125</v>
      </c>
    </row>
    <row r="1979" spans="1:25" ht="14" x14ac:dyDescent="0.2">
      <c r="A1979" s="4" t="s">
        <v>4380</v>
      </c>
      <c r="B1979" s="5">
        <v>3822.6693375000004</v>
      </c>
      <c r="C1979" s="5">
        <f t="shared" si="61"/>
        <v>3822.6693375000004</v>
      </c>
      <c r="D1979" s="4">
        <v>1</v>
      </c>
      <c r="E1979" s="5" t="s">
        <v>175</v>
      </c>
      <c r="F1979" s="4" t="s">
        <v>4381</v>
      </c>
      <c r="G1979" s="4" t="s">
        <v>20</v>
      </c>
      <c r="H1979" s="4" t="s">
        <v>4382</v>
      </c>
      <c r="I1979" s="4" t="s">
        <v>22</v>
      </c>
      <c r="J1979" s="4" t="s">
        <v>25</v>
      </c>
      <c r="K1979" s="4" t="s">
        <v>179</v>
      </c>
      <c r="M1979">
        <f t="shared" si="62"/>
        <v>3440.4024037500003</v>
      </c>
    </row>
    <row r="1980" spans="1:25" ht="14" x14ac:dyDescent="0.2">
      <c r="A1980" s="4" t="s">
        <v>4383</v>
      </c>
      <c r="B1980" s="5">
        <v>33545.421000000002</v>
      </c>
      <c r="C1980" s="5">
        <f t="shared" si="61"/>
        <v>1118.1807000000001</v>
      </c>
      <c r="D1980" s="4">
        <v>30</v>
      </c>
      <c r="E1980" s="5" t="s">
        <v>10</v>
      </c>
      <c r="F1980" s="4" t="s">
        <v>4384</v>
      </c>
      <c r="G1980" s="4" t="s">
        <v>20</v>
      </c>
      <c r="H1980" s="4" t="s">
        <v>4384</v>
      </c>
      <c r="I1980" s="4" t="s">
        <v>22</v>
      </c>
      <c r="J1980" s="4" t="s">
        <v>293</v>
      </c>
      <c r="K1980" s="7" t="s">
        <v>406</v>
      </c>
      <c r="M1980">
        <f t="shared" si="62"/>
        <v>1006.3626300000001</v>
      </c>
    </row>
    <row r="1981" spans="1:25" ht="14" x14ac:dyDescent="0.2">
      <c r="A1981" s="7" t="s">
        <v>5506</v>
      </c>
      <c r="B1981" s="10">
        <v>14010.537937500001</v>
      </c>
      <c r="C1981" s="5">
        <f t="shared" si="61"/>
        <v>700.52689687500003</v>
      </c>
      <c r="D1981" s="9">
        <v>20</v>
      </c>
      <c r="E1981" s="10" t="s">
        <v>5193</v>
      </c>
      <c r="F1981" s="7" t="s">
        <v>4384</v>
      </c>
      <c r="G1981" s="7" t="s">
        <v>20</v>
      </c>
      <c r="H1981" s="7" t="s">
        <v>4384</v>
      </c>
      <c r="I1981" s="4" t="s">
        <v>22</v>
      </c>
      <c r="J1981" s="7" t="s">
        <v>1208</v>
      </c>
      <c r="K1981" s="7" t="s">
        <v>406</v>
      </c>
      <c r="L1981" s="4"/>
      <c r="M1981">
        <f t="shared" si="62"/>
        <v>630.47420718750004</v>
      </c>
      <c r="N1981" s="3"/>
      <c r="O1981" s="3"/>
      <c r="P1981" s="3"/>
      <c r="Q1981" s="2"/>
      <c r="R1981" s="2"/>
      <c r="S1981" s="2"/>
      <c r="T1981" s="2"/>
      <c r="U1981" s="2"/>
      <c r="V1981" s="2"/>
      <c r="W1981" s="2"/>
      <c r="X1981" s="2"/>
      <c r="Y1981" s="2"/>
    </row>
    <row r="1982" spans="1:25" ht="14" x14ac:dyDescent="0.2">
      <c r="A1982" s="4" t="s">
        <v>4385</v>
      </c>
      <c r="B1982" s="5">
        <v>5124.9948750000003</v>
      </c>
      <c r="C1982" s="5">
        <f t="shared" si="61"/>
        <v>5124.9948750000003</v>
      </c>
      <c r="D1982" s="4">
        <v>1</v>
      </c>
      <c r="E1982" s="5" t="s">
        <v>4278</v>
      </c>
      <c r="F1982" s="4" t="s">
        <v>4386</v>
      </c>
      <c r="G1982" s="4" t="s">
        <v>20</v>
      </c>
      <c r="H1982" s="4" t="s">
        <v>4386</v>
      </c>
      <c r="I1982" s="4" t="s">
        <v>22</v>
      </c>
      <c r="J1982" s="8">
        <v>8.9999999999999993E-3</v>
      </c>
      <c r="K1982" s="4" t="s">
        <v>118</v>
      </c>
      <c r="M1982">
        <f t="shared" si="62"/>
        <v>4612.4953875000001</v>
      </c>
    </row>
    <row r="1983" spans="1:25" ht="14" x14ac:dyDescent="0.2">
      <c r="A1983" s="4" t="s">
        <v>4387</v>
      </c>
      <c r="B1983" s="5">
        <v>4677.9444562500003</v>
      </c>
      <c r="C1983" s="5">
        <f t="shared" si="61"/>
        <v>4677.9444562500003</v>
      </c>
      <c r="D1983" s="4">
        <v>1</v>
      </c>
      <c r="E1983" s="5" t="s">
        <v>175</v>
      </c>
      <c r="F1983" s="4" t="s">
        <v>4381</v>
      </c>
      <c r="G1983" s="4" t="s">
        <v>20</v>
      </c>
      <c r="H1983" s="4" t="s">
        <v>4381</v>
      </c>
      <c r="I1983" s="4" t="s">
        <v>22</v>
      </c>
      <c r="J1983" s="4" t="s">
        <v>25</v>
      </c>
      <c r="K1983" s="4" t="s">
        <v>179</v>
      </c>
      <c r="M1983">
        <f t="shared" si="62"/>
        <v>4210.1500106250005</v>
      </c>
    </row>
    <row r="1984" spans="1:25" ht="14" x14ac:dyDescent="0.2">
      <c r="A1984" s="4" t="s">
        <v>4388</v>
      </c>
      <c r="B1984" s="5">
        <v>73901.982375000007</v>
      </c>
      <c r="C1984" s="5">
        <f t="shared" si="61"/>
        <v>739.01982375000011</v>
      </c>
      <c r="D1984" s="4">
        <v>100</v>
      </c>
      <c r="E1984" s="5" t="s">
        <v>10</v>
      </c>
      <c r="F1984" s="4" t="s">
        <v>4389</v>
      </c>
      <c r="G1984" s="4" t="s">
        <v>12</v>
      </c>
      <c r="H1984" s="4" t="s">
        <v>4390</v>
      </c>
      <c r="I1984" s="4" t="s">
        <v>22</v>
      </c>
      <c r="J1984" s="4" t="s">
        <v>207</v>
      </c>
      <c r="K1984" s="4" t="s">
        <v>227</v>
      </c>
      <c r="M1984">
        <f t="shared" si="62"/>
        <v>665.11784137500013</v>
      </c>
    </row>
    <row r="1985" spans="1:13" ht="14" x14ac:dyDescent="0.2">
      <c r="A1985" s="4" t="s">
        <v>4391</v>
      </c>
      <c r="B1985" s="5">
        <v>32979.674812500001</v>
      </c>
      <c r="C1985" s="5">
        <f t="shared" si="61"/>
        <v>1099.3224937500001</v>
      </c>
      <c r="D1985" s="4">
        <v>30</v>
      </c>
      <c r="E1985" s="5" t="s">
        <v>957</v>
      </c>
      <c r="F1985" s="4" t="s">
        <v>4391</v>
      </c>
      <c r="G1985" s="4" t="s">
        <v>12</v>
      </c>
      <c r="H1985" s="4" t="s">
        <v>4392</v>
      </c>
      <c r="I1985" s="4" t="s">
        <v>14</v>
      </c>
      <c r="J1985" s="4" t="s">
        <v>1208</v>
      </c>
      <c r="K1985" s="4" t="s">
        <v>227</v>
      </c>
      <c r="M1985">
        <f t="shared" si="62"/>
        <v>989.39024437500007</v>
      </c>
    </row>
    <row r="1986" spans="1:13" ht="14" x14ac:dyDescent="0.2">
      <c r="A1986" s="7" t="s">
        <v>5507</v>
      </c>
      <c r="B1986" s="10">
        <v>10649.34</v>
      </c>
      <c r="C1986" s="5">
        <f t="shared" si="61"/>
        <v>3549.78</v>
      </c>
      <c r="D1986" s="9">
        <v>3</v>
      </c>
      <c r="E1986" s="10" t="s">
        <v>25</v>
      </c>
      <c r="F1986" s="7" t="s">
        <v>5508</v>
      </c>
      <c r="H1986" s="7" t="s">
        <v>5508</v>
      </c>
      <c r="J1986" s="7" t="s">
        <v>5509</v>
      </c>
      <c r="K1986" s="7" t="s">
        <v>417</v>
      </c>
      <c r="M1986">
        <f t="shared" si="62"/>
        <v>3194.8020000000001</v>
      </c>
    </row>
    <row r="1987" spans="1:13" ht="14" x14ac:dyDescent="0.2">
      <c r="A1987" s="4" t="s">
        <v>4393</v>
      </c>
      <c r="B1987" s="5">
        <v>12399.8252625</v>
      </c>
      <c r="C1987" s="5">
        <f t="shared" ref="C1987:C2050" si="63">(B1987/D1987)</f>
        <v>1239.9825262500001</v>
      </c>
      <c r="D1987" s="4">
        <v>10</v>
      </c>
      <c r="E1987" s="5" t="s">
        <v>10</v>
      </c>
      <c r="F1987" s="4" t="s">
        <v>4394</v>
      </c>
      <c r="G1987" s="4" t="s">
        <v>12</v>
      </c>
      <c r="H1987" s="4" t="s">
        <v>4395</v>
      </c>
      <c r="I1987" s="4" t="s">
        <v>22</v>
      </c>
      <c r="J1987" s="4" t="s">
        <v>200</v>
      </c>
      <c r="K1987" s="4" t="s">
        <v>227</v>
      </c>
      <c r="M1987">
        <f t="shared" si="62"/>
        <v>1115.984273625</v>
      </c>
    </row>
    <row r="1988" spans="1:13" ht="14" x14ac:dyDescent="0.2">
      <c r="A1988" s="4" t="s">
        <v>4396</v>
      </c>
      <c r="B1988" s="5">
        <v>2136.5238375000004</v>
      </c>
      <c r="C1988" s="5">
        <f t="shared" si="63"/>
        <v>152.60884553571432</v>
      </c>
      <c r="D1988" s="4">
        <v>14</v>
      </c>
      <c r="E1988" s="5" t="s">
        <v>30</v>
      </c>
      <c r="F1988" s="4" t="s">
        <v>2355</v>
      </c>
      <c r="G1988" s="4" t="s">
        <v>12</v>
      </c>
      <c r="H1988" s="4" t="s">
        <v>4397</v>
      </c>
      <c r="I1988" s="4" t="s">
        <v>22</v>
      </c>
      <c r="J1988" s="4" t="s">
        <v>2012</v>
      </c>
      <c r="K1988" s="4" t="s">
        <v>748</v>
      </c>
      <c r="M1988">
        <f t="shared" si="62"/>
        <v>137.34796098214289</v>
      </c>
    </row>
    <row r="1989" spans="1:13" ht="14" x14ac:dyDescent="0.2">
      <c r="A1989" s="4" t="s">
        <v>4398</v>
      </c>
      <c r="B1989" s="5">
        <v>2888.6334750000001</v>
      </c>
      <c r="C1989" s="5">
        <f t="shared" si="63"/>
        <v>2888.6334750000001</v>
      </c>
      <c r="D1989" s="4">
        <v>1</v>
      </c>
      <c r="E1989" s="5" t="s">
        <v>59</v>
      </c>
      <c r="F1989" s="4" t="s">
        <v>4399</v>
      </c>
      <c r="G1989" s="4" t="s">
        <v>20</v>
      </c>
      <c r="H1989" s="4" t="s">
        <v>4398</v>
      </c>
      <c r="I1989" s="4" t="s">
        <v>22</v>
      </c>
      <c r="J1989" s="4" t="s">
        <v>25</v>
      </c>
      <c r="K1989" s="4" t="s">
        <v>34</v>
      </c>
      <c r="M1989">
        <f t="shared" si="62"/>
        <v>2599.7701274999999</v>
      </c>
    </row>
    <row r="1990" spans="1:13" ht="14" x14ac:dyDescent="0.2">
      <c r="A1990" s="4" t="s">
        <v>4400</v>
      </c>
      <c r="B1990" s="5">
        <v>2773.2656250000005</v>
      </c>
      <c r="C1990" s="5">
        <f t="shared" si="63"/>
        <v>92.442187500000017</v>
      </c>
      <c r="D1990" s="4">
        <v>30</v>
      </c>
      <c r="E1990" s="5" t="s">
        <v>10</v>
      </c>
      <c r="F1990" s="4" t="s">
        <v>4401</v>
      </c>
      <c r="G1990" s="4" t="s">
        <v>20</v>
      </c>
      <c r="H1990" s="4" t="s">
        <v>4402</v>
      </c>
      <c r="I1990" s="4" t="s">
        <v>22</v>
      </c>
      <c r="J1990" s="4" t="s">
        <v>25</v>
      </c>
      <c r="K1990" s="4" t="s">
        <v>34</v>
      </c>
      <c r="M1990">
        <f t="shared" si="62"/>
        <v>83.197968750000015</v>
      </c>
    </row>
    <row r="1991" spans="1:13" ht="14" x14ac:dyDescent="0.2">
      <c r="A1991" s="4" t="s">
        <v>4403</v>
      </c>
      <c r="B1991" s="5">
        <v>6740.1447749999998</v>
      </c>
      <c r="C1991" s="5">
        <f t="shared" si="63"/>
        <v>210.62952421874999</v>
      </c>
      <c r="D1991" s="4">
        <v>32</v>
      </c>
      <c r="E1991" s="5" t="s">
        <v>10</v>
      </c>
      <c r="F1991" s="4" t="s">
        <v>4404</v>
      </c>
      <c r="G1991" s="4" t="s">
        <v>20</v>
      </c>
      <c r="H1991" s="4" t="s">
        <v>4405</v>
      </c>
      <c r="I1991" s="4" t="s">
        <v>22</v>
      </c>
      <c r="J1991" s="4" t="s">
        <v>4406</v>
      </c>
      <c r="K1991" s="4" t="s">
        <v>87</v>
      </c>
      <c r="M1991">
        <f t="shared" si="62"/>
        <v>189.566571796875</v>
      </c>
    </row>
    <row r="1992" spans="1:13" ht="14" x14ac:dyDescent="0.2">
      <c r="A1992" s="4" t="s">
        <v>4407</v>
      </c>
      <c r="B1992" s="5">
        <v>1237.9857750000001</v>
      </c>
      <c r="C1992" s="5">
        <f t="shared" si="63"/>
        <v>1237.9857750000001</v>
      </c>
      <c r="D1992" s="4">
        <v>1</v>
      </c>
      <c r="E1992" s="5" t="s">
        <v>202</v>
      </c>
      <c r="F1992" s="4" t="s">
        <v>4407</v>
      </c>
      <c r="G1992" s="4" t="s">
        <v>20</v>
      </c>
      <c r="H1992" s="4" t="s">
        <v>4407</v>
      </c>
      <c r="I1992" s="4" t="s">
        <v>22</v>
      </c>
      <c r="J1992" s="4" t="s">
        <v>25</v>
      </c>
      <c r="K1992" s="4" t="s">
        <v>219</v>
      </c>
      <c r="M1992">
        <f t="shared" si="62"/>
        <v>1114.1871975000001</v>
      </c>
    </row>
    <row r="1993" spans="1:13" ht="14" x14ac:dyDescent="0.2">
      <c r="A1993" s="4" t="s">
        <v>4408</v>
      </c>
      <c r="B1993" s="5">
        <v>8211.0848624999999</v>
      </c>
      <c r="C1993" s="5">
        <f t="shared" si="63"/>
        <v>8211.0848624999999</v>
      </c>
      <c r="D1993" s="4">
        <v>1</v>
      </c>
      <c r="E1993" s="5" t="s">
        <v>25</v>
      </c>
      <c r="F1993" s="4" t="s">
        <v>4409</v>
      </c>
      <c r="G1993" s="4" t="s">
        <v>12</v>
      </c>
      <c r="H1993" s="4" t="s">
        <v>4408</v>
      </c>
      <c r="I1993" s="4" t="s">
        <v>22</v>
      </c>
      <c r="J1993" s="4" t="s">
        <v>25</v>
      </c>
      <c r="K1993" s="4" t="s">
        <v>155</v>
      </c>
      <c r="M1993">
        <f t="shared" si="62"/>
        <v>7389.9763762499997</v>
      </c>
    </row>
    <row r="1994" spans="1:13" ht="14" x14ac:dyDescent="0.2">
      <c r="A1994" s="4" t="s">
        <v>4410</v>
      </c>
      <c r="B1994" s="5">
        <v>8319.796875</v>
      </c>
      <c r="C1994" s="5">
        <f t="shared" si="63"/>
        <v>1386.6328125</v>
      </c>
      <c r="D1994" s="4">
        <v>6</v>
      </c>
      <c r="E1994" s="5" t="s">
        <v>10</v>
      </c>
      <c r="F1994" s="4" t="s">
        <v>4411</v>
      </c>
      <c r="G1994" s="4" t="s">
        <v>20</v>
      </c>
      <c r="H1994" s="4" t="s">
        <v>4412</v>
      </c>
      <c r="I1994" s="4" t="s">
        <v>22</v>
      </c>
      <c r="J1994" s="4" t="s">
        <v>95</v>
      </c>
      <c r="K1994" s="4" t="s">
        <v>53</v>
      </c>
      <c r="M1994">
        <f t="shared" si="62"/>
        <v>1247.96953125</v>
      </c>
    </row>
    <row r="1995" spans="1:13" ht="14" x14ac:dyDescent="0.2">
      <c r="A1995" s="4" t="s">
        <v>4413</v>
      </c>
      <c r="B1995" s="5">
        <v>4659.0862500000003</v>
      </c>
      <c r="C1995" s="5">
        <f t="shared" si="63"/>
        <v>4659.0862500000003</v>
      </c>
      <c r="D1995" s="4">
        <v>1</v>
      </c>
      <c r="E1995" s="5" t="s">
        <v>59</v>
      </c>
      <c r="F1995" s="4" t="s">
        <v>4414</v>
      </c>
      <c r="G1995" s="4" t="s">
        <v>20</v>
      </c>
      <c r="H1995" s="4" t="s">
        <v>4413</v>
      </c>
      <c r="I1995" s="4" t="s">
        <v>22</v>
      </c>
      <c r="J1995" s="4" t="s">
        <v>1215</v>
      </c>
      <c r="K1995" s="4" t="s">
        <v>244</v>
      </c>
      <c r="M1995">
        <f t="shared" si="62"/>
        <v>4193.1776250000003</v>
      </c>
    </row>
    <row r="1996" spans="1:13" ht="14" x14ac:dyDescent="0.2">
      <c r="A1996" s="4" t="s">
        <v>4415</v>
      </c>
      <c r="B1996" s="5">
        <v>158586.4215</v>
      </c>
      <c r="C1996" s="5">
        <f t="shared" si="63"/>
        <v>158586.4215</v>
      </c>
      <c r="D1996" s="4">
        <v>1</v>
      </c>
      <c r="E1996" s="5" t="s">
        <v>170</v>
      </c>
      <c r="F1996" s="4" t="s">
        <v>4416</v>
      </c>
      <c r="G1996" s="4" t="s">
        <v>12</v>
      </c>
      <c r="H1996" s="4" t="s">
        <v>4415</v>
      </c>
      <c r="I1996" s="4" t="s">
        <v>14</v>
      </c>
      <c r="J1996" s="4" t="s">
        <v>25</v>
      </c>
      <c r="K1996" s="4" t="s">
        <v>74</v>
      </c>
      <c r="M1996">
        <f t="shared" si="62"/>
        <v>142727.77935</v>
      </c>
    </row>
    <row r="1997" spans="1:13" ht="14" x14ac:dyDescent="0.2">
      <c r="A1997" s="4" t="s">
        <v>4417</v>
      </c>
      <c r="B1997" s="5">
        <v>157743.34875</v>
      </c>
      <c r="C1997" s="5">
        <f t="shared" si="63"/>
        <v>157743.34875</v>
      </c>
      <c r="D1997" s="4">
        <v>1</v>
      </c>
      <c r="E1997" s="5" t="s">
        <v>170</v>
      </c>
      <c r="F1997" s="4" t="s">
        <v>4416</v>
      </c>
      <c r="G1997" s="4" t="s">
        <v>12</v>
      </c>
      <c r="H1997" s="4" t="s">
        <v>4417</v>
      </c>
      <c r="I1997" s="4" t="s">
        <v>14</v>
      </c>
      <c r="J1997" s="4" t="s">
        <v>25</v>
      </c>
      <c r="K1997" s="4" t="s">
        <v>74</v>
      </c>
      <c r="M1997">
        <f t="shared" si="62"/>
        <v>141969.013875</v>
      </c>
    </row>
    <row r="1998" spans="1:13" ht="14" x14ac:dyDescent="0.2">
      <c r="A1998" s="4" t="s">
        <v>4418</v>
      </c>
      <c r="B1998" s="5">
        <v>3955.7860875000006</v>
      </c>
      <c r="C1998" s="5">
        <f t="shared" si="63"/>
        <v>141.27807455357146</v>
      </c>
      <c r="D1998" s="4">
        <v>28</v>
      </c>
      <c r="E1998" s="5" t="s">
        <v>10</v>
      </c>
      <c r="F1998" s="4" t="s">
        <v>211</v>
      </c>
      <c r="G1998" s="4" t="s">
        <v>12</v>
      </c>
      <c r="H1998" s="4" t="s">
        <v>211</v>
      </c>
      <c r="I1998" s="4" t="s">
        <v>22</v>
      </c>
      <c r="J1998" s="4" t="s">
        <v>140</v>
      </c>
      <c r="K1998" s="4" t="s">
        <v>312</v>
      </c>
      <c r="M1998">
        <f t="shared" si="62"/>
        <v>127.15026709821431</v>
      </c>
    </row>
    <row r="1999" spans="1:13" ht="14" x14ac:dyDescent="0.2">
      <c r="A1999" s="4" t="s">
        <v>4419</v>
      </c>
      <c r="B1999" s="5">
        <v>7987.0050000000019</v>
      </c>
      <c r="C1999" s="5">
        <f t="shared" si="63"/>
        <v>285.25017857142865</v>
      </c>
      <c r="D1999" s="4">
        <v>28</v>
      </c>
      <c r="E1999" s="5" t="s">
        <v>10</v>
      </c>
      <c r="F1999" s="4" t="s">
        <v>211</v>
      </c>
      <c r="G1999" s="4" t="s">
        <v>12</v>
      </c>
      <c r="H1999" s="4" t="s">
        <v>211</v>
      </c>
      <c r="I1999" s="4" t="s">
        <v>22</v>
      </c>
      <c r="J1999" s="4" t="s">
        <v>15</v>
      </c>
      <c r="K1999" s="4" t="s">
        <v>312</v>
      </c>
      <c r="M1999">
        <f t="shared" si="62"/>
        <v>256.72516071428578</v>
      </c>
    </row>
    <row r="2000" spans="1:13" ht="14" x14ac:dyDescent="0.2">
      <c r="A2000" s="4" t="s">
        <v>4420</v>
      </c>
      <c r="B2000" s="5">
        <v>3690.6618937500007</v>
      </c>
      <c r="C2000" s="5">
        <f t="shared" si="63"/>
        <v>131.8093533482143</v>
      </c>
      <c r="D2000" s="4">
        <v>28</v>
      </c>
      <c r="E2000" s="5" t="s">
        <v>10</v>
      </c>
      <c r="F2000" s="4" t="s">
        <v>211</v>
      </c>
      <c r="G2000" s="4" t="s">
        <v>12</v>
      </c>
      <c r="H2000" s="4" t="s">
        <v>211</v>
      </c>
      <c r="I2000" s="4" t="s">
        <v>22</v>
      </c>
      <c r="J2000" s="4" t="s">
        <v>78</v>
      </c>
      <c r="K2000" s="4" t="s">
        <v>312</v>
      </c>
      <c r="M2000">
        <f t="shared" si="62"/>
        <v>118.62841801339287</v>
      </c>
    </row>
    <row r="2001" spans="1:13" ht="14" x14ac:dyDescent="0.2">
      <c r="A2001" s="4" t="s">
        <v>4421</v>
      </c>
      <c r="B2001" s="5">
        <v>3690.6618937500007</v>
      </c>
      <c r="C2001" s="5">
        <f t="shared" si="63"/>
        <v>369.06618937500008</v>
      </c>
      <c r="D2001" s="4">
        <v>10</v>
      </c>
      <c r="E2001" s="5" t="s">
        <v>30</v>
      </c>
      <c r="F2001" s="4" t="s">
        <v>2646</v>
      </c>
      <c r="G2001" s="4" t="s">
        <v>20</v>
      </c>
      <c r="H2001" s="4" t="s">
        <v>4422</v>
      </c>
      <c r="I2001" s="4" t="s">
        <v>22</v>
      </c>
      <c r="J2001" s="4" t="s">
        <v>1081</v>
      </c>
      <c r="K2001" s="4" t="s">
        <v>103</v>
      </c>
      <c r="M2001">
        <f t="shared" si="62"/>
        <v>332.15957043750007</v>
      </c>
    </row>
    <row r="2002" spans="1:13" ht="14" x14ac:dyDescent="0.2">
      <c r="A2002" s="4" t="s">
        <v>4423</v>
      </c>
      <c r="B2002" s="5">
        <v>30140.960118750005</v>
      </c>
      <c r="C2002" s="5">
        <f t="shared" si="63"/>
        <v>2009.3973412500004</v>
      </c>
      <c r="D2002" s="4">
        <v>15</v>
      </c>
      <c r="E2002" s="5" t="s">
        <v>30</v>
      </c>
      <c r="F2002" s="4" t="s">
        <v>2646</v>
      </c>
      <c r="G2002" s="4" t="s">
        <v>20</v>
      </c>
      <c r="H2002" s="4" t="s">
        <v>4424</v>
      </c>
      <c r="I2002" s="4" t="s">
        <v>22</v>
      </c>
      <c r="J2002" s="4" t="s">
        <v>140</v>
      </c>
      <c r="K2002" s="4" t="s">
        <v>103</v>
      </c>
      <c r="M2002">
        <f t="shared" si="62"/>
        <v>1808.4576071250003</v>
      </c>
    </row>
    <row r="2003" spans="1:13" ht="14" x14ac:dyDescent="0.2">
      <c r="A2003" s="4" t="s">
        <v>4425</v>
      </c>
      <c r="B2003" s="5">
        <v>5244.7999500000005</v>
      </c>
      <c r="C2003" s="5">
        <f t="shared" si="63"/>
        <v>5244.7999500000005</v>
      </c>
      <c r="D2003" s="4">
        <v>1</v>
      </c>
      <c r="E2003" s="5" t="s">
        <v>181</v>
      </c>
      <c r="F2003" s="4" t="s">
        <v>4426</v>
      </c>
      <c r="G2003" s="4" t="s">
        <v>20</v>
      </c>
      <c r="H2003" s="4" t="s">
        <v>4427</v>
      </c>
      <c r="I2003" s="4" t="s">
        <v>22</v>
      </c>
      <c r="J2003" s="4" t="s">
        <v>4428</v>
      </c>
      <c r="K2003" s="4" t="s">
        <v>53</v>
      </c>
      <c r="M2003">
        <f t="shared" si="62"/>
        <v>4720.3199550000008</v>
      </c>
    </row>
    <row r="2004" spans="1:13" ht="14" x14ac:dyDescent="0.2">
      <c r="A2004" s="4" t="s">
        <v>4429</v>
      </c>
      <c r="B2004" s="5">
        <v>5324.67</v>
      </c>
      <c r="C2004" s="5">
        <f t="shared" si="63"/>
        <v>532.46699999999998</v>
      </c>
      <c r="D2004" s="4">
        <v>10</v>
      </c>
      <c r="E2004" s="5" t="s">
        <v>30</v>
      </c>
      <c r="F2004" s="4" t="s">
        <v>1116</v>
      </c>
      <c r="G2004" s="4" t="s">
        <v>20</v>
      </c>
      <c r="H2004" s="4" t="s">
        <v>4427</v>
      </c>
      <c r="I2004" s="4" t="s">
        <v>22</v>
      </c>
      <c r="J2004" s="4" t="s">
        <v>207</v>
      </c>
      <c r="K2004" s="4" t="s">
        <v>53</v>
      </c>
      <c r="M2004">
        <f t="shared" si="62"/>
        <v>479.22029999999995</v>
      </c>
    </row>
    <row r="2005" spans="1:13" ht="14" x14ac:dyDescent="0.2">
      <c r="A2005" s="4" t="s">
        <v>4430</v>
      </c>
      <c r="B2005" s="5">
        <v>3882.5718750000005</v>
      </c>
      <c r="C2005" s="5">
        <f t="shared" si="63"/>
        <v>3882.5718750000005</v>
      </c>
      <c r="D2005" s="4">
        <v>1</v>
      </c>
      <c r="E2005" s="5" t="s">
        <v>181</v>
      </c>
      <c r="F2005" s="4" t="s">
        <v>4426</v>
      </c>
      <c r="G2005" s="4" t="s">
        <v>20</v>
      </c>
      <c r="H2005" s="4" t="s">
        <v>4427</v>
      </c>
      <c r="I2005" s="4" t="s">
        <v>22</v>
      </c>
      <c r="J2005" s="4" t="s">
        <v>1228</v>
      </c>
      <c r="K2005" s="4" t="s">
        <v>53</v>
      </c>
      <c r="M2005">
        <f t="shared" si="62"/>
        <v>3494.3146875000002</v>
      </c>
    </row>
    <row r="2006" spans="1:13" ht="14" x14ac:dyDescent="0.2">
      <c r="A2006" s="4" t="s">
        <v>4431</v>
      </c>
      <c r="B2006" s="5">
        <v>2015.60945625</v>
      </c>
      <c r="C2006" s="5">
        <f t="shared" si="63"/>
        <v>2015.60945625</v>
      </c>
      <c r="D2006" s="4">
        <v>1</v>
      </c>
      <c r="E2006" s="5" t="s">
        <v>18</v>
      </c>
      <c r="F2006" s="4" t="s">
        <v>4432</v>
      </c>
      <c r="G2006" s="4" t="s">
        <v>20</v>
      </c>
      <c r="H2006" s="4" t="s">
        <v>4433</v>
      </c>
      <c r="I2006" s="4" t="s">
        <v>22</v>
      </c>
      <c r="K2006" s="4" t="s">
        <v>87</v>
      </c>
      <c r="M2006">
        <f t="shared" si="62"/>
        <v>1814.0485106250001</v>
      </c>
    </row>
    <row r="2007" spans="1:13" ht="14" x14ac:dyDescent="0.2">
      <c r="A2007" s="4" t="s">
        <v>4434</v>
      </c>
      <c r="B2007" s="5">
        <v>4326.2943750000004</v>
      </c>
      <c r="C2007" s="5">
        <f t="shared" si="63"/>
        <v>4326.2943750000004</v>
      </c>
      <c r="D2007" s="4">
        <v>1</v>
      </c>
      <c r="E2007" s="5" t="s">
        <v>175</v>
      </c>
      <c r="F2007" s="4" t="s">
        <v>1604</v>
      </c>
      <c r="G2007" s="4" t="s">
        <v>20</v>
      </c>
      <c r="H2007" s="4" t="s">
        <v>4435</v>
      </c>
      <c r="I2007" s="4" t="s">
        <v>22</v>
      </c>
      <c r="J2007" s="8">
        <v>1E-3</v>
      </c>
      <c r="K2007" s="4" t="s">
        <v>786</v>
      </c>
      <c r="M2007">
        <f t="shared" si="62"/>
        <v>3893.6649375000002</v>
      </c>
    </row>
    <row r="2008" spans="1:13" ht="14" x14ac:dyDescent="0.2">
      <c r="A2008" s="4" t="s">
        <v>4436</v>
      </c>
      <c r="B2008" s="5">
        <v>5158.2740625000006</v>
      </c>
      <c r="C2008" s="5">
        <f t="shared" si="63"/>
        <v>5158.2740625000006</v>
      </c>
      <c r="D2008" s="4">
        <v>1</v>
      </c>
      <c r="E2008" s="5" t="s">
        <v>175</v>
      </c>
      <c r="F2008" s="4" t="s">
        <v>4437</v>
      </c>
      <c r="G2008" s="4" t="s">
        <v>20</v>
      </c>
      <c r="H2008" s="4" t="s">
        <v>4438</v>
      </c>
      <c r="I2008" s="4" t="s">
        <v>22</v>
      </c>
      <c r="J2008" s="8">
        <v>1E-3</v>
      </c>
      <c r="K2008" s="4" t="s">
        <v>53</v>
      </c>
      <c r="M2008">
        <f t="shared" si="62"/>
        <v>4642.4466562500002</v>
      </c>
    </row>
    <row r="2009" spans="1:13" ht="14" x14ac:dyDescent="0.2">
      <c r="A2009" s="4" t="s">
        <v>4439</v>
      </c>
      <c r="B2009" s="5">
        <v>5657.4618750000009</v>
      </c>
      <c r="C2009" s="5">
        <f t="shared" si="63"/>
        <v>5657.4618750000009</v>
      </c>
      <c r="D2009" s="4">
        <v>1</v>
      </c>
      <c r="E2009" s="5" t="s">
        <v>175</v>
      </c>
      <c r="F2009" s="4" t="s">
        <v>4440</v>
      </c>
      <c r="G2009" s="4" t="s">
        <v>20</v>
      </c>
      <c r="H2009" s="4" t="s">
        <v>4441</v>
      </c>
      <c r="I2009" s="4" t="s">
        <v>22</v>
      </c>
      <c r="J2009" s="8">
        <v>1E-3</v>
      </c>
      <c r="K2009" s="4" t="s">
        <v>53</v>
      </c>
      <c r="M2009">
        <f t="shared" si="62"/>
        <v>5091.715687500001</v>
      </c>
    </row>
    <row r="2010" spans="1:13" ht="14" x14ac:dyDescent="0.2">
      <c r="A2010" s="4" t="s">
        <v>4442</v>
      </c>
      <c r="B2010" s="5">
        <v>5324.67</v>
      </c>
      <c r="C2010" s="5">
        <f t="shared" si="63"/>
        <v>5324.67</v>
      </c>
      <c r="D2010" s="4">
        <v>1</v>
      </c>
      <c r="E2010" s="5" t="s">
        <v>175</v>
      </c>
      <c r="F2010" s="4" t="s">
        <v>4443</v>
      </c>
      <c r="G2010" s="4" t="s">
        <v>20</v>
      </c>
      <c r="H2010" s="4" t="s">
        <v>4444</v>
      </c>
      <c r="I2010" s="4" t="s">
        <v>22</v>
      </c>
      <c r="J2010" s="8">
        <v>2.9999999999999997E-4</v>
      </c>
      <c r="K2010" s="4" t="s">
        <v>179</v>
      </c>
      <c r="M2010">
        <f t="shared" si="62"/>
        <v>4792.2030000000004</v>
      </c>
    </row>
    <row r="2011" spans="1:13" ht="14" x14ac:dyDescent="0.2">
      <c r="A2011" s="4" t="s">
        <v>4445</v>
      </c>
      <c r="B2011" s="5">
        <v>4123.2913312500004</v>
      </c>
      <c r="C2011" s="5">
        <f t="shared" si="63"/>
        <v>1030.8228328125001</v>
      </c>
      <c r="D2011" s="4">
        <v>4</v>
      </c>
      <c r="E2011" s="5" t="s">
        <v>10</v>
      </c>
      <c r="F2011" s="4" t="s">
        <v>449</v>
      </c>
      <c r="G2011" s="4" t="s">
        <v>20</v>
      </c>
      <c r="H2011" s="4" t="s">
        <v>4446</v>
      </c>
      <c r="I2011" s="4" t="s">
        <v>22</v>
      </c>
      <c r="J2011" s="4" t="s">
        <v>146</v>
      </c>
      <c r="K2011" s="4" t="s">
        <v>155</v>
      </c>
      <c r="M2011">
        <f t="shared" si="62"/>
        <v>927.74054953125005</v>
      </c>
    </row>
    <row r="2012" spans="1:13" ht="14" x14ac:dyDescent="0.2">
      <c r="A2012" s="4" t="s">
        <v>4447</v>
      </c>
      <c r="B2012" s="5">
        <v>6653.6188874999998</v>
      </c>
      <c r="C2012" s="5">
        <f t="shared" si="63"/>
        <v>221.78729625</v>
      </c>
      <c r="D2012" s="4">
        <v>30</v>
      </c>
      <c r="E2012" s="5" t="s">
        <v>10</v>
      </c>
      <c r="F2012" s="4" t="s">
        <v>4448</v>
      </c>
      <c r="G2012" s="4" t="s">
        <v>12</v>
      </c>
      <c r="H2012" s="4" t="s">
        <v>4449</v>
      </c>
      <c r="I2012" s="4" t="s">
        <v>22</v>
      </c>
      <c r="J2012" s="4" t="s">
        <v>146</v>
      </c>
      <c r="K2012" s="4" t="s">
        <v>90</v>
      </c>
      <c r="M2012">
        <f t="shared" si="62"/>
        <v>199.60856662499998</v>
      </c>
    </row>
    <row r="2013" spans="1:13" ht="14" x14ac:dyDescent="0.2">
      <c r="A2013" s="4" t="s">
        <v>4450</v>
      </c>
      <c r="B2013" s="5">
        <v>6622.5583125000012</v>
      </c>
      <c r="C2013" s="5">
        <f t="shared" si="63"/>
        <v>220.75194375000004</v>
      </c>
      <c r="D2013" s="4">
        <v>30</v>
      </c>
      <c r="E2013" s="5" t="s">
        <v>10</v>
      </c>
      <c r="F2013" s="4" t="s">
        <v>4448</v>
      </c>
      <c r="G2013" s="4" t="s">
        <v>12</v>
      </c>
      <c r="H2013" s="4" t="s">
        <v>4449</v>
      </c>
      <c r="I2013" s="4" t="s">
        <v>22</v>
      </c>
      <c r="J2013" s="4" t="s">
        <v>200</v>
      </c>
      <c r="K2013" s="4" t="s">
        <v>90</v>
      </c>
      <c r="M2013">
        <f t="shared" ref="M2013:M2076" si="64">C2013-(C2013* 10%)</f>
        <v>198.67674937500004</v>
      </c>
    </row>
    <row r="2014" spans="1:13" ht="14" x14ac:dyDescent="0.2">
      <c r="A2014" s="4" t="s">
        <v>4451</v>
      </c>
      <c r="B2014" s="5">
        <v>11037.597187500001</v>
      </c>
      <c r="C2014" s="5">
        <f t="shared" si="63"/>
        <v>394.19989955357147</v>
      </c>
      <c r="D2014" s="4">
        <v>28</v>
      </c>
      <c r="E2014" s="5" t="s">
        <v>10</v>
      </c>
      <c r="F2014" s="4" t="s">
        <v>4452</v>
      </c>
      <c r="G2014" s="4" t="s">
        <v>20</v>
      </c>
      <c r="H2014" s="4" t="s">
        <v>4453</v>
      </c>
      <c r="I2014" s="4" t="s">
        <v>22</v>
      </c>
      <c r="J2014" s="4" t="s">
        <v>200</v>
      </c>
      <c r="K2014" s="4" t="s">
        <v>406</v>
      </c>
      <c r="M2014">
        <f t="shared" si="64"/>
        <v>354.77990959821432</v>
      </c>
    </row>
    <row r="2015" spans="1:13" ht="14" x14ac:dyDescent="0.2">
      <c r="A2015" s="4" t="s">
        <v>4454</v>
      </c>
      <c r="B2015" s="5">
        <v>4215.3637500000004</v>
      </c>
      <c r="C2015" s="5">
        <f t="shared" si="63"/>
        <v>351.28031250000004</v>
      </c>
      <c r="D2015" s="4">
        <v>12</v>
      </c>
      <c r="E2015" s="5" t="s">
        <v>4455</v>
      </c>
      <c r="F2015" s="4" t="s">
        <v>4456</v>
      </c>
      <c r="G2015" s="4" t="s">
        <v>20</v>
      </c>
      <c r="H2015" s="4" t="s">
        <v>4457</v>
      </c>
      <c r="I2015" s="4" t="s">
        <v>22</v>
      </c>
      <c r="J2015" s="4" t="s">
        <v>25</v>
      </c>
      <c r="K2015" s="4" t="s">
        <v>118</v>
      </c>
      <c r="M2015">
        <f t="shared" si="64"/>
        <v>316.15228125000004</v>
      </c>
    </row>
    <row r="2016" spans="1:13" ht="14" x14ac:dyDescent="0.2">
      <c r="A2016" s="4" t="s">
        <v>4458</v>
      </c>
      <c r="B2016" s="5">
        <v>7099.56</v>
      </c>
      <c r="C2016" s="5">
        <f t="shared" si="63"/>
        <v>295.815</v>
      </c>
      <c r="D2016" s="4">
        <v>24</v>
      </c>
      <c r="E2016" s="5" t="s">
        <v>4455</v>
      </c>
      <c r="F2016" s="4" t="s">
        <v>4459</v>
      </c>
      <c r="G2016" s="4" t="s">
        <v>20</v>
      </c>
      <c r="H2016" s="4" t="s">
        <v>4460</v>
      </c>
      <c r="I2016" s="4" t="s">
        <v>22</v>
      </c>
      <c r="J2016" s="4" t="s">
        <v>4461</v>
      </c>
      <c r="K2016" s="4" t="s">
        <v>118</v>
      </c>
      <c r="M2016">
        <f t="shared" si="64"/>
        <v>266.23349999999999</v>
      </c>
    </row>
    <row r="2017" spans="1:13" ht="14" x14ac:dyDescent="0.2">
      <c r="A2017" s="4" t="s">
        <v>4462</v>
      </c>
      <c r="B2017" s="5">
        <v>52137.393750000003</v>
      </c>
      <c r="C2017" s="5">
        <f t="shared" si="63"/>
        <v>52137.393750000003</v>
      </c>
      <c r="D2017" s="4">
        <v>1</v>
      </c>
      <c r="E2017" s="4" t="s">
        <v>124</v>
      </c>
      <c r="F2017" s="4" t="s">
        <v>4463</v>
      </c>
      <c r="G2017" s="4" t="s">
        <v>12</v>
      </c>
      <c r="H2017" s="4" t="s">
        <v>4464</v>
      </c>
      <c r="I2017" s="4"/>
      <c r="J2017" s="4" t="s">
        <v>4465</v>
      </c>
      <c r="K2017" s="4" t="s">
        <v>1173</v>
      </c>
      <c r="M2017">
        <f t="shared" si="64"/>
        <v>46923.654374999998</v>
      </c>
    </row>
    <row r="2018" spans="1:13" ht="14" x14ac:dyDescent="0.2">
      <c r="A2018" s="4" t="s">
        <v>4466</v>
      </c>
      <c r="B2018" s="5">
        <v>2551.4043750000001</v>
      </c>
      <c r="C2018" s="5">
        <f t="shared" si="63"/>
        <v>2551.4043750000001</v>
      </c>
      <c r="D2018" s="4">
        <v>1</v>
      </c>
      <c r="E2018" s="5" t="s">
        <v>124</v>
      </c>
      <c r="F2018" s="4" t="s">
        <v>4467</v>
      </c>
      <c r="G2018" s="4" t="s">
        <v>20</v>
      </c>
      <c r="H2018" s="4" t="s">
        <v>4467</v>
      </c>
      <c r="I2018" s="4" t="s">
        <v>22</v>
      </c>
      <c r="J2018" s="4" t="s">
        <v>293</v>
      </c>
      <c r="K2018" s="4" t="s">
        <v>53</v>
      </c>
      <c r="M2018">
        <f t="shared" si="64"/>
        <v>2296.2639374999999</v>
      </c>
    </row>
    <row r="2019" spans="1:13" ht="14" x14ac:dyDescent="0.2">
      <c r="A2019" s="4" t="s">
        <v>4468</v>
      </c>
      <c r="B2019" s="5">
        <v>4437.2250000000004</v>
      </c>
      <c r="C2019" s="5">
        <f t="shared" si="63"/>
        <v>443.72250000000003</v>
      </c>
      <c r="D2019" s="4">
        <v>10</v>
      </c>
      <c r="E2019" s="5" t="s">
        <v>10</v>
      </c>
      <c r="F2019" s="4" t="s">
        <v>4469</v>
      </c>
      <c r="G2019" s="4" t="s">
        <v>20</v>
      </c>
      <c r="H2019" s="4" t="s">
        <v>4470</v>
      </c>
      <c r="I2019" s="4" t="s">
        <v>22</v>
      </c>
      <c r="J2019" s="4" t="s">
        <v>15</v>
      </c>
      <c r="K2019" s="4" t="s">
        <v>179</v>
      </c>
      <c r="M2019">
        <f t="shared" si="64"/>
        <v>399.35025000000002</v>
      </c>
    </row>
    <row r="2020" spans="1:13" ht="14" x14ac:dyDescent="0.2">
      <c r="A2020" s="4" t="s">
        <v>4471</v>
      </c>
      <c r="B2020" s="5">
        <v>455037.42375000002</v>
      </c>
      <c r="C2020" s="5">
        <f t="shared" si="63"/>
        <v>455037.42375000002</v>
      </c>
      <c r="D2020" s="4">
        <v>1</v>
      </c>
      <c r="E2020" s="4" t="s">
        <v>124</v>
      </c>
      <c r="F2020" s="4" t="s">
        <v>4472</v>
      </c>
      <c r="G2020" s="4" t="s">
        <v>12</v>
      </c>
      <c r="H2020" s="4" t="s">
        <v>4473</v>
      </c>
      <c r="I2020" s="4"/>
      <c r="J2020" s="4" t="s">
        <v>4474</v>
      </c>
      <c r="K2020" s="4" t="s">
        <v>511</v>
      </c>
      <c r="M2020">
        <f t="shared" si="64"/>
        <v>409533.68137500004</v>
      </c>
    </row>
    <row r="2021" spans="1:13" ht="14" x14ac:dyDescent="0.2">
      <c r="A2021" s="4" t="s">
        <v>4475</v>
      </c>
      <c r="B2021" s="5">
        <v>221861.25000000003</v>
      </c>
      <c r="C2021" s="5">
        <f t="shared" si="63"/>
        <v>221861.25000000003</v>
      </c>
      <c r="D2021" s="4">
        <v>1</v>
      </c>
      <c r="E2021" s="4" t="s">
        <v>124</v>
      </c>
      <c r="F2021" s="4" t="s">
        <v>4475</v>
      </c>
      <c r="G2021" s="4" t="s">
        <v>12</v>
      </c>
      <c r="H2021" s="4" t="s">
        <v>4476</v>
      </c>
      <c r="I2021" s="4"/>
      <c r="J2021" s="4" t="s">
        <v>2428</v>
      </c>
      <c r="K2021" s="4" t="s">
        <v>511</v>
      </c>
      <c r="M2021">
        <f t="shared" si="64"/>
        <v>199675.12500000003</v>
      </c>
    </row>
    <row r="2022" spans="1:13" ht="14" x14ac:dyDescent="0.2">
      <c r="A2022" s="4" t="s">
        <v>4477</v>
      </c>
      <c r="B2022" s="5">
        <v>7294.7978999999996</v>
      </c>
      <c r="C2022" s="5">
        <f t="shared" si="63"/>
        <v>607.89982499999996</v>
      </c>
      <c r="D2022" s="4">
        <v>12</v>
      </c>
      <c r="E2022" s="5" t="s">
        <v>10</v>
      </c>
      <c r="F2022" s="4" t="s">
        <v>4478</v>
      </c>
      <c r="G2022" s="4" t="s">
        <v>20</v>
      </c>
      <c r="H2022" s="4" t="s">
        <v>4479</v>
      </c>
      <c r="I2022" s="4" t="s">
        <v>22</v>
      </c>
      <c r="J2022" s="4" t="s">
        <v>25</v>
      </c>
      <c r="K2022" s="4" t="s">
        <v>118</v>
      </c>
      <c r="M2022">
        <f t="shared" si="64"/>
        <v>547.10984250000001</v>
      </c>
    </row>
    <row r="2023" spans="1:13" ht="14" x14ac:dyDescent="0.2">
      <c r="A2023" s="4" t="s">
        <v>4480</v>
      </c>
      <c r="B2023" s="5">
        <v>16169.2479</v>
      </c>
      <c r="C2023" s="5">
        <f t="shared" si="63"/>
        <v>16169.2479</v>
      </c>
      <c r="D2023" s="4">
        <v>1</v>
      </c>
      <c r="E2023" s="5" t="s">
        <v>55</v>
      </c>
      <c r="F2023" s="4" t="s">
        <v>4481</v>
      </c>
      <c r="G2023" s="4" t="s">
        <v>20</v>
      </c>
      <c r="H2023" s="4" t="s">
        <v>4480</v>
      </c>
      <c r="I2023" s="4" t="s">
        <v>22</v>
      </c>
      <c r="J2023" s="8">
        <v>0.152</v>
      </c>
      <c r="K2023" s="4" t="s">
        <v>53</v>
      </c>
      <c r="M2023">
        <f t="shared" si="64"/>
        <v>14552.323110000001</v>
      </c>
    </row>
    <row r="2024" spans="1:13" ht="14" x14ac:dyDescent="0.2">
      <c r="A2024" s="4" t="s">
        <v>4482</v>
      </c>
      <c r="B2024" s="5">
        <v>17368.407956250001</v>
      </c>
      <c r="C2024" s="5">
        <f t="shared" si="63"/>
        <v>17368.407956250001</v>
      </c>
      <c r="D2024" s="4">
        <v>1</v>
      </c>
      <c r="E2024" s="5" t="s">
        <v>55</v>
      </c>
      <c r="F2024" s="4" t="s">
        <v>4481</v>
      </c>
      <c r="G2024" s="4" t="s">
        <v>20</v>
      </c>
      <c r="H2024" s="4" t="s">
        <v>4482</v>
      </c>
      <c r="I2024" s="4" t="s">
        <v>22</v>
      </c>
      <c r="J2024" s="8">
        <v>0.152</v>
      </c>
      <c r="K2024" s="4" t="s">
        <v>53</v>
      </c>
      <c r="M2024">
        <f t="shared" si="64"/>
        <v>15631.567160625</v>
      </c>
    </row>
    <row r="2025" spans="1:13" ht="14" x14ac:dyDescent="0.2">
      <c r="A2025" s="4" t="s">
        <v>4483</v>
      </c>
      <c r="B2025" s="5">
        <v>1941.2859375000003</v>
      </c>
      <c r="C2025" s="5">
        <f t="shared" si="63"/>
        <v>97.064296875000011</v>
      </c>
      <c r="D2025" s="4">
        <v>20</v>
      </c>
      <c r="E2025" s="5" t="s">
        <v>10</v>
      </c>
      <c r="F2025" s="4" t="s">
        <v>3774</v>
      </c>
      <c r="G2025" s="4" t="s">
        <v>20</v>
      </c>
      <c r="H2025" s="4" t="s">
        <v>4484</v>
      </c>
      <c r="I2025" s="4" t="s">
        <v>22</v>
      </c>
      <c r="J2025" s="4" t="s">
        <v>25</v>
      </c>
      <c r="K2025" s="4" t="s">
        <v>87</v>
      </c>
      <c r="M2025">
        <f t="shared" si="64"/>
        <v>87.357867187500005</v>
      </c>
    </row>
    <row r="2026" spans="1:13" ht="14" x14ac:dyDescent="0.2">
      <c r="A2026" s="4" t="s">
        <v>4485</v>
      </c>
      <c r="B2026" s="5">
        <v>3660.7106250000002</v>
      </c>
      <c r="C2026" s="5">
        <f t="shared" si="63"/>
        <v>3660.7106250000002</v>
      </c>
      <c r="D2026" s="4">
        <v>1</v>
      </c>
      <c r="E2026" s="5" t="s">
        <v>4486</v>
      </c>
      <c r="F2026" s="4" t="s">
        <v>4487</v>
      </c>
      <c r="G2026" s="4" t="s">
        <v>20</v>
      </c>
      <c r="H2026" s="4" t="s">
        <v>4485</v>
      </c>
      <c r="I2026" s="4" t="s">
        <v>14</v>
      </c>
      <c r="J2026" s="4" t="s">
        <v>25</v>
      </c>
      <c r="K2026" s="4" t="s">
        <v>23</v>
      </c>
      <c r="M2026">
        <f t="shared" si="64"/>
        <v>3294.6395625</v>
      </c>
    </row>
    <row r="2027" spans="1:13" ht="14" x14ac:dyDescent="0.2">
      <c r="A2027" s="4" t="s">
        <v>4488</v>
      </c>
      <c r="B2027" s="5">
        <v>8658</v>
      </c>
      <c r="C2027" s="5">
        <f t="shared" si="63"/>
        <v>1443</v>
      </c>
      <c r="D2027" s="4">
        <v>6</v>
      </c>
      <c r="E2027" s="5" t="s">
        <v>30</v>
      </c>
      <c r="F2027" s="4" t="s">
        <v>719</v>
      </c>
      <c r="G2027" s="4" t="s">
        <v>20</v>
      </c>
      <c r="H2027" s="4" t="s">
        <v>725</v>
      </c>
      <c r="I2027" s="4" t="s">
        <v>22</v>
      </c>
      <c r="J2027" s="4" t="s">
        <v>67</v>
      </c>
      <c r="K2027" s="4" t="s">
        <v>53</v>
      </c>
      <c r="M2027">
        <f t="shared" si="64"/>
        <v>1298.7</v>
      </c>
    </row>
    <row r="2028" spans="1:13" ht="14" x14ac:dyDescent="0.2">
      <c r="A2028" s="4" t="s">
        <v>4489</v>
      </c>
      <c r="B2028" s="5">
        <v>10064.925000000001</v>
      </c>
      <c r="C2028" s="5">
        <f t="shared" si="63"/>
        <v>3354.9750000000004</v>
      </c>
      <c r="D2028" s="4">
        <v>3</v>
      </c>
      <c r="E2028" s="5" t="s">
        <v>30</v>
      </c>
      <c r="F2028" s="4" t="s">
        <v>719</v>
      </c>
      <c r="G2028" s="4" t="s">
        <v>20</v>
      </c>
      <c r="H2028" s="4" t="s">
        <v>725</v>
      </c>
      <c r="I2028" s="4" t="s">
        <v>22</v>
      </c>
      <c r="J2028" s="4" t="s">
        <v>207</v>
      </c>
      <c r="K2028" s="4" t="s">
        <v>53</v>
      </c>
      <c r="M2028">
        <f t="shared" si="64"/>
        <v>3019.4775000000004</v>
      </c>
    </row>
    <row r="2029" spans="1:13" ht="14" x14ac:dyDescent="0.2">
      <c r="A2029" s="4" t="s">
        <v>4490</v>
      </c>
      <c r="B2029" s="5">
        <v>8116.8750000000009</v>
      </c>
      <c r="C2029" s="5">
        <f t="shared" si="63"/>
        <v>8116.8750000000009</v>
      </c>
      <c r="D2029" s="4">
        <v>1</v>
      </c>
      <c r="E2029" s="5" t="s">
        <v>181</v>
      </c>
      <c r="F2029" s="4" t="s">
        <v>719</v>
      </c>
      <c r="G2029" s="4" t="s">
        <v>20</v>
      </c>
      <c r="H2029" s="4" t="s">
        <v>725</v>
      </c>
      <c r="I2029" s="4" t="s">
        <v>22</v>
      </c>
      <c r="J2029" s="4" t="s">
        <v>132</v>
      </c>
      <c r="K2029" s="4" t="s">
        <v>53</v>
      </c>
      <c r="M2029">
        <f t="shared" si="64"/>
        <v>7305.1875000000009</v>
      </c>
    </row>
    <row r="2030" spans="1:13" ht="14" x14ac:dyDescent="0.2">
      <c r="A2030" s="4" t="s">
        <v>4491</v>
      </c>
      <c r="B2030" s="5">
        <v>19854.363262500003</v>
      </c>
      <c r="C2030" s="5">
        <f t="shared" si="63"/>
        <v>661.81210875000011</v>
      </c>
      <c r="D2030" s="4">
        <v>30</v>
      </c>
      <c r="E2030" s="5" t="s">
        <v>10</v>
      </c>
      <c r="F2030" s="4" t="s">
        <v>4492</v>
      </c>
      <c r="G2030" s="4" t="s">
        <v>12</v>
      </c>
      <c r="H2030" s="4" t="s">
        <v>4493</v>
      </c>
      <c r="I2030" s="4" t="s">
        <v>22</v>
      </c>
      <c r="J2030" s="4" t="s">
        <v>207</v>
      </c>
      <c r="K2030" s="4" t="s">
        <v>786</v>
      </c>
      <c r="M2030">
        <f t="shared" si="64"/>
        <v>595.63089787500007</v>
      </c>
    </row>
    <row r="2031" spans="1:13" ht="14" x14ac:dyDescent="0.2">
      <c r="A2031" s="4" t="s">
        <v>4494</v>
      </c>
      <c r="B2031" s="5">
        <v>1830.3553125000001</v>
      </c>
      <c r="C2031" s="5">
        <f t="shared" si="63"/>
        <v>1830.3553125000001</v>
      </c>
      <c r="D2031" s="4">
        <v>1</v>
      </c>
      <c r="E2031" s="5" t="s">
        <v>18</v>
      </c>
      <c r="F2031" s="4" t="s">
        <v>4495</v>
      </c>
      <c r="G2031" s="4" t="s">
        <v>20</v>
      </c>
      <c r="H2031" s="4" t="s">
        <v>4496</v>
      </c>
      <c r="I2031" s="4" t="s">
        <v>22</v>
      </c>
      <c r="J2031" s="4" t="s">
        <v>3406</v>
      </c>
      <c r="K2031" s="4" t="s">
        <v>28</v>
      </c>
      <c r="M2031">
        <f t="shared" si="64"/>
        <v>1647.31978125</v>
      </c>
    </row>
    <row r="2032" spans="1:13" ht="14" x14ac:dyDescent="0.2">
      <c r="A2032" s="4" t="s">
        <v>4497</v>
      </c>
      <c r="B2032" s="5">
        <v>1856.9786625000002</v>
      </c>
      <c r="C2032" s="5">
        <f t="shared" si="63"/>
        <v>1856.9786625000002</v>
      </c>
      <c r="D2032" s="4">
        <v>1</v>
      </c>
      <c r="E2032" s="5" t="s">
        <v>18</v>
      </c>
      <c r="F2032" s="4" t="s">
        <v>36</v>
      </c>
      <c r="G2032" s="4" t="s">
        <v>20</v>
      </c>
      <c r="H2032" s="4" t="s">
        <v>36</v>
      </c>
      <c r="I2032" s="4" t="s">
        <v>22</v>
      </c>
      <c r="J2032" s="6">
        <v>0.05</v>
      </c>
      <c r="K2032" s="4" t="s">
        <v>23</v>
      </c>
      <c r="M2032">
        <f t="shared" si="64"/>
        <v>1671.2807962500001</v>
      </c>
    </row>
    <row r="2033" spans="1:13" ht="14" x14ac:dyDescent="0.2">
      <c r="A2033" s="4" t="s">
        <v>4498</v>
      </c>
      <c r="B2033" s="5">
        <v>12344.359950000002</v>
      </c>
      <c r="C2033" s="5">
        <f t="shared" si="63"/>
        <v>2057.3933250000005</v>
      </c>
      <c r="D2033" s="4">
        <v>6</v>
      </c>
      <c r="E2033" s="5" t="s">
        <v>10</v>
      </c>
      <c r="F2033" s="4" t="s">
        <v>4499</v>
      </c>
      <c r="G2033" s="4" t="s">
        <v>20</v>
      </c>
      <c r="H2033" s="4" t="s">
        <v>4499</v>
      </c>
      <c r="I2033" s="4" t="s">
        <v>22</v>
      </c>
      <c r="J2033" s="4" t="s">
        <v>140</v>
      </c>
      <c r="K2033" s="4" t="s">
        <v>87</v>
      </c>
      <c r="M2033">
        <f t="shared" si="64"/>
        <v>1851.6539925000004</v>
      </c>
    </row>
    <row r="2034" spans="1:13" ht="14" x14ac:dyDescent="0.2">
      <c r="A2034" s="4" t="s">
        <v>4500</v>
      </c>
      <c r="B2034" s="5">
        <v>9078.5623500000002</v>
      </c>
      <c r="C2034" s="5">
        <f t="shared" si="63"/>
        <v>1513.0937249999999</v>
      </c>
      <c r="D2034" s="4">
        <v>6</v>
      </c>
      <c r="E2034" s="5" t="s">
        <v>10</v>
      </c>
      <c r="F2034" s="4" t="s">
        <v>4499</v>
      </c>
      <c r="G2034" s="4" t="s">
        <v>20</v>
      </c>
      <c r="H2034" s="4" t="s">
        <v>4499</v>
      </c>
      <c r="I2034" s="4" t="s">
        <v>22</v>
      </c>
      <c r="J2034" s="4" t="s">
        <v>78</v>
      </c>
      <c r="K2034" s="4" t="s">
        <v>87</v>
      </c>
      <c r="M2034">
        <f t="shared" si="64"/>
        <v>1361.7843524999998</v>
      </c>
    </row>
    <row r="2035" spans="1:13" ht="14" x14ac:dyDescent="0.2">
      <c r="A2035" s="4" t="s">
        <v>4501</v>
      </c>
      <c r="B2035" s="5">
        <v>4326.2943750000004</v>
      </c>
      <c r="C2035" s="5">
        <f t="shared" si="63"/>
        <v>432.62943750000005</v>
      </c>
      <c r="D2035" s="4">
        <v>10</v>
      </c>
      <c r="E2035" s="5" t="s">
        <v>124</v>
      </c>
      <c r="F2035" s="4" t="s">
        <v>4502</v>
      </c>
      <c r="G2035" s="4" t="s">
        <v>20</v>
      </c>
      <c r="H2035" s="4" t="s">
        <v>4503</v>
      </c>
      <c r="I2035" s="4" t="s">
        <v>22</v>
      </c>
      <c r="J2035" s="4" t="s">
        <v>4504</v>
      </c>
      <c r="K2035" s="4" t="s">
        <v>87</v>
      </c>
      <c r="M2035">
        <f t="shared" si="64"/>
        <v>389.36649375000002</v>
      </c>
    </row>
    <row r="2036" spans="1:13" ht="14" x14ac:dyDescent="0.2">
      <c r="A2036" s="7" t="s">
        <v>5510</v>
      </c>
      <c r="B2036" s="10">
        <v>1885.8206250000001</v>
      </c>
      <c r="C2036" s="5">
        <f t="shared" si="63"/>
        <v>1885.8206250000001</v>
      </c>
      <c r="D2036" s="9">
        <v>1</v>
      </c>
      <c r="E2036" s="10" t="s">
        <v>5229</v>
      </c>
      <c r="F2036" s="7" t="s">
        <v>5312</v>
      </c>
      <c r="H2036" s="7" t="s">
        <v>5511</v>
      </c>
      <c r="J2036" s="7" t="s">
        <v>2338</v>
      </c>
      <c r="K2036" s="7" t="s">
        <v>403</v>
      </c>
      <c r="M2036">
        <f t="shared" si="64"/>
        <v>1697.2385625000002</v>
      </c>
    </row>
    <row r="2037" spans="1:13" ht="14" x14ac:dyDescent="0.2">
      <c r="A2037" s="4" t="s">
        <v>4505</v>
      </c>
      <c r="B2037" s="5">
        <v>5768.3925000000008</v>
      </c>
      <c r="C2037" s="5">
        <f t="shared" si="63"/>
        <v>5768.3925000000008</v>
      </c>
      <c r="D2037" s="4">
        <v>1</v>
      </c>
      <c r="E2037" s="5" t="s">
        <v>18</v>
      </c>
      <c r="F2037" s="4" t="s">
        <v>741</v>
      </c>
      <c r="G2037" s="4" t="s">
        <v>20</v>
      </c>
      <c r="H2037" s="4" t="s">
        <v>4506</v>
      </c>
      <c r="I2037" s="4" t="s">
        <v>22</v>
      </c>
      <c r="J2037" s="4" t="s">
        <v>3543</v>
      </c>
      <c r="K2037" s="4" t="s">
        <v>53</v>
      </c>
      <c r="M2037">
        <f t="shared" si="64"/>
        <v>5191.5532500000008</v>
      </c>
    </row>
    <row r="2038" spans="1:13" ht="14" x14ac:dyDescent="0.2">
      <c r="A2038" s="4" t="s">
        <v>4507</v>
      </c>
      <c r="B2038" s="5">
        <v>3735.0341437500006</v>
      </c>
      <c r="C2038" s="5">
        <f t="shared" si="63"/>
        <v>62.250569062500013</v>
      </c>
      <c r="D2038" s="4">
        <v>60</v>
      </c>
      <c r="E2038" s="5" t="s">
        <v>10</v>
      </c>
      <c r="F2038" s="4" t="s">
        <v>4508</v>
      </c>
      <c r="G2038" s="4" t="s">
        <v>20</v>
      </c>
      <c r="H2038" s="4" t="s">
        <v>4509</v>
      </c>
      <c r="I2038" s="4" t="s">
        <v>22</v>
      </c>
      <c r="J2038" s="4" t="s">
        <v>25</v>
      </c>
      <c r="K2038" s="4" t="s">
        <v>34</v>
      </c>
      <c r="M2038">
        <f t="shared" si="64"/>
        <v>56.025512156250009</v>
      </c>
    </row>
    <row r="2039" spans="1:13" ht="14" x14ac:dyDescent="0.2">
      <c r="A2039" s="4" t="s">
        <v>4510</v>
      </c>
      <c r="B2039" s="5">
        <v>5524.3451250000007</v>
      </c>
      <c r="C2039" s="5">
        <f t="shared" si="63"/>
        <v>55.243451250000007</v>
      </c>
      <c r="D2039" s="4">
        <v>100</v>
      </c>
      <c r="E2039" s="5" t="s">
        <v>10</v>
      </c>
      <c r="F2039" s="4" t="s">
        <v>3988</v>
      </c>
      <c r="G2039" s="4" t="s">
        <v>20</v>
      </c>
      <c r="H2039" s="4" t="s">
        <v>4511</v>
      </c>
      <c r="I2039" s="4" t="s">
        <v>22</v>
      </c>
      <c r="J2039" s="4" t="s">
        <v>25</v>
      </c>
      <c r="K2039" s="4" t="s">
        <v>34</v>
      </c>
      <c r="M2039">
        <f t="shared" si="64"/>
        <v>49.719106125000003</v>
      </c>
    </row>
    <row r="2040" spans="1:13" ht="14" x14ac:dyDescent="0.2">
      <c r="A2040" s="4" t="s">
        <v>4512</v>
      </c>
      <c r="B2040" s="5">
        <v>20352.441768749999</v>
      </c>
      <c r="C2040" s="5">
        <f t="shared" si="63"/>
        <v>726.87292031250001</v>
      </c>
      <c r="D2040" s="4">
        <v>28</v>
      </c>
      <c r="E2040" s="5" t="s">
        <v>10</v>
      </c>
      <c r="F2040" s="4" t="s">
        <v>1368</v>
      </c>
      <c r="G2040" s="4" t="s">
        <v>20</v>
      </c>
      <c r="H2040" s="4" t="s">
        <v>4513</v>
      </c>
      <c r="I2040" s="4" t="s">
        <v>22</v>
      </c>
      <c r="J2040" s="4" t="s">
        <v>1370</v>
      </c>
      <c r="K2040" s="4" t="s">
        <v>312</v>
      </c>
      <c r="M2040">
        <f t="shared" si="64"/>
        <v>654.18562828125005</v>
      </c>
    </row>
    <row r="2041" spans="1:13" ht="14" x14ac:dyDescent="0.2">
      <c r="A2041" s="4" t="s">
        <v>4514</v>
      </c>
      <c r="B2041" s="5">
        <v>3644.0710312500005</v>
      </c>
      <c r="C2041" s="5">
        <f t="shared" si="63"/>
        <v>364.40710312500005</v>
      </c>
      <c r="D2041" s="4">
        <v>10</v>
      </c>
      <c r="E2041" s="5" t="s">
        <v>30</v>
      </c>
      <c r="F2041" s="4" t="s">
        <v>4515</v>
      </c>
      <c r="G2041" s="4" t="s">
        <v>20</v>
      </c>
      <c r="H2041" s="4" t="s">
        <v>4516</v>
      </c>
      <c r="I2041" s="4" t="s">
        <v>22</v>
      </c>
      <c r="J2041" s="4" t="s">
        <v>25</v>
      </c>
      <c r="K2041" s="4" t="s">
        <v>34</v>
      </c>
      <c r="M2041">
        <f t="shared" si="64"/>
        <v>327.96639281250003</v>
      </c>
    </row>
    <row r="2042" spans="1:13" ht="14" x14ac:dyDescent="0.2">
      <c r="A2042" s="4" t="s">
        <v>4517</v>
      </c>
      <c r="B2042" s="5">
        <v>21298.68</v>
      </c>
      <c r="C2042" s="5">
        <f t="shared" si="63"/>
        <v>354.97800000000001</v>
      </c>
      <c r="D2042" s="4">
        <v>60</v>
      </c>
      <c r="E2042" s="5" t="s">
        <v>10</v>
      </c>
      <c r="F2042" s="4" t="s">
        <v>4518</v>
      </c>
      <c r="G2042" s="4" t="s">
        <v>12</v>
      </c>
      <c r="H2042" s="4" t="s">
        <v>4519</v>
      </c>
      <c r="I2042" s="4" t="s">
        <v>22</v>
      </c>
      <c r="J2042" s="4" t="s">
        <v>207</v>
      </c>
      <c r="K2042" s="4" t="s">
        <v>227</v>
      </c>
      <c r="M2042">
        <f t="shared" si="64"/>
        <v>319.48020000000002</v>
      </c>
    </row>
    <row r="2043" spans="1:13" ht="14" x14ac:dyDescent="0.2">
      <c r="A2043" s="4" t="s">
        <v>4520</v>
      </c>
      <c r="B2043" s="5">
        <v>5065.0923375000002</v>
      </c>
      <c r="C2043" s="5">
        <f t="shared" si="63"/>
        <v>168.83641125</v>
      </c>
      <c r="D2043" s="4">
        <v>30</v>
      </c>
      <c r="E2043" s="5" t="s">
        <v>10</v>
      </c>
      <c r="F2043" s="4" t="s">
        <v>4521</v>
      </c>
      <c r="G2043" s="4" t="s">
        <v>12</v>
      </c>
      <c r="H2043" s="4" t="s">
        <v>4522</v>
      </c>
      <c r="I2043" s="4" t="s">
        <v>14</v>
      </c>
      <c r="J2043" s="4" t="s">
        <v>4523</v>
      </c>
      <c r="K2043" s="4" t="s">
        <v>16</v>
      </c>
      <c r="M2043">
        <f t="shared" si="64"/>
        <v>151.952770125</v>
      </c>
    </row>
    <row r="2044" spans="1:13" ht="14" x14ac:dyDescent="0.2">
      <c r="A2044" s="4" t="s">
        <v>4524</v>
      </c>
      <c r="B2044" s="5">
        <v>1682.8175812500001</v>
      </c>
      <c r="C2044" s="5">
        <f t="shared" si="63"/>
        <v>560.93919375000007</v>
      </c>
      <c r="D2044" s="4">
        <v>3</v>
      </c>
      <c r="E2044" s="5" t="s">
        <v>10</v>
      </c>
      <c r="F2044" s="4" t="s">
        <v>4525</v>
      </c>
      <c r="G2044" s="4" t="s">
        <v>20</v>
      </c>
      <c r="H2044" s="4" t="s">
        <v>4526</v>
      </c>
      <c r="I2044" s="4" t="s">
        <v>22</v>
      </c>
      <c r="J2044" s="4" t="s">
        <v>1890</v>
      </c>
      <c r="K2044" s="4" t="s">
        <v>108</v>
      </c>
      <c r="M2044">
        <f t="shared" si="64"/>
        <v>504.84527437500003</v>
      </c>
    </row>
    <row r="2045" spans="1:13" ht="14" x14ac:dyDescent="0.2">
      <c r="A2045" s="4" t="s">
        <v>4527</v>
      </c>
      <c r="B2045" s="5">
        <v>1706.1130125</v>
      </c>
      <c r="C2045" s="5">
        <f t="shared" si="63"/>
        <v>426.52825312499999</v>
      </c>
      <c r="D2045" s="4">
        <v>4</v>
      </c>
      <c r="E2045" s="5" t="s">
        <v>10</v>
      </c>
      <c r="F2045" s="4" t="s">
        <v>2138</v>
      </c>
      <c r="G2045" s="4" t="s">
        <v>20</v>
      </c>
      <c r="H2045" s="4" t="s">
        <v>4293</v>
      </c>
      <c r="I2045" s="4" t="s">
        <v>22</v>
      </c>
      <c r="J2045" s="4" t="s">
        <v>207</v>
      </c>
      <c r="K2045" s="4" t="s">
        <v>53</v>
      </c>
      <c r="M2045">
        <f t="shared" si="64"/>
        <v>383.87542781249999</v>
      </c>
    </row>
    <row r="2046" spans="1:13" ht="14" x14ac:dyDescent="0.2">
      <c r="A2046" s="4" t="s">
        <v>4528</v>
      </c>
      <c r="B2046" s="5">
        <v>60457.190625000003</v>
      </c>
      <c r="C2046" s="5">
        <f t="shared" si="63"/>
        <v>60457.190625000003</v>
      </c>
      <c r="D2046" s="4">
        <v>1</v>
      </c>
      <c r="E2046" s="5" t="s">
        <v>170</v>
      </c>
      <c r="F2046" s="4" t="s">
        <v>4529</v>
      </c>
      <c r="G2046" s="4" t="s">
        <v>12</v>
      </c>
      <c r="H2046" s="4" t="s">
        <v>4528</v>
      </c>
      <c r="I2046" s="4" t="s">
        <v>14</v>
      </c>
      <c r="J2046" s="4" t="s">
        <v>4530</v>
      </c>
      <c r="K2046" s="4" t="s">
        <v>74</v>
      </c>
      <c r="M2046">
        <f t="shared" si="64"/>
        <v>54411.471562500003</v>
      </c>
    </row>
    <row r="2047" spans="1:13" ht="14" x14ac:dyDescent="0.2">
      <c r="A2047" s="4" t="s">
        <v>4531</v>
      </c>
      <c r="B2047" s="5">
        <v>70995.600000000006</v>
      </c>
      <c r="C2047" s="5">
        <f t="shared" si="63"/>
        <v>70995.600000000006</v>
      </c>
      <c r="D2047" s="4">
        <v>1</v>
      </c>
      <c r="E2047" s="5" t="s">
        <v>170</v>
      </c>
      <c r="F2047" s="4" t="s">
        <v>4532</v>
      </c>
      <c r="G2047" s="4" t="s">
        <v>12</v>
      </c>
      <c r="H2047" s="4" t="s">
        <v>4533</v>
      </c>
      <c r="I2047" s="4" t="s">
        <v>14</v>
      </c>
      <c r="J2047" s="4" t="s">
        <v>4534</v>
      </c>
      <c r="K2047" s="4" t="s">
        <v>1575</v>
      </c>
      <c r="M2047">
        <f t="shared" si="64"/>
        <v>63896.040000000008</v>
      </c>
    </row>
    <row r="2048" spans="1:13" ht="14" x14ac:dyDescent="0.2">
      <c r="A2048" s="4" t="s">
        <v>4535</v>
      </c>
      <c r="B2048" s="5">
        <v>77651.4375</v>
      </c>
      <c r="C2048" s="5">
        <f t="shared" si="63"/>
        <v>77651.4375</v>
      </c>
      <c r="D2048" s="4">
        <v>1</v>
      </c>
      <c r="E2048" s="5" t="s">
        <v>170</v>
      </c>
      <c r="F2048" s="4" t="s">
        <v>4536</v>
      </c>
      <c r="G2048" s="4" t="s">
        <v>12</v>
      </c>
      <c r="H2048" s="4" t="s">
        <v>4533</v>
      </c>
      <c r="I2048" s="4" t="s">
        <v>14</v>
      </c>
      <c r="J2048" s="4" t="s">
        <v>4537</v>
      </c>
      <c r="K2048" s="4" t="s">
        <v>1575</v>
      </c>
      <c r="M2048">
        <f t="shared" si="64"/>
        <v>69886.293749999997</v>
      </c>
    </row>
    <row r="2049" spans="1:25" ht="14" x14ac:dyDescent="0.2">
      <c r="A2049" s="4" t="s">
        <v>4538</v>
      </c>
      <c r="B2049" s="5">
        <v>62975.315812500012</v>
      </c>
      <c r="C2049" s="5">
        <f t="shared" si="63"/>
        <v>62975.315812500012</v>
      </c>
      <c r="D2049" s="4">
        <v>1</v>
      </c>
      <c r="E2049" s="5" t="s">
        <v>170</v>
      </c>
      <c r="F2049" s="4" t="s">
        <v>4536</v>
      </c>
      <c r="G2049" s="4" t="s">
        <v>12</v>
      </c>
      <c r="H2049" s="4" t="s">
        <v>4533</v>
      </c>
      <c r="I2049" s="4" t="s">
        <v>14</v>
      </c>
      <c r="J2049" s="4" t="s">
        <v>4537</v>
      </c>
      <c r="K2049" s="4" t="s">
        <v>1575</v>
      </c>
      <c r="M2049">
        <f t="shared" si="64"/>
        <v>56677.784231250014</v>
      </c>
    </row>
    <row r="2050" spans="1:25" ht="14" x14ac:dyDescent="0.2">
      <c r="A2050" s="4" t="s">
        <v>4539</v>
      </c>
      <c r="B2050" s="5">
        <v>1790.4202874999999</v>
      </c>
      <c r="C2050" s="5">
        <f t="shared" si="63"/>
        <v>179.04202874999999</v>
      </c>
      <c r="D2050" s="4">
        <v>10</v>
      </c>
      <c r="E2050" s="5" t="s">
        <v>10</v>
      </c>
      <c r="F2050" s="4" t="s">
        <v>4540</v>
      </c>
      <c r="G2050" s="4" t="s">
        <v>20</v>
      </c>
      <c r="H2050" s="4" t="s">
        <v>4541</v>
      </c>
      <c r="I2050" s="4" t="s">
        <v>22</v>
      </c>
      <c r="J2050" s="4" t="s">
        <v>4542</v>
      </c>
      <c r="K2050" s="4" t="s">
        <v>87</v>
      </c>
      <c r="M2050">
        <f t="shared" si="64"/>
        <v>161.13782587499998</v>
      </c>
    </row>
    <row r="2051" spans="1:25" ht="14" x14ac:dyDescent="0.2">
      <c r="A2051" s="4" t="s">
        <v>4543</v>
      </c>
      <c r="B2051" s="5">
        <v>4991.8781250000002</v>
      </c>
      <c r="C2051" s="5">
        <f t="shared" ref="C2051:C2114" si="65">(B2051/D2051)</f>
        <v>1663.9593750000001</v>
      </c>
      <c r="D2051" s="4">
        <v>3</v>
      </c>
      <c r="E2051" s="5" t="s">
        <v>10</v>
      </c>
      <c r="F2051" s="4" t="s">
        <v>4544</v>
      </c>
      <c r="G2051" s="4" t="s">
        <v>20</v>
      </c>
      <c r="H2051" s="4" t="s">
        <v>4545</v>
      </c>
      <c r="I2051" s="4" t="s">
        <v>22</v>
      </c>
      <c r="J2051" s="4" t="s">
        <v>4546</v>
      </c>
      <c r="K2051" s="4" t="s">
        <v>108</v>
      </c>
      <c r="M2051">
        <f t="shared" si="64"/>
        <v>1497.5634375000002</v>
      </c>
    </row>
    <row r="2052" spans="1:25" ht="14" x14ac:dyDescent="0.2">
      <c r="A2052" s="7" t="s">
        <v>5512</v>
      </c>
      <c r="B2052" s="10">
        <v>499.18781250000006</v>
      </c>
      <c r="C2052" s="5">
        <f t="shared" si="65"/>
        <v>166.39593750000003</v>
      </c>
      <c r="D2052" s="9">
        <v>3</v>
      </c>
      <c r="E2052" s="10" t="s">
        <v>25</v>
      </c>
      <c r="F2052" s="7" t="s">
        <v>4548</v>
      </c>
      <c r="G2052" s="7" t="s">
        <v>12</v>
      </c>
      <c r="H2052" s="7" t="s">
        <v>4548</v>
      </c>
      <c r="J2052" s="7" t="s">
        <v>5513</v>
      </c>
      <c r="K2052" s="7" t="s">
        <v>28</v>
      </c>
      <c r="L2052" s="4"/>
      <c r="M2052">
        <f t="shared" si="64"/>
        <v>149.75634375000004</v>
      </c>
      <c r="N2052" s="3"/>
      <c r="O2052" s="3"/>
      <c r="P2052" s="3"/>
      <c r="Q2052" s="2"/>
      <c r="R2052" s="2"/>
      <c r="S2052" s="2"/>
      <c r="T2052" s="2"/>
      <c r="U2052" s="2"/>
      <c r="V2052" s="2"/>
      <c r="W2052" s="2"/>
      <c r="X2052" s="2"/>
      <c r="Y2052" s="2"/>
    </row>
    <row r="2053" spans="1:25" ht="14" x14ac:dyDescent="0.2">
      <c r="A2053" s="4" t="s">
        <v>4547</v>
      </c>
      <c r="B2053" s="5">
        <v>110.93062500000001</v>
      </c>
      <c r="C2053" s="5">
        <f t="shared" si="65"/>
        <v>110.93062500000001</v>
      </c>
      <c r="D2053" s="4">
        <v>1</v>
      </c>
      <c r="E2053" s="5" t="s">
        <v>25</v>
      </c>
      <c r="F2053" s="4" t="s">
        <v>4547</v>
      </c>
      <c r="G2053" s="4" t="s">
        <v>12</v>
      </c>
      <c r="H2053" s="4" t="s">
        <v>4548</v>
      </c>
      <c r="I2053" s="4" t="s">
        <v>22</v>
      </c>
      <c r="J2053" s="4" t="s">
        <v>1995</v>
      </c>
      <c r="K2053" s="4" t="s">
        <v>80</v>
      </c>
      <c r="M2053">
        <f t="shared" si="64"/>
        <v>99.837562500000004</v>
      </c>
    </row>
    <row r="2054" spans="1:25" ht="14" x14ac:dyDescent="0.2">
      <c r="A2054" s="4" t="s">
        <v>4549</v>
      </c>
      <c r="B2054" s="5">
        <v>88.744500000000016</v>
      </c>
      <c r="C2054" s="5">
        <f t="shared" si="65"/>
        <v>88.744500000000016</v>
      </c>
      <c r="D2054" s="4">
        <v>1</v>
      </c>
      <c r="E2054" s="5" t="s">
        <v>25</v>
      </c>
      <c r="F2054" s="4" t="s">
        <v>4549</v>
      </c>
      <c r="G2054" s="4" t="s">
        <v>12</v>
      </c>
      <c r="H2054" s="4" t="s">
        <v>4548</v>
      </c>
      <c r="I2054" s="4" t="s">
        <v>22</v>
      </c>
      <c r="J2054" s="4" t="s">
        <v>2620</v>
      </c>
      <c r="K2054" s="4" t="s">
        <v>80</v>
      </c>
      <c r="M2054">
        <f t="shared" si="64"/>
        <v>79.87005000000002</v>
      </c>
    </row>
    <row r="2055" spans="1:25" ht="14" x14ac:dyDescent="0.2">
      <c r="A2055" s="4" t="s">
        <v>4550</v>
      </c>
      <c r="B2055" s="5">
        <v>110.93062500000001</v>
      </c>
      <c r="C2055" s="5">
        <f t="shared" si="65"/>
        <v>110.93062500000001</v>
      </c>
      <c r="D2055" s="4">
        <v>1</v>
      </c>
      <c r="E2055" s="5" t="s">
        <v>25</v>
      </c>
      <c r="F2055" s="4" t="s">
        <v>4550</v>
      </c>
      <c r="G2055" s="4" t="s">
        <v>12</v>
      </c>
      <c r="H2055" s="4" t="s">
        <v>4548</v>
      </c>
      <c r="I2055" s="4" t="s">
        <v>22</v>
      </c>
      <c r="J2055" s="4" t="s">
        <v>4551</v>
      </c>
      <c r="K2055" s="4" t="s">
        <v>80</v>
      </c>
      <c r="M2055">
        <f t="shared" si="64"/>
        <v>99.837562500000004</v>
      </c>
    </row>
    <row r="2056" spans="1:25" ht="14" x14ac:dyDescent="0.2">
      <c r="A2056" s="4" t="s">
        <v>4552</v>
      </c>
      <c r="B2056" s="5">
        <v>110.93062500000001</v>
      </c>
      <c r="C2056" s="5">
        <f t="shared" si="65"/>
        <v>110.93062500000001</v>
      </c>
      <c r="D2056" s="4">
        <v>1</v>
      </c>
      <c r="E2056" s="5" t="s">
        <v>25</v>
      </c>
      <c r="F2056" s="4" t="s">
        <v>4553</v>
      </c>
      <c r="G2056" s="4" t="s">
        <v>12</v>
      </c>
      <c r="H2056" s="4" t="s">
        <v>4548</v>
      </c>
      <c r="I2056" s="4" t="s">
        <v>22</v>
      </c>
      <c r="J2056" s="4" t="s">
        <v>1766</v>
      </c>
      <c r="K2056" s="4" t="s">
        <v>80</v>
      </c>
      <c r="M2056">
        <f t="shared" si="64"/>
        <v>99.837562500000004</v>
      </c>
    </row>
    <row r="2057" spans="1:25" ht="14" x14ac:dyDescent="0.2">
      <c r="A2057" s="4" t="s">
        <v>4554</v>
      </c>
      <c r="B2057" s="5">
        <v>7987.005000000001</v>
      </c>
      <c r="C2057" s="5">
        <f t="shared" si="65"/>
        <v>7987.005000000001</v>
      </c>
      <c r="D2057" s="4">
        <v>1</v>
      </c>
      <c r="E2057" s="4" t="s">
        <v>18</v>
      </c>
      <c r="F2057" s="4" t="s">
        <v>4554</v>
      </c>
      <c r="G2057" s="4" t="s">
        <v>12</v>
      </c>
      <c r="H2057" s="4" t="s">
        <v>4555</v>
      </c>
      <c r="I2057" s="4"/>
      <c r="J2057" s="4" t="s">
        <v>4556</v>
      </c>
      <c r="K2057" s="4" t="s">
        <v>244</v>
      </c>
      <c r="M2057">
        <f t="shared" si="64"/>
        <v>7188.3045000000011</v>
      </c>
    </row>
    <row r="2058" spans="1:25" ht="14" x14ac:dyDescent="0.2">
      <c r="A2058" s="4" t="s">
        <v>4557</v>
      </c>
      <c r="B2058" s="5">
        <v>7148.3694750000013</v>
      </c>
      <c r="C2058" s="5">
        <f t="shared" si="65"/>
        <v>7148.3694750000013</v>
      </c>
      <c r="D2058" s="4">
        <v>1</v>
      </c>
      <c r="E2058" s="5" t="s">
        <v>175</v>
      </c>
      <c r="F2058" s="4" t="s">
        <v>4558</v>
      </c>
      <c r="G2058" s="4" t="s">
        <v>12</v>
      </c>
      <c r="H2058" s="4" t="s">
        <v>4559</v>
      </c>
      <c r="I2058" s="4" t="s">
        <v>14</v>
      </c>
      <c r="J2058" s="8">
        <v>5.0000000000000001E-4</v>
      </c>
      <c r="K2058" s="4" t="s">
        <v>23</v>
      </c>
      <c r="M2058">
        <f t="shared" si="64"/>
        <v>6433.5325275000014</v>
      </c>
    </row>
    <row r="2059" spans="1:25" ht="14" x14ac:dyDescent="0.2">
      <c r="A2059" s="4" t="s">
        <v>4560</v>
      </c>
      <c r="B2059" s="5">
        <v>32514.875493750005</v>
      </c>
      <c r="C2059" s="5">
        <f t="shared" si="65"/>
        <v>32514.875493750005</v>
      </c>
      <c r="D2059" s="4">
        <v>1</v>
      </c>
      <c r="E2059" s="5" t="s">
        <v>175</v>
      </c>
      <c r="F2059" s="4" t="s">
        <v>4561</v>
      </c>
      <c r="G2059" s="4" t="s">
        <v>12</v>
      </c>
      <c r="H2059" s="4" t="s">
        <v>4562</v>
      </c>
      <c r="I2059" s="4" t="s">
        <v>22</v>
      </c>
      <c r="J2059" s="4" t="s">
        <v>4563</v>
      </c>
      <c r="K2059" s="4" t="s">
        <v>23</v>
      </c>
      <c r="M2059">
        <f t="shared" si="64"/>
        <v>29263.387944375005</v>
      </c>
    </row>
    <row r="2060" spans="1:25" ht="14" x14ac:dyDescent="0.2">
      <c r="A2060" s="4" t="s">
        <v>4564</v>
      </c>
      <c r="B2060" s="5">
        <v>7760.7065250000005</v>
      </c>
      <c r="C2060" s="5">
        <f t="shared" si="65"/>
        <v>7760.7065250000005</v>
      </c>
      <c r="D2060" s="4">
        <v>1</v>
      </c>
      <c r="E2060" s="5" t="s">
        <v>175</v>
      </c>
      <c r="F2060" s="4" t="s">
        <v>4565</v>
      </c>
      <c r="G2060" s="4" t="s">
        <v>20</v>
      </c>
      <c r="H2060" s="4" t="s">
        <v>4566</v>
      </c>
      <c r="I2060" s="4" t="s">
        <v>22</v>
      </c>
      <c r="J2060" s="8">
        <v>3.0000000000000001E-3</v>
      </c>
      <c r="K2060" s="4" t="s">
        <v>244</v>
      </c>
      <c r="M2060">
        <f t="shared" si="64"/>
        <v>6984.6358725000009</v>
      </c>
    </row>
    <row r="2061" spans="1:25" ht="14" x14ac:dyDescent="0.2">
      <c r="A2061" s="4" t="s">
        <v>4567</v>
      </c>
      <c r="B2061" s="5">
        <v>6575.967450000001</v>
      </c>
      <c r="C2061" s="5">
        <f t="shared" si="65"/>
        <v>6575.967450000001</v>
      </c>
      <c r="D2061" s="4">
        <v>1</v>
      </c>
      <c r="E2061" s="5" t="s">
        <v>18</v>
      </c>
      <c r="F2061" s="4" t="s">
        <v>4565</v>
      </c>
      <c r="G2061" s="4" t="s">
        <v>20</v>
      </c>
      <c r="H2061" s="4" t="s">
        <v>4566</v>
      </c>
      <c r="I2061" s="4" t="s">
        <v>22</v>
      </c>
      <c r="J2061" s="4" t="s">
        <v>895</v>
      </c>
      <c r="K2061" s="4" t="s">
        <v>244</v>
      </c>
      <c r="M2061">
        <f t="shared" si="64"/>
        <v>5918.3707050000012</v>
      </c>
    </row>
    <row r="2062" spans="1:25" ht="14" x14ac:dyDescent="0.2">
      <c r="A2062" s="4" t="s">
        <v>4568</v>
      </c>
      <c r="B2062" s="5">
        <v>8791.2520312500001</v>
      </c>
      <c r="C2062" s="5">
        <f t="shared" si="65"/>
        <v>8791.2520312500001</v>
      </c>
      <c r="D2062" s="4">
        <v>1</v>
      </c>
      <c r="E2062" s="5" t="s">
        <v>175</v>
      </c>
      <c r="F2062" s="4" t="s">
        <v>4569</v>
      </c>
      <c r="G2062" s="4" t="s">
        <v>20</v>
      </c>
      <c r="H2062" s="4" t="s">
        <v>4570</v>
      </c>
      <c r="I2062" s="4" t="s">
        <v>22</v>
      </c>
      <c r="J2062" s="4" t="s">
        <v>4571</v>
      </c>
      <c r="K2062" s="4" t="s">
        <v>244</v>
      </c>
      <c r="M2062">
        <f t="shared" si="64"/>
        <v>7912.1268281249995</v>
      </c>
    </row>
    <row r="2063" spans="1:25" ht="14" x14ac:dyDescent="0.2">
      <c r="A2063" s="4" t="s">
        <v>4572</v>
      </c>
      <c r="B2063" s="5">
        <v>15641.218125000001</v>
      </c>
      <c r="C2063" s="5">
        <f t="shared" si="65"/>
        <v>521.37393750000001</v>
      </c>
      <c r="D2063" s="4">
        <v>30</v>
      </c>
      <c r="E2063" s="5" t="s">
        <v>10</v>
      </c>
      <c r="F2063" s="4" t="s">
        <v>4573</v>
      </c>
      <c r="G2063" s="4" t="s">
        <v>12</v>
      </c>
      <c r="H2063" s="4" t="s">
        <v>4574</v>
      </c>
      <c r="I2063" s="4" t="s">
        <v>22</v>
      </c>
      <c r="J2063" s="4" t="s">
        <v>1208</v>
      </c>
      <c r="K2063" s="4" t="s">
        <v>227</v>
      </c>
      <c r="M2063">
        <f t="shared" si="64"/>
        <v>469.23654375000001</v>
      </c>
    </row>
    <row r="2064" spans="1:25" ht="14" x14ac:dyDescent="0.2">
      <c r="A2064" s="4" t="s">
        <v>4575</v>
      </c>
      <c r="B2064" s="5">
        <v>16894.734187500002</v>
      </c>
      <c r="C2064" s="5">
        <f t="shared" si="65"/>
        <v>563.15780625000002</v>
      </c>
      <c r="D2064" s="4">
        <v>30</v>
      </c>
      <c r="E2064" s="5" t="s">
        <v>10</v>
      </c>
      <c r="F2064" s="4" t="s">
        <v>4575</v>
      </c>
      <c r="G2064" s="4" t="s">
        <v>20</v>
      </c>
      <c r="H2064" s="4" t="s">
        <v>4575</v>
      </c>
      <c r="I2064" s="4" t="s">
        <v>22</v>
      </c>
      <c r="J2064" s="4" t="s">
        <v>2578</v>
      </c>
      <c r="K2064" s="4" t="s">
        <v>87</v>
      </c>
      <c r="M2064">
        <f t="shared" si="64"/>
        <v>506.84202562500002</v>
      </c>
    </row>
    <row r="2065" spans="1:13" ht="14" x14ac:dyDescent="0.2">
      <c r="A2065" s="4" t="s">
        <v>4576</v>
      </c>
      <c r="B2065" s="5">
        <v>2612.4162187500001</v>
      </c>
      <c r="C2065" s="5">
        <f t="shared" si="65"/>
        <v>26.124162187500001</v>
      </c>
      <c r="D2065" s="4">
        <v>100</v>
      </c>
      <c r="E2065" s="5" t="s">
        <v>10</v>
      </c>
      <c r="F2065" s="4" t="s">
        <v>182</v>
      </c>
      <c r="G2065" s="4" t="s">
        <v>20</v>
      </c>
      <c r="H2065" s="4" t="s">
        <v>4577</v>
      </c>
      <c r="I2065" s="4" t="s">
        <v>22</v>
      </c>
      <c r="J2065" s="4" t="s">
        <v>52</v>
      </c>
      <c r="K2065" s="4" t="s">
        <v>87</v>
      </c>
      <c r="M2065">
        <f t="shared" si="64"/>
        <v>23.511745968750002</v>
      </c>
    </row>
    <row r="2066" spans="1:13" ht="14" x14ac:dyDescent="0.2">
      <c r="A2066" s="4" t="s">
        <v>4578</v>
      </c>
      <c r="B2066" s="5">
        <v>24293.806875000002</v>
      </c>
      <c r="C2066" s="5">
        <f t="shared" si="65"/>
        <v>867.63595982142863</v>
      </c>
      <c r="D2066" s="4">
        <v>28</v>
      </c>
      <c r="E2066" s="5" t="s">
        <v>10</v>
      </c>
      <c r="F2066" s="4" t="s">
        <v>2802</v>
      </c>
      <c r="G2066" s="4" t="s">
        <v>20</v>
      </c>
      <c r="H2066" s="4" t="s">
        <v>4579</v>
      </c>
      <c r="I2066" s="4" t="s">
        <v>22</v>
      </c>
      <c r="J2066" s="4" t="s">
        <v>67</v>
      </c>
      <c r="K2066" s="4" t="s">
        <v>103</v>
      </c>
      <c r="M2066">
        <f t="shared" si="64"/>
        <v>780.87236383928575</v>
      </c>
    </row>
    <row r="2067" spans="1:13" ht="14" x14ac:dyDescent="0.2">
      <c r="A2067" s="4" t="s">
        <v>4580</v>
      </c>
      <c r="B2067" s="5">
        <v>81977.731875000012</v>
      </c>
      <c r="C2067" s="5">
        <f t="shared" si="65"/>
        <v>910.86368750000008</v>
      </c>
      <c r="D2067" s="4">
        <v>90</v>
      </c>
      <c r="E2067" s="4" t="s">
        <v>10</v>
      </c>
      <c r="F2067" s="4" t="s">
        <v>4580</v>
      </c>
      <c r="G2067" s="4" t="s">
        <v>20</v>
      </c>
      <c r="H2067" s="4" t="s">
        <v>4581</v>
      </c>
      <c r="I2067" s="4"/>
      <c r="J2067" s="4" t="s">
        <v>15</v>
      </c>
      <c r="K2067" s="4" t="s">
        <v>786</v>
      </c>
      <c r="M2067">
        <f t="shared" si="64"/>
        <v>819.77731875000006</v>
      </c>
    </row>
    <row r="2068" spans="1:13" ht="14" x14ac:dyDescent="0.2">
      <c r="A2068" s="4" t="s">
        <v>4582</v>
      </c>
      <c r="B2068" s="5">
        <v>132894.88875000001</v>
      </c>
      <c r="C2068" s="5">
        <f t="shared" si="65"/>
        <v>4429.8296250000003</v>
      </c>
      <c r="D2068" s="4">
        <v>30</v>
      </c>
      <c r="E2068" s="5" t="s">
        <v>30</v>
      </c>
      <c r="F2068" s="4" t="s">
        <v>4583</v>
      </c>
      <c r="G2068" s="4" t="s">
        <v>12</v>
      </c>
      <c r="H2068" s="4" t="s">
        <v>4584</v>
      </c>
      <c r="I2068" s="4" t="s">
        <v>14</v>
      </c>
      <c r="J2068" s="4" t="s">
        <v>707</v>
      </c>
      <c r="K2068" s="4" t="s">
        <v>1502</v>
      </c>
      <c r="M2068">
        <f t="shared" si="64"/>
        <v>3986.8466625000001</v>
      </c>
    </row>
    <row r="2069" spans="1:13" ht="14" x14ac:dyDescent="0.2">
      <c r="A2069" s="4" t="s">
        <v>4585</v>
      </c>
      <c r="B2069" s="5">
        <v>132562.09687500002</v>
      </c>
      <c r="C2069" s="5">
        <f t="shared" si="65"/>
        <v>132562.09687500002</v>
      </c>
      <c r="D2069" s="4">
        <v>1</v>
      </c>
      <c r="E2069" s="4" t="s">
        <v>55</v>
      </c>
      <c r="F2069" s="4" t="s">
        <v>4585</v>
      </c>
      <c r="G2069" s="4" t="s">
        <v>12</v>
      </c>
      <c r="H2069" s="4" t="s">
        <v>4583</v>
      </c>
      <c r="I2069" s="4"/>
      <c r="J2069" s="8">
        <v>1E-3</v>
      </c>
      <c r="K2069" s="4" t="s">
        <v>23</v>
      </c>
      <c r="M2069">
        <f t="shared" si="64"/>
        <v>119305.88718750002</v>
      </c>
    </row>
    <row r="2070" spans="1:13" ht="14" x14ac:dyDescent="0.2">
      <c r="A2070" s="4" t="s">
        <v>4586</v>
      </c>
      <c r="B2070" s="5">
        <v>131896.513125</v>
      </c>
      <c r="C2070" s="5">
        <f t="shared" si="65"/>
        <v>131896.513125</v>
      </c>
      <c r="D2070" s="4">
        <v>1</v>
      </c>
      <c r="E2070" s="5" t="s">
        <v>55</v>
      </c>
      <c r="F2070" s="4" t="s">
        <v>4583</v>
      </c>
      <c r="G2070" s="4" t="s">
        <v>12</v>
      </c>
      <c r="H2070" s="4" t="s">
        <v>4583</v>
      </c>
      <c r="I2070" s="4" t="s">
        <v>22</v>
      </c>
      <c r="J2070" s="8">
        <v>1E-3</v>
      </c>
      <c r="K2070" s="4" t="s">
        <v>23</v>
      </c>
      <c r="M2070">
        <f t="shared" si="64"/>
        <v>118706.86181249999</v>
      </c>
    </row>
    <row r="2071" spans="1:13" ht="14" x14ac:dyDescent="0.2">
      <c r="A2071" s="4" t="s">
        <v>4587</v>
      </c>
      <c r="B2071" s="5">
        <v>6905.4314062500007</v>
      </c>
      <c r="C2071" s="5">
        <f t="shared" si="65"/>
        <v>1726.3578515625002</v>
      </c>
      <c r="D2071" s="4">
        <v>4</v>
      </c>
      <c r="E2071" s="5" t="s">
        <v>10</v>
      </c>
      <c r="F2071" s="4" t="s">
        <v>449</v>
      </c>
      <c r="G2071" s="4" t="s">
        <v>20</v>
      </c>
      <c r="H2071" s="4" t="s">
        <v>449</v>
      </c>
      <c r="I2071" s="4" t="s">
        <v>22</v>
      </c>
      <c r="J2071" s="4" t="s">
        <v>148</v>
      </c>
      <c r="K2071" s="4" t="s">
        <v>155</v>
      </c>
      <c r="M2071">
        <f t="shared" si="64"/>
        <v>1553.7220664062502</v>
      </c>
    </row>
    <row r="2072" spans="1:13" ht="14" x14ac:dyDescent="0.2">
      <c r="A2072" s="4" t="s">
        <v>4588</v>
      </c>
      <c r="B2072" s="5">
        <v>5193.7718625000007</v>
      </c>
      <c r="C2072" s="5">
        <f t="shared" si="65"/>
        <v>1298.4429656250002</v>
      </c>
      <c r="D2072" s="4">
        <v>4</v>
      </c>
      <c r="E2072" s="5" t="s">
        <v>10</v>
      </c>
      <c r="F2072" s="4" t="s">
        <v>449</v>
      </c>
      <c r="G2072" s="4" t="s">
        <v>20</v>
      </c>
      <c r="H2072" s="4" t="s">
        <v>4589</v>
      </c>
      <c r="I2072" s="4" t="s">
        <v>22</v>
      </c>
      <c r="J2072" s="4" t="s">
        <v>146</v>
      </c>
      <c r="K2072" s="4" t="s">
        <v>155</v>
      </c>
      <c r="M2072">
        <f t="shared" si="64"/>
        <v>1168.5986690625002</v>
      </c>
    </row>
    <row r="2073" spans="1:13" ht="14" x14ac:dyDescent="0.2">
      <c r="A2073" s="4" t="s">
        <v>4590</v>
      </c>
      <c r="B2073" s="5">
        <v>5435.600625</v>
      </c>
      <c r="C2073" s="5">
        <f t="shared" si="65"/>
        <v>1358.90015625</v>
      </c>
      <c r="D2073" s="4">
        <v>4</v>
      </c>
      <c r="E2073" s="5" t="s">
        <v>10</v>
      </c>
      <c r="F2073" s="4" t="s">
        <v>449</v>
      </c>
      <c r="G2073" s="4" t="s">
        <v>20</v>
      </c>
      <c r="H2073" s="4" t="s">
        <v>4589</v>
      </c>
      <c r="I2073" s="4" t="s">
        <v>22</v>
      </c>
      <c r="J2073" s="4" t="s">
        <v>148</v>
      </c>
      <c r="K2073" s="4" t="s">
        <v>155</v>
      </c>
      <c r="M2073">
        <f t="shared" si="64"/>
        <v>1223.0101406250001</v>
      </c>
    </row>
    <row r="2074" spans="1:13" ht="14" x14ac:dyDescent="0.2">
      <c r="A2074" s="4" t="s">
        <v>4591</v>
      </c>
      <c r="B2074" s="5">
        <v>3201.4578375000001</v>
      </c>
      <c r="C2074" s="5">
        <f t="shared" si="65"/>
        <v>106.71526125</v>
      </c>
      <c r="D2074" s="4">
        <v>30</v>
      </c>
      <c r="E2074" s="5" t="s">
        <v>10</v>
      </c>
      <c r="F2074" s="4" t="s">
        <v>892</v>
      </c>
      <c r="G2074" s="4" t="s">
        <v>12</v>
      </c>
      <c r="H2074" s="4" t="s">
        <v>4592</v>
      </c>
      <c r="I2074" s="4" t="s">
        <v>22</v>
      </c>
      <c r="J2074" s="4" t="s">
        <v>761</v>
      </c>
      <c r="K2074" s="4" t="s">
        <v>227</v>
      </c>
      <c r="M2074">
        <f t="shared" si="64"/>
        <v>96.043735124999998</v>
      </c>
    </row>
    <row r="2075" spans="1:13" ht="14" x14ac:dyDescent="0.2">
      <c r="A2075" s="4" t="s">
        <v>4593</v>
      </c>
      <c r="B2075" s="5">
        <v>6216.5522250000013</v>
      </c>
      <c r="C2075" s="5">
        <f t="shared" si="65"/>
        <v>207.21840750000004</v>
      </c>
      <c r="D2075" s="4">
        <v>30</v>
      </c>
      <c r="E2075" s="5" t="s">
        <v>10</v>
      </c>
      <c r="F2075" s="4" t="s">
        <v>892</v>
      </c>
      <c r="G2075" s="4" t="s">
        <v>12</v>
      </c>
      <c r="H2075" s="4" t="s">
        <v>4592</v>
      </c>
      <c r="I2075" s="4" t="s">
        <v>22</v>
      </c>
      <c r="J2075" s="4" t="s">
        <v>895</v>
      </c>
      <c r="K2075" s="4" t="s">
        <v>227</v>
      </c>
      <c r="M2075">
        <f t="shared" si="64"/>
        <v>186.49656675000003</v>
      </c>
    </row>
    <row r="2076" spans="1:13" ht="14" x14ac:dyDescent="0.2">
      <c r="A2076" s="4" t="s">
        <v>4594</v>
      </c>
      <c r="B2076" s="5">
        <v>34610.355000000003</v>
      </c>
      <c r="C2076" s="5">
        <f t="shared" si="65"/>
        <v>8652.5887500000008</v>
      </c>
      <c r="D2076" s="4">
        <v>4</v>
      </c>
      <c r="E2076" s="4" t="s">
        <v>202</v>
      </c>
      <c r="F2076" s="4" t="s">
        <v>4594</v>
      </c>
      <c r="G2076" s="4" t="s">
        <v>20</v>
      </c>
      <c r="H2076" s="4" t="s">
        <v>4595</v>
      </c>
      <c r="I2076" s="4"/>
      <c r="J2076" s="4" t="s">
        <v>4596</v>
      </c>
      <c r="K2076" s="4" t="s">
        <v>53</v>
      </c>
      <c r="M2076">
        <f t="shared" si="64"/>
        <v>7787.3298750000004</v>
      </c>
    </row>
    <row r="2077" spans="1:13" ht="14" x14ac:dyDescent="0.2">
      <c r="A2077" s="4" t="s">
        <v>4597</v>
      </c>
      <c r="B2077" s="5">
        <v>61344.635625000003</v>
      </c>
      <c r="C2077" s="5">
        <f t="shared" si="65"/>
        <v>340.80353124999999</v>
      </c>
      <c r="D2077" s="4">
        <v>180</v>
      </c>
      <c r="E2077" s="4" t="s">
        <v>10</v>
      </c>
      <c r="F2077" s="4" t="s">
        <v>4598</v>
      </c>
      <c r="G2077" s="4" t="s">
        <v>12</v>
      </c>
      <c r="H2077" s="4" t="s">
        <v>4599</v>
      </c>
      <c r="I2077" s="4"/>
      <c r="J2077" s="4" t="s">
        <v>4600</v>
      </c>
      <c r="K2077" s="4" t="s">
        <v>68</v>
      </c>
      <c r="M2077">
        <f t="shared" ref="M2077:M2140" si="66">C2077-(C2077* 10%)</f>
        <v>306.723178125</v>
      </c>
    </row>
    <row r="2078" spans="1:13" ht="14" x14ac:dyDescent="0.2">
      <c r="A2078" s="4" t="s">
        <v>4601</v>
      </c>
      <c r="B2078" s="5">
        <v>7270.3931625000014</v>
      </c>
      <c r="C2078" s="5">
        <f t="shared" si="65"/>
        <v>242.34643875000003</v>
      </c>
      <c r="D2078" s="4">
        <v>30</v>
      </c>
      <c r="E2078" s="5" t="s">
        <v>10</v>
      </c>
      <c r="F2078" s="4" t="s">
        <v>4602</v>
      </c>
      <c r="G2078" s="4" t="s">
        <v>12</v>
      </c>
      <c r="H2078" s="4" t="s">
        <v>4602</v>
      </c>
      <c r="I2078" s="4" t="s">
        <v>14</v>
      </c>
      <c r="J2078" s="4" t="s">
        <v>148</v>
      </c>
      <c r="K2078" s="4" t="s">
        <v>511</v>
      </c>
      <c r="M2078">
        <f t="shared" si="66"/>
        <v>218.11179487500004</v>
      </c>
    </row>
    <row r="2079" spans="1:13" ht="14" x14ac:dyDescent="0.2">
      <c r="A2079" s="7" t="s">
        <v>5514</v>
      </c>
      <c r="B2079" s="10">
        <v>12757.021875</v>
      </c>
      <c r="C2079" s="5">
        <f t="shared" si="65"/>
        <v>425.23406249999999</v>
      </c>
      <c r="D2079" s="9">
        <v>30</v>
      </c>
      <c r="E2079" s="10" t="s">
        <v>5193</v>
      </c>
      <c r="F2079" s="7" t="s">
        <v>5515</v>
      </c>
      <c r="H2079" s="7" t="s">
        <v>5516</v>
      </c>
      <c r="I2079" s="4" t="s">
        <v>22</v>
      </c>
      <c r="J2079" s="7" t="s">
        <v>231</v>
      </c>
      <c r="K2079" s="7" t="s">
        <v>812</v>
      </c>
      <c r="M2079">
        <f t="shared" si="66"/>
        <v>382.71065625</v>
      </c>
    </row>
    <row r="2080" spans="1:13" ht="14" x14ac:dyDescent="0.2">
      <c r="A2080" s="4" t="s">
        <v>4603</v>
      </c>
      <c r="B2080" s="5">
        <v>8812.3288500000017</v>
      </c>
      <c r="C2080" s="5">
        <f t="shared" si="65"/>
        <v>314.72603035714292</v>
      </c>
      <c r="D2080" s="4">
        <v>28</v>
      </c>
      <c r="E2080" s="5" t="s">
        <v>10</v>
      </c>
      <c r="F2080" s="4" t="s">
        <v>1418</v>
      </c>
      <c r="G2080" s="4" t="s">
        <v>12</v>
      </c>
      <c r="H2080" s="4" t="s">
        <v>4604</v>
      </c>
      <c r="I2080" s="4" t="s">
        <v>22</v>
      </c>
      <c r="J2080" s="4" t="s">
        <v>1256</v>
      </c>
      <c r="K2080" s="4" t="s">
        <v>812</v>
      </c>
      <c r="M2080">
        <f t="shared" si="66"/>
        <v>283.2534273214286</v>
      </c>
    </row>
    <row r="2081" spans="1:25" ht="14" x14ac:dyDescent="0.2">
      <c r="A2081" s="4" t="s">
        <v>4605</v>
      </c>
      <c r="B2081" s="5">
        <v>16084.940625000001</v>
      </c>
      <c r="C2081" s="5">
        <f t="shared" si="65"/>
        <v>574.46216517857147</v>
      </c>
      <c r="D2081" s="4">
        <v>28</v>
      </c>
      <c r="E2081" s="5" t="s">
        <v>10</v>
      </c>
      <c r="F2081" s="4" t="s">
        <v>1768</v>
      </c>
      <c r="G2081" s="4" t="s">
        <v>12</v>
      </c>
      <c r="H2081" s="4" t="s">
        <v>4606</v>
      </c>
      <c r="I2081" s="4" t="s">
        <v>14</v>
      </c>
      <c r="J2081" s="4" t="s">
        <v>1770</v>
      </c>
      <c r="K2081" s="4" t="s">
        <v>812</v>
      </c>
      <c r="M2081">
        <f t="shared" si="66"/>
        <v>517.01594866071434</v>
      </c>
    </row>
    <row r="2082" spans="1:25" ht="14" x14ac:dyDescent="0.2">
      <c r="A2082" s="4" t="s">
        <v>4607</v>
      </c>
      <c r="B2082" s="5">
        <v>8404.1041499999992</v>
      </c>
      <c r="C2082" s="5">
        <f t="shared" si="65"/>
        <v>280.13680499999998</v>
      </c>
      <c r="D2082" s="4">
        <v>30</v>
      </c>
      <c r="E2082" s="5" t="s">
        <v>10</v>
      </c>
      <c r="F2082" s="4" t="s">
        <v>1418</v>
      </c>
      <c r="G2082" s="4" t="s">
        <v>12</v>
      </c>
      <c r="H2082" s="4" t="s">
        <v>4604</v>
      </c>
      <c r="I2082" s="4" t="s">
        <v>22</v>
      </c>
      <c r="J2082" s="4" t="s">
        <v>1256</v>
      </c>
      <c r="K2082" s="4" t="s">
        <v>812</v>
      </c>
      <c r="M2082">
        <f t="shared" si="66"/>
        <v>252.12312449999999</v>
      </c>
    </row>
    <row r="2083" spans="1:25" ht="14" x14ac:dyDescent="0.2">
      <c r="A2083" s="4" t="s">
        <v>4608</v>
      </c>
      <c r="B2083" s="5">
        <v>7409.0564437500007</v>
      </c>
      <c r="C2083" s="5">
        <f t="shared" si="65"/>
        <v>264.60915870535717</v>
      </c>
      <c r="D2083" s="4">
        <v>28</v>
      </c>
      <c r="E2083" s="5" t="s">
        <v>30</v>
      </c>
      <c r="F2083" s="4" t="s">
        <v>4609</v>
      </c>
      <c r="G2083" s="4" t="s">
        <v>12</v>
      </c>
      <c r="H2083" s="4" t="s">
        <v>4610</v>
      </c>
      <c r="I2083" s="4" t="s">
        <v>22</v>
      </c>
      <c r="J2083" s="4" t="s">
        <v>4611</v>
      </c>
      <c r="K2083" s="4" t="s">
        <v>812</v>
      </c>
      <c r="M2083">
        <f t="shared" si="66"/>
        <v>238.14824283482145</v>
      </c>
    </row>
    <row r="2084" spans="1:25" ht="14" x14ac:dyDescent="0.2">
      <c r="A2084" s="7" t="s">
        <v>5517</v>
      </c>
      <c r="B2084" s="10">
        <v>3246.7500000000005</v>
      </c>
      <c r="C2084" s="5">
        <f t="shared" si="65"/>
        <v>3246.7500000000005</v>
      </c>
      <c r="D2084" s="9">
        <v>1</v>
      </c>
      <c r="E2084" s="10" t="s">
        <v>5185</v>
      </c>
      <c r="F2084" s="7" t="s">
        <v>1089</v>
      </c>
      <c r="G2084" s="7" t="s">
        <v>12</v>
      </c>
      <c r="H2084" s="7" t="s">
        <v>5518</v>
      </c>
      <c r="I2084" s="4" t="s">
        <v>22</v>
      </c>
      <c r="J2084" s="7" t="s">
        <v>5519</v>
      </c>
      <c r="K2084" s="7" t="s">
        <v>53</v>
      </c>
      <c r="L2084" s="4"/>
      <c r="M2084">
        <f t="shared" si="66"/>
        <v>2922.0750000000003</v>
      </c>
      <c r="N2084" s="3"/>
      <c r="O2084" s="3"/>
      <c r="P2084" s="3"/>
      <c r="Q2084" s="2"/>
      <c r="R2084" s="2"/>
      <c r="S2084" s="2"/>
      <c r="T2084" s="2"/>
      <c r="U2084" s="2"/>
      <c r="V2084" s="2"/>
      <c r="W2084" s="2"/>
      <c r="X2084" s="2"/>
      <c r="Y2084" s="2"/>
    </row>
    <row r="2085" spans="1:25" ht="14" x14ac:dyDescent="0.2">
      <c r="A2085" s="4" t="s">
        <v>4612</v>
      </c>
      <c r="B2085" s="5">
        <v>757.57500000000005</v>
      </c>
      <c r="C2085" s="5">
        <f t="shared" si="65"/>
        <v>757.57500000000005</v>
      </c>
      <c r="D2085" s="4">
        <v>1</v>
      </c>
      <c r="E2085" s="5" t="s">
        <v>181</v>
      </c>
      <c r="F2085" s="4" t="s">
        <v>205</v>
      </c>
      <c r="G2085" s="4" t="s">
        <v>20</v>
      </c>
      <c r="H2085" s="4" t="s">
        <v>206</v>
      </c>
      <c r="I2085" s="4" t="s">
        <v>22</v>
      </c>
      <c r="J2085" s="4" t="s">
        <v>95</v>
      </c>
      <c r="K2085" s="4" t="s">
        <v>1919</v>
      </c>
      <c r="M2085">
        <f t="shared" si="66"/>
        <v>681.8175</v>
      </c>
    </row>
    <row r="2086" spans="1:25" ht="14" x14ac:dyDescent="0.2">
      <c r="A2086" s="4" t="s">
        <v>4613</v>
      </c>
      <c r="B2086" s="5">
        <v>649.35</v>
      </c>
      <c r="C2086" s="5">
        <f t="shared" si="65"/>
        <v>649.35</v>
      </c>
      <c r="D2086" s="4">
        <v>1</v>
      </c>
      <c r="E2086" s="5" t="s">
        <v>10</v>
      </c>
      <c r="F2086" s="4" t="s">
        <v>205</v>
      </c>
      <c r="G2086" s="4" t="s">
        <v>20</v>
      </c>
      <c r="H2086" s="4" t="s">
        <v>206</v>
      </c>
      <c r="I2086" s="4" t="s">
        <v>22</v>
      </c>
      <c r="J2086" s="4" t="s">
        <v>207</v>
      </c>
      <c r="K2086" s="4" t="s">
        <v>53</v>
      </c>
      <c r="M2086">
        <f t="shared" si="66"/>
        <v>584.41499999999996</v>
      </c>
    </row>
    <row r="2087" spans="1:25" ht="14" x14ac:dyDescent="0.2">
      <c r="A2087" s="7" t="s">
        <v>5520</v>
      </c>
      <c r="B2087" s="10">
        <v>41598.984375000007</v>
      </c>
      <c r="C2087" s="5">
        <f t="shared" si="65"/>
        <v>2971.3560267857147</v>
      </c>
      <c r="D2087" s="9">
        <v>14</v>
      </c>
      <c r="E2087" s="10" t="s">
        <v>5193</v>
      </c>
      <c r="F2087" s="7" t="s">
        <v>1745</v>
      </c>
      <c r="G2087" s="7" t="s">
        <v>20</v>
      </c>
      <c r="H2087" s="7" t="s">
        <v>4615</v>
      </c>
      <c r="I2087" s="7" t="s">
        <v>14</v>
      </c>
      <c r="J2087" s="7" t="s">
        <v>1084</v>
      </c>
      <c r="K2087" s="7" t="s">
        <v>53</v>
      </c>
      <c r="L2087" s="4"/>
      <c r="M2087">
        <f t="shared" si="66"/>
        <v>2674.2204241071431</v>
      </c>
      <c r="N2087" s="3"/>
      <c r="O2087" s="3"/>
      <c r="P2087" s="3"/>
      <c r="Q2087" s="2"/>
      <c r="R2087" s="2"/>
      <c r="S2087" s="2"/>
      <c r="T2087" s="2"/>
      <c r="U2087" s="2"/>
      <c r="V2087" s="2"/>
      <c r="W2087" s="2"/>
      <c r="X2087" s="2"/>
      <c r="Y2087" s="2"/>
    </row>
    <row r="2088" spans="1:25" ht="14" x14ac:dyDescent="0.2">
      <c r="A2088" s="4" t="s">
        <v>4614</v>
      </c>
      <c r="B2088" s="5">
        <v>13866.328125000002</v>
      </c>
      <c r="C2088" s="5">
        <f t="shared" si="65"/>
        <v>1386.6328125000002</v>
      </c>
      <c r="D2088" s="4">
        <v>10</v>
      </c>
      <c r="E2088" s="5" t="s">
        <v>10</v>
      </c>
      <c r="F2088" s="4" t="s">
        <v>1745</v>
      </c>
      <c r="G2088" s="4" t="s">
        <v>20</v>
      </c>
      <c r="H2088" s="4" t="s">
        <v>4615</v>
      </c>
      <c r="I2088" s="4" t="s">
        <v>14</v>
      </c>
      <c r="J2088" s="4" t="s">
        <v>95</v>
      </c>
      <c r="K2088" s="4" t="s">
        <v>53</v>
      </c>
      <c r="M2088">
        <f t="shared" si="66"/>
        <v>1247.9695312500003</v>
      </c>
    </row>
    <row r="2089" spans="1:25" ht="14" x14ac:dyDescent="0.2">
      <c r="A2089" s="4" t="s">
        <v>4616</v>
      </c>
      <c r="B2089" s="5">
        <v>9983.7562500000004</v>
      </c>
      <c r="C2089" s="5">
        <f t="shared" si="65"/>
        <v>713.12544642857142</v>
      </c>
      <c r="D2089" s="4">
        <v>14</v>
      </c>
      <c r="E2089" s="5" t="s">
        <v>10</v>
      </c>
      <c r="F2089" s="4" t="s">
        <v>493</v>
      </c>
      <c r="G2089" s="4" t="s">
        <v>12</v>
      </c>
      <c r="H2089" s="4" t="s">
        <v>4617</v>
      </c>
      <c r="I2089" s="4" t="s">
        <v>22</v>
      </c>
      <c r="J2089" s="4" t="s">
        <v>495</v>
      </c>
      <c r="K2089" s="4" t="s">
        <v>90</v>
      </c>
      <c r="M2089">
        <f t="shared" si="66"/>
        <v>641.8129017857143</v>
      </c>
    </row>
    <row r="2090" spans="1:25" ht="14" x14ac:dyDescent="0.2">
      <c r="A2090" s="4" t="s">
        <v>4618</v>
      </c>
      <c r="B2090" s="5">
        <v>9983.7562500000004</v>
      </c>
      <c r="C2090" s="5">
        <f t="shared" si="65"/>
        <v>713.12544642857142</v>
      </c>
      <c r="D2090" s="4">
        <v>14</v>
      </c>
      <c r="E2090" s="5" t="s">
        <v>10</v>
      </c>
      <c r="F2090" s="4" t="s">
        <v>493</v>
      </c>
      <c r="G2090" s="4" t="s">
        <v>12</v>
      </c>
      <c r="H2090" s="4" t="s">
        <v>4617</v>
      </c>
      <c r="I2090" s="4" t="s">
        <v>22</v>
      </c>
      <c r="J2090" s="4" t="s">
        <v>497</v>
      </c>
      <c r="K2090" s="4" t="s">
        <v>90</v>
      </c>
      <c r="M2090">
        <f t="shared" si="66"/>
        <v>641.8129017857143</v>
      </c>
    </row>
    <row r="2091" spans="1:25" ht="14" x14ac:dyDescent="0.2">
      <c r="A2091" s="4" t="s">
        <v>4619</v>
      </c>
      <c r="B2091" s="5">
        <v>25292.182500000003</v>
      </c>
      <c r="C2091" s="5">
        <f t="shared" si="65"/>
        <v>5058.4365000000007</v>
      </c>
      <c r="D2091" s="4">
        <v>5</v>
      </c>
      <c r="E2091" s="5" t="s">
        <v>10</v>
      </c>
      <c r="F2091" s="4" t="s">
        <v>1745</v>
      </c>
      <c r="G2091" s="4" t="s">
        <v>20</v>
      </c>
      <c r="H2091" s="4" t="s">
        <v>4620</v>
      </c>
      <c r="I2091" s="4" t="s">
        <v>14</v>
      </c>
      <c r="J2091" s="4" t="s">
        <v>207</v>
      </c>
      <c r="K2091" s="4" t="s">
        <v>53</v>
      </c>
      <c r="M2091">
        <f t="shared" si="66"/>
        <v>4552.5928500000009</v>
      </c>
    </row>
    <row r="2092" spans="1:25" ht="14" x14ac:dyDescent="0.2">
      <c r="A2092" s="4" t="s">
        <v>4621</v>
      </c>
      <c r="B2092" s="5">
        <v>13866.328125000002</v>
      </c>
      <c r="C2092" s="5">
        <f t="shared" si="65"/>
        <v>13866.328125000002</v>
      </c>
      <c r="D2092" s="4">
        <v>1</v>
      </c>
      <c r="E2092" s="5" t="s">
        <v>3232</v>
      </c>
      <c r="F2092" s="4" t="s">
        <v>1745</v>
      </c>
      <c r="G2092" s="4" t="s">
        <v>20</v>
      </c>
      <c r="H2092" s="4" t="s">
        <v>4622</v>
      </c>
      <c r="I2092" s="4" t="s">
        <v>14</v>
      </c>
      <c r="J2092" s="4" t="s">
        <v>207</v>
      </c>
      <c r="K2092" s="4" t="s">
        <v>53</v>
      </c>
      <c r="M2092">
        <f t="shared" si="66"/>
        <v>12479.695312500002</v>
      </c>
    </row>
    <row r="2093" spans="1:25" ht="14" x14ac:dyDescent="0.2">
      <c r="A2093" s="4" t="s">
        <v>4623</v>
      </c>
      <c r="B2093" s="5">
        <v>7878.2929875</v>
      </c>
      <c r="C2093" s="5">
        <f t="shared" si="65"/>
        <v>393.91464937500001</v>
      </c>
      <c r="D2093" s="4">
        <v>20</v>
      </c>
      <c r="E2093" s="5" t="s">
        <v>10</v>
      </c>
      <c r="F2093" s="4" t="s">
        <v>4624</v>
      </c>
      <c r="G2093" s="4" t="s">
        <v>20</v>
      </c>
      <c r="H2093" s="4" t="s">
        <v>4625</v>
      </c>
      <c r="I2093" s="4" t="s">
        <v>22</v>
      </c>
      <c r="J2093" s="4" t="s">
        <v>271</v>
      </c>
      <c r="K2093" s="4" t="s">
        <v>179</v>
      </c>
      <c r="M2093">
        <f t="shared" si="66"/>
        <v>354.52318443749999</v>
      </c>
    </row>
    <row r="2094" spans="1:25" ht="14" x14ac:dyDescent="0.2">
      <c r="A2094" s="4" t="s">
        <v>4626</v>
      </c>
      <c r="B2094" s="5">
        <v>4991.8781250000002</v>
      </c>
      <c r="C2094" s="5">
        <f t="shared" si="65"/>
        <v>4991.8781250000002</v>
      </c>
      <c r="D2094" s="4">
        <v>1</v>
      </c>
      <c r="E2094" s="5" t="s">
        <v>1212</v>
      </c>
      <c r="F2094" s="4" t="s">
        <v>4627</v>
      </c>
      <c r="G2094" s="4" t="s">
        <v>20</v>
      </c>
      <c r="H2094" s="4" t="s">
        <v>4626</v>
      </c>
      <c r="I2094" s="4" t="s">
        <v>22</v>
      </c>
      <c r="J2094" s="8">
        <v>3.0000000000000001E-3</v>
      </c>
      <c r="K2094" s="4" t="s">
        <v>244</v>
      </c>
      <c r="M2094">
        <f t="shared" si="66"/>
        <v>4492.6903124999999</v>
      </c>
    </row>
    <row r="2095" spans="1:25" ht="14" x14ac:dyDescent="0.2">
      <c r="A2095" s="4" t="s">
        <v>4628</v>
      </c>
      <c r="B2095" s="5">
        <v>8874.4500000000007</v>
      </c>
      <c r="C2095" s="5">
        <f t="shared" si="65"/>
        <v>8874.4500000000007</v>
      </c>
      <c r="D2095" s="4">
        <v>1</v>
      </c>
      <c r="E2095" s="5" t="s">
        <v>175</v>
      </c>
      <c r="F2095" s="4" t="s">
        <v>4629</v>
      </c>
      <c r="G2095" s="4" t="s">
        <v>12</v>
      </c>
      <c r="H2095" s="4" t="s">
        <v>4630</v>
      </c>
      <c r="I2095" s="4" t="s">
        <v>22</v>
      </c>
      <c r="J2095" s="4" t="s">
        <v>1125</v>
      </c>
      <c r="K2095" s="4" t="s">
        <v>244</v>
      </c>
      <c r="M2095">
        <f t="shared" si="66"/>
        <v>7987.005000000001</v>
      </c>
    </row>
    <row r="2096" spans="1:25" ht="14" x14ac:dyDescent="0.2">
      <c r="A2096" s="7" t="s">
        <v>5521</v>
      </c>
      <c r="B2096" s="10">
        <v>18081.691875</v>
      </c>
      <c r="C2096" s="5">
        <f t="shared" si="65"/>
        <v>18081.691875</v>
      </c>
      <c r="D2096" s="9">
        <v>1</v>
      </c>
      <c r="E2096" s="10" t="s">
        <v>25</v>
      </c>
      <c r="F2096" s="7" t="s">
        <v>5522</v>
      </c>
      <c r="H2096" s="7" t="s">
        <v>5522</v>
      </c>
      <c r="I2096" s="3" t="s">
        <v>22</v>
      </c>
      <c r="J2096" s="7" t="s">
        <v>5179</v>
      </c>
      <c r="K2096" s="7" t="s">
        <v>417</v>
      </c>
      <c r="M2096">
        <f t="shared" si="66"/>
        <v>16273.522687500001</v>
      </c>
    </row>
    <row r="2097" spans="1:13" ht="14" x14ac:dyDescent="0.2">
      <c r="A2097" s="4" t="s">
        <v>4631</v>
      </c>
      <c r="B2097" s="5">
        <v>28143.099562500003</v>
      </c>
      <c r="C2097" s="5">
        <f t="shared" si="65"/>
        <v>938.10331875000008</v>
      </c>
      <c r="D2097" s="4">
        <v>30</v>
      </c>
      <c r="E2097" s="5" t="s">
        <v>10</v>
      </c>
      <c r="F2097" s="4" t="s">
        <v>3186</v>
      </c>
      <c r="G2097" s="4" t="s">
        <v>20</v>
      </c>
      <c r="H2097" s="4" t="s">
        <v>4632</v>
      </c>
      <c r="I2097" s="4" t="s">
        <v>22</v>
      </c>
      <c r="K2097" s="4" t="s">
        <v>34</v>
      </c>
      <c r="M2097">
        <f t="shared" si="66"/>
        <v>844.29298687500011</v>
      </c>
    </row>
    <row r="2098" spans="1:13" ht="14" x14ac:dyDescent="0.2">
      <c r="A2098" s="4" t="s">
        <v>4633</v>
      </c>
      <c r="B2098" s="5">
        <v>27732.656250000004</v>
      </c>
      <c r="C2098" s="5">
        <f t="shared" si="65"/>
        <v>554.65312500000005</v>
      </c>
      <c r="D2098" s="4">
        <v>50</v>
      </c>
      <c r="E2098" s="5" t="s">
        <v>10</v>
      </c>
      <c r="F2098" s="4" t="s">
        <v>1020</v>
      </c>
      <c r="G2098" s="4" t="s">
        <v>12</v>
      </c>
      <c r="H2098" s="4" t="s">
        <v>4634</v>
      </c>
      <c r="I2098" s="4" t="s">
        <v>14</v>
      </c>
      <c r="J2098" s="4" t="s">
        <v>95</v>
      </c>
      <c r="K2098" s="4" t="s">
        <v>227</v>
      </c>
      <c r="M2098">
        <f t="shared" si="66"/>
        <v>499.18781250000006</v>
      </c>
    </row>
    <row r="2099" spans="1:13" ht="14" x14ac:dyDescent="0.2">
      <c r="A2099" s="3" t="s">
        <v>5582</v>
      </c>
      <c r="B2099" s="15">
        <v>40733.725500000008</v>
      </c>
      <c r="C2099" s="5">
        <f t="shared" si="65"/>
        <v>678.89542500000016</v>
      </c>
      <c r="D2099" s="4">
        <v>60</v>
      </c>
      <c r="E2099" s="5" t="s">
        <v>10</v>
      </c>
      <c r="F2099" s="4" t="s">
        <v>1020</v>
      </c>
      <c r="G2099" s="4" t="s">
        <v>12</v>
      </c>
      <c r="H2099" s="4" t="s">
        <v>4635</v>
      </c>
      <c r="I2099" s="4" t="s">
        <v>14</v>
      </c>
      <c r="J2099" s="4" t="s">
        <v>95</v>
      </c>
      <c r="K2099" s="4" t="s">
        <v>227</v>
      </c>
      <c r="M2099">
        <f t="shared" si="66"/>
        <v>611.0058825000001</v>
      </c>
    </row>
    <row r="2100" spans="1:13" ht="14" x14ac:dyDescent="0.2">
      <c r="A2100" s="4" t="s">
        <v>4636</v>
      </c>
      <c r="B2100" s="5">
        <v>42708.290625000001</v>
      </c>
      <c r="C2100" s="5">
        <f t="shared" si="65"/>
        <v>1423.6096875000001</v>
      </c>
      <c r="D2100" s="4">
        <v>30</v>
      </c>
      <c r="E2100" s="5" t="s">
        <v>10</v>
      </c>
      <c r="F2100" s="4" t="s">
        <v>1020</v>
      </c>
      <c r="G2100" s="4" t="s">
        <v>12</v>
      </c>
      <c r="H2100" s="4" t="s">
        <v>4634</v>
      </c>
      <c r="I2100" s="4" t="s">
        <v>14</v>
      </c>
      <c r="J2100" s="4" t="s">
        <v>52</v>
      </c>
      <c r="K2100" s="4" t="s">
        <v>227</v>
      </c>
      <c r="M2100">
        <f t="shared" si="66"/>
        <v>1281.2487187500001</v>
      </c>
    </row>
    <row r="2101" spans="1:13" ht="14" x14ac:dyDescent="0.2">
      <c r="A2101" s="4" t="s">
        <v>4637</v>
      </c>
      <c r="B2101" s="5">
        <v>18303.553125000002</v>
      </c>
      <c r="C2101" s="5">
        <f t="shared" si="65"/>
        <v>18303.553125000002</v>
      </c>
      <c r="D2101" s="4">
        <v>1</v>
      </c>
      <c r="E2101" s="5" t="s">
        <v>59</v>
      </c>
      <c r="F2101" s="4" t="s">
        <v>1020</v>
      </c>
      <c r="G2101" s="4" t="s">
        <v>12</v>
      </c>
      <c r="H2101" s="4" t="s">
        <v>4635</v>
      </c>
      <c r="I2101" s="4" t="s">
        <v>14</v>
      </c>
      <c r="J2101" s="4" t="s">
        <v>184</v>
      </c>
      <c r="K2101" s="4" t="s">
        <v>227</v>
      </c>
      <c r="M2101">
        <f t="shared" si="66"/>
        <v>16473.197812500002</v>
      </c>
    </row>
    <row r="2102" spans="1:13" ht="14" x14ac:dyDescent="0.2">
      <c r="A2102" s="4" t="s">
        <v>4638</v>
      </c>
      <c r="B2102" s="5">
        <v>6368.5271812500005</v>
      </c>
      <c r="C2102" s="5">
        <f t="shared" si="65"/>
        <v>212.28423937500003</v>
      </c>
      <c r="D2102" s="4">
        <v>30</v>
      </c>
      <c r="E2102" s="5" t="s">
        <v>10</v>
      </c>
      <c r="F2102" s="4" t="s">
        <v>2106</v>
      </c>
      <c r="G2102" s="4" t="s">
        <v>12</v>
      </c>
      <c r="H2102" s="4" t="s">
        <v>4639</v>
      </c>
      <c r="I2102" s="4" t="s">
        <v>22</v>
      </c>
      <c r="J2102" s="4" t="s">
        <v>2109</v>
      </c>
      <c r="K2102" s="4" t="s">
        <v>179</v>
      </c>
      <c r="M2102">
        <f t="shared" si="66"/>
        <v>191.05581543750003</v>
      </c>
    </row>
    <row r="2103" spans="1:13" ht="14" x14ac:dyDescent="0.2">
      <c r="A2103" s="4" t="s">
        <v>4640</v>
      </c>
      <c r="B2103" s="5">
        <v>13698.822881250002</v>
      </c>
      <c r="C2103" s="5">
        <f t="shared" si="65"/>
        <v>489.24367433035724</v>
      </c>
      <c r="D2103" s="4">
        <v>28</v>
      </c>
      <c r="E2103" s="5" t="s">
        <v>10</v>
      </c>
      <c r="F2103" s="4" t="s">
        <v>493</v>
      </c>
      <c r="G2103" s="4" t="s">
        <v>12</v>
      </c>
      <c r="H2103" s="4" t="s">
        <v>493</v>
      </c>
      <c r="I2103" s="4" t="s">
        <v>22</v>
      </c>
      <c r="J2103" s="4" t="s">
        <v>495</v>
      </c>
      <c r="K2103" s="4" t="s">
        <v>90</v>
      </c>
      <c r="M2103">
        <f t="shared" si="66"/>
        <v>440.3193068973215</v>
      </c>
    </row>
    <row r="2104" spans="1:13" ht="14" x14ac:dyDescent="0.2">
      <c r="A2104" s="4" t="s">
        <v>4641</v>
      </c>
      <c r="B2104" s="5">
        <v>16741.649925000002</v>
      </c>
      <c r="C2104" s="5">
        <f t="shared" si="65"/>
        <v>597.91606875000002</v>
      </c>
      <c r="D2104" s="4">
        <v>28</v>
      </c>
      <c r="E2104" s="5" t="s">
        <v>10</v>
      </c>
      <c r="F2104" s="4" t="s">
        <v>493</v>
      </c>
      <c r="G2104" s="4" t="s">
        <v>12</v>
      </c>
      <c r="H2104" s="4" t="s">
        <v>493</v>
      </c>
      <c r="I2104" s="4" t="s">
        <v>22</v>
      </c>
      <c r="J2104" s="4" t="s">
        <v>497</v>
      </c>
      <c r="K2104" s="4" t="s">
        <v>90</v>
      </c>
      <c r="M2104">
        <f t="shared" si="66"/>
        <v>538.12446187500007</v>
      </c>
    </row>
    <row r="2105" spans="1:13" ht="14" x14ac:dyDescent="0.2">
      <c r="A2105" s="4" t="s">
        <v>4642</v>
      </c>
      <c r="B2105" s="5">
        <v>9318.1725000000006</v>
      </c>
      <c r="C2105" s="5">
        <f t="shared" si="65"/>
        <v>310.60575</v>
      </c>
      <c r="D2105" s="4">
        <v>30</v>
      </c>
      <c r="E2105" s="5" t="s">
        <v>10</v>
      </c>
      <c r="F2105" s="4" t="s">
        <v>4642</v>
      </c>
      <c r="G2105" s="4" t="s">
        <v>12</v>
      </c>
      <c r="H2105" s="4" t="s">
        <v>500</v>
      </c>
      <c r="I2105" s="4" t="s">
        <v>22</v>
      </c>
      <c r="J2105" s="4" t="s">
        <v>4643</v>
      </c>
      <c r="K2105" s="4" t="s">
        <v>4644</v>
      </c>
      <c r="M2105">
        <f t="shared" si="66"/>
        <v>279.54517499999997</v>
      </c>
    </row>
    <row r="2106" spans="1:13" ht="14" x14ac:dyDescent="0.2">
      <c r="A2106" s="4" t="s">
        <v>4645</v>
      </c>
      <c r="B2106" s="5">
        <v>13755.397500000001</v>
      </c>
      <c r="C2106" s="5">
        <f t="shared" si="65"/>
        <v>458.51325000000003</v>
      </c>
      <c r="D2106" s="4">
        <v>30</v>
      </c>
      <c r="E2106" s="5" t="s">
        <v>10</v>
      </c>
      <c r="F2106" s="4" t="s">
        <v>4645</v>
      </c>
      <c r="G2106" s="4" t="s">
        <v>12</v>
      </c>
      <c r="H2106" s="4" t="s">
        <v>4645</v>
      </c>
      <c r="I2106" s="4" t="s">
        <v>22</v>
      </c>
      <c r="J2106" s="4" t="s">
        <v>4646</v>
      </c>
      <c r="K2106" s="4" t="s">
        <v>90</v>
      </c>
      <c r="M2106">
        <f t="shared" si="66"/>
        <v>412.661925</v>
      </c>
    </row>
    <row r="2107" spans="1:13" ht="14" x14ac:dyDescent="0.2">
      <c r="A2107" s="4" t="s">
        <v>4647</v>
      </c>
      <c r="B2107" s="5">
        <v>16084.940625000001</v>
      </c>
      <c r="C2107" s="5">
        <f t="shared" si="65"/>
        <v>536.16468750000001</v>
      </c>
      <c r="D2107" s="4">
        <v>30</v>
      </c>
      <c r="E2107" s="5" t="s">
        <v>10</v>
      </c>
      <c r="F2107" s="4" t="s">
        <v>4647</v>
      </c>
      <c r="G2107" s="4" t="s">
        <v>12</v>
      </c>
      <c r="H2107" s="4" t="s">
        <v>4647</v>
      </c>
      <c r="I2107" s="4" t="s">
        <v>22</v>
      </c>
      <c r="J2107" s="4" t="s">
        <v>4648</v>
      </c>
      <c r="K2107" s="4" t="s">
        <v>90</v>
      </c>
      <c r="M2107">
        <f t="shared" si="66"/>
        <v>482.54821874999999</v>
      </c>
    </row>
    <row r="2108" spans="1:13" ht="14" x14ac:dyDescent="0.2">
      <c r="A2108" s="4" t="s">
        <v>4649</v>
      </c>
      <c r="B2108" s="5">
        <v>10164.573168750003</v>
      </c>
      <c r="C2108" s="5">
        <f t="shared" si="65"/>
        <v>338.81910562500008</v>
      </c>
      <c r="D2108" s="4">
        <v>30</v>
      </c>
      <c r="E2108" s="5" t="s">
        <v>10</v>
      </c>
      <c r="F2108" s="4" t="s">
        <v>4650</v>
      </c>
      <c r="G2108" s="4" t="s">
        <v>12</v>
      </c>
      <c r="H2108" s="4" t="s">
        <v>4651</v>
      </c>
      <c r="I2108" s="4" t="s">
        <v>22</v>
      </c>
      <c r="J2108" s="4" t="s">
        <v>495</v>
      </c>
      <c r="K2108" s="4" t="s">
        <v>227</v>
      </c>
      <c r="M2108">
        <f t="shared" si="66"/>
        <v>304.93719506250005</v>
      </c>
    </row>
    <row r="2109" spans="1:13" ht="14" x14ac:dyDescent="0.2">
      <c r="A2109" s="4" t="s">
        <v>4652</v>
      </c>
      <c r="B2109" s="5">
        <v>13454.77550625</v>
      </c>
      <c r="C2109" s="5">
        <f t="shared" si="65"/>
        <v>448.49251687499998</v>
      </c>
      <c r="D2109" s="4">
        <v>30</v>
      </c>
      <c r="E2109" s="5" t="s">
        <v>10</v>
      </c>
      <c r="F2109" s="4" t="s">
        <v>4650</v>
      </c>
      <c r="G2109" s="4" t="s">
        <v>12</v>
      </c>
      <c r="H2109" s="4" t="s">
        <v>4651</v>
      </c>
      <c r="I2109" s="4" t="s">
        <v>22</v>
      </c>
      <c r="J2109" s="4" t="s">
        <v>497</v>
      </c>
      <c r="K2109" s="4" t="s">
        <v>227</v>
      </c>
      <c r="M2109">
        <f t="shared" si="66"/>
        <v>403.64326518749999</v>
      </c>
    </row>
    <row r="2110" spans="1:13" ht="14" x14ac:dyDescent="0.2">
      <c r="A2110" s="4" t="s">
        <v>4653</v>
      </c>
      <c r="B2110" s="5">
        <v>16251.336562500001</v>
      </c>
      <c r="C2110" s="5">
        <f t="shared" si="65"/>
        <v>541.71121875000006</v>
      </c>
      <c r="D2110" s="4">
        <v>30</v>
      </c>
      <c r="E2110" s="5" t="s">
        <v>10</v>
      </c>
      <c r="F2110" s="4" t="s">
        <v>4653</v>
      </c>
      <c r="G2110" s="4" t="s">
        <v>12</v>
      </c>
      <c r="H2110" s="4" t="s">
        <v>4654</v>
      </c>
      <c r="I2110" s="4" t="s">
        <v>22</v>
      </c>
      <c r="J2110" s="4" t="s">
        <v>507</v>
      </c>
      <c r="K2110" s="4" t="s">
        <v>2629</v>
      </c>
      <c r="M2110">
        <f t="shared" si="66"/>
        <v>487.54009687500002</v>
      </c>
    </row>
    <row r="2111" spans="1:13" ht="14" x14ac:dyDescent="0.2">
      <c r="A2111" s="4" t="s">
        <v>4655</v>
      </c>
      <c r="B2111" s="5">
        <v>29396.615625000002</v>
      </c>
      <c r="C2111" s="5">
        <f t="shared" si="65"/>
        <v>979.8871875000001</v>
      </c>
      <c r="D2111" s="4">
        <v>30</v>
      </c>
      <c r="E2111" s="5" t="s">
        <v>10</v>
      </c>
      <c r="F2111" s="4" t="s">
        <v>2330</v>
      </c>
      <c r="G2111" s="4" t="s">
        <v>12</v>
      </c>
      <c r="H2111" s="4" t="s">
        <v>2331</v>
      </c>
      <c r="I2111" s="4" t="s">
        <v>14</v>
      </c>
      <c r="J2111" s="4" t="s">
        <v>47</v>
      </c>
      <c r="K2111" s="4" t="s">
        <v>48</v>
      </c>
      <c r="M2111">
        <f t="shared" si="66"/>
        <v>881.89846875000012</v>
      </c>
    </row>
    <row r="2112" spans="1:13" ht="14" x14ac:dyDescent="0.2">
      <c r="A2112" s="4" t="s">
        <v>4656</v>
      </c>
      <c r="B2112" s="5">
        <v>40755.911625000001</v>
      </c>
      <c r="C2112" s="5">
        <f t="shared" si="65"/>
        <v>1358.5303875</v>
      </c>
      <c r="D2112" s="4">
        <v>30</v>
      </c>
      <c r="E2112" s="5" t="s">
        <v>10</v>
      </c>
      <c r="F2112" s="4" t="s">
        <v>4657</v>
      </c>
      <c r="G2112" s="4" t="s">
        <v>12</v>
      </c>
      <c r="H2112" s="4" t="s">
        <v>4658</v>
      </c>
      <c r="I2112" s="4" t="s">
        <v>14</v>
      </c>
      <c r="J2112" s="4" t="s">
        <v>15</v>
      </c>
      <c r="K2112" s="4" t="s">
        <v>48</v>
      </c>
      <c r="M2112">
        <f t="shared" si="66"/>
        <v>1222.67734875</v>
      </c>
    </row>
    <row r="2113" spans="1:13" ht="14" x14ac:dyDescent="0.2">
      <c r="A2113" s="4" t="s">
        <v>4659</v>
      </c>
      <c r="B2113" s="5">
        <v>29396.615625000002</v>
      </c>
      <c r="C2113" s="5">
        <f t="shared" si="65"/>
        <v>979.8871875000001</v>
      </c>
      <c r="D2113" s="4">
        <v>30</v>
      </c>
      <c r="E2113" s="5" t="s">
        <v>10</v>
      </c>
      <c r="F2113" s="4" t="s">
        <v>4659</v>
      </c>
      <c r="G2113" s="4" t="s">
        <v>12</v>
      </c>
      <c r="H2113" s="4" t="s">
        <v>4659</v>
      </c>
      <c r="I2113" s="4" t="s">
        <v>14</v>
      </c>
      <c r="J2113" s="4" t="s">
        <v>4660</v>
      </c>
      <c r="K2113" s="4" t="s">
        <v>4197</v>
      </c>
      <c r="M2113">
        <f t="shared" si="66"/>
        <v>881.89846875000012</v>
      </c>
    </row>
    <row r="2114" spans="1:13" ht="14" x14ac:dyDescent="0.2">
      <c r="A2114" s="4" t="s">
        <v>4661</v>
      </c>
      <c r="B2114" s="5">
        <v>31060.575000000004</v>
      </c>
      <c r="C2114" s="5">
        <f t="shared" si="65"/>
        <v>31060.575000000004</v>
      </c>
      <c r="D2114" s="4">
        <v>1</v>
      </c>
      <c r="E2114" s="5" t="s">
        <v>10</v>
      </c>
      <c r="F2114" s="4" t="s">
        <v>4662</v>
      </c>
      <c r="G2114" s="4" t="s">
        <v>12</v>
      </c>
      <c r="H2114" s="4" t="s">
        <v>4662</v>
      </c>
      <c r="I2114" s="4" t="s">
        <v>14</v>
      </c>
      <c r="J2114" s="4" t="s">
        <v>4663</v>
      </c>
      <c r="K2114" s="4" t="s">
        <v>48</v>
      </c>
      <c r="M2114">
        <f t="shared" si="66"/>
        <v>27954.517500000002</v>
      </c>
    </row>
    <row r="2115" spans="1:13" ht="14" x14ac:dyDescent="0.2">
      <c r="A2115" s="4" t="s">
        <v>4664</v>
      </c>
      <c r="B2115" s="5">
        <v>35511.111675000007</v>
      </c>
      <c r="C2115" s="5">
        <f t="shared" ref="C2115:C2178" si="67">(B2115/D2115)</f>
        <v>35511.111675000007</v>
      </c>
      <c r="D2115" s="4">
        <v>1</v>
      </c>
      <c r="E2115" s="5" t="s">
        <v>10</v>
      </c>
      <c r="F2115" s="4" t="s">
        <v>4665</v>
      </c>
      <c r="G2115" s="4" t="s">
        <v>12</v>
      </c>
      <c r="H2115" s="4" t="s">
        <v>4665</v>
      </c>
      <c r="I2115" s="4" t="s">
        <v>14</v>
      </c>
      <c r="J2115" s="4" t="s">
        <v>4666</v>
      </c>
      <c r="K2115" s="4" t="s">
        <v>48</v>
      </c>
      <c r="M2115">
        <f t="shared" si="66"/>
        <v>31960.000507500008</v>
      </c>
    </row>
    <row r="2116" spans="1:13" ht="14" x14ac:dyDescent="0.2">
      <c r="A2116" s="4" t="s">
        <v>4667</v>
      </c>
      <c r="B2116" s="5">
        <v>43135.373531250007</v>
      </c>
      <c r="C2116" s="5">
        <f t="shared" si="67"/>
        <v>1437.8457843750002</v>
      </c>
      <c r="D2116" s="4">
        <v>30</v>
      </c>
      <c r="E2116" s="5" t="s">
        <v>10</v>
      </c>
      <c r="F2116" s="4" t="s">
        <v>4668</v>
      </c>
      <c r="G2116" s="4" t="s">
        <v>12</v>
      </c>
      <c r="H2116" s="4" t="s">
        <v>4668</v>
      </c>
      <c r="I2116" s="4" t="s">
        <v>14</v>
      </c>
      <c r="J2116" s="4" t="s">
        <v>4669</v>
      </c>
      <c r="K2116" s="4" t="s">
        <v>48</v>
      </c>
      <c r="M2116">
        <f t="shared" si="66"/>
        <v>1294.0612059375003</v>
      </c>
    </row>
    <row r="2117" spans="1:13" ht="14" x14ac:dyDescent="0.2">
      <c r="A2117" s="4" t="s">
        <v>4670</v>
      </c>
      <c r="B2117" s="5">
        <v>37698.663600000007</v>
      </c>
      <c r="C2117" s="5">
        <f t="shared" si="67"/>
        <v>37698.663600000007</v>
      </c>
      <c r="D2117" s="4">
        <v>1</v>
      </c>
      <c r="E2117" s="5" t="s">
        <v>10</v>
      </c>
      <c r="F2117" s="4" t="s">
        <v>4671</v>
      </c>
      <c r="G2117" s="4" t="s">
        <v>12</v>
      </c>
      <c r="H2117" s="4" t="s">
        <v>4671</v>
      </c>
      <c r="I2117" s="4" t="s">
        <v>14</v>
      </c>
      <c r="J2117" s="4" t="s">
        <v>2012</v>
      </c>
      <c r="K2117" s="4" t="s">
        <v>48</v>
      </c>
      <c r="M2117">
        <f t="shared" si="66"/>
        <v>33928.797240000007</v>
      </c>
    </row>
    <row r="2118" spans="1:13" ht="14" x14ac:dyDescent="0.2">
      <c r="A2118" s="4" t="s">
        <v>4672</v>
      </c>
      <c r="B2118" s="5">
        <v>2766.6097875</v>
      </c>
      <c r="C2118" s="5">
        <f t="shared" si="67"/>
        <v>276.66097875000003</v>
      </c>
      <c r="D2118" s="4">
        <v>10</v>
      </c>
      <c r="E2118" s="5" t="s">
        <v>10</v>
      </c>
      <c r="F2118" s="4" t="s">
        <v>4673</v>
      </c>
      <c r="G2118" s="4" t="s">
        <v>20</v>
      </c>
      <c r="H2118" s="4" t="s">
        <v>4674</v>
      </c>
      <c r="I2118" s="4" t="s">
        <v>22</v>
      </c>
      <c r="J2118" s="4" t="s">
        <v>148</v>
      </c>
      <c r="K2118" s="4" t="s">
        <v>87</v>
      </c>
      <c r="M2118">
        <f t="shared" si="66"/>
        <v>248.99488087500004</v>
      </c>
    </row>
    <row r="2119" spans="1:13" ht="14" x14ac:dyDescent="0.2">
      <c r="A2119" s="4" t="s">
        <v>4675</v>
      </c>
      <c r="B2119" s="5">
        <v>10005.942375000001</v>
      </c>
      <c r="C2119" s="5">
        <f t="shared" si="67"/>
        <v>714.71016964285718</v>
      </c>
      <c r="D2119" s="4">
        <v>14</v>
      </c>
      <c r="E2119" s="5" t="s">
        <v>10</v>
      </c>
      <c r="F2119" s="4" t="s">
        <v>4676</v>
      </c>
      <c r="G2119" s="4" t="s">
        <v>12</v>
      </c>
      <c r="H2119" s="4" t="s">
        <v>4677</v>
      </c>
      <c r="I2119" s="4" t="s">
        <v>14</v>
      </c>
      <c r="J2119" s="4" t="s">
        <v>4678</v>
      </c>
      <c r="K2119" s="4" t="s">
        <v>90</v>
      </c>
      <c r="M2119">
        <f t="shared" si="66"/>
        <v>643.23915267857149</v>
      </c>
    </row>
    <row r="2120" spans="1:13" ht="14" x14ac:dyDescent="0.2">
      <c r="A2120" s="4" t="s">
        <v>4679</v>
      </c>
      <c r="B2120" s="5">
        <v>14864.703750000001</v>
      </c>
      <c r="C2120" s="5">
        <f t="shared" si="67"/>
        <v>495.49012500000003</v>
      </c>
      <c r="D2120" s="4">
        <v>30</v>
      </c>
      <c r="E2120" s="5" t="s">
        <v>10</v>
      </c>
      <c r="F2120" s="4" t="s">
        <v>4680</v>
      </c>
      <c r="G2120" s="4" t="s">
        <v>12</v>
      </c>
      <c r="H2120" s="4" t="s">
        <v>4681</v>
      </c>
      <c r="I2120" s="4" t="s">
        <v>22</v>
      </c>
      <c r="J2120" s="4" t="s">
        <v>4682</v>
      </c>
      <c r="K2120" s="4" t="s">
        <v>90</v>
      </c>
      <c r="M2120">
        <f t="shared" si="66"/>
        <v>445.94111250000003</v>
      </c>
    </row>
    <row r="2121" spans="1:13" ht="14" x14ac:dyDescent="0.2">
      <c r="A2121" s="4" t="s">
        <v>4683</v>
      </c>
      <c r="B2121" s="5">
        <v>8719.1471249999995</v>
      </c>
      <c r="C2121" s="5">
        <f t="shared" si="67"/>
        <v>311.39811160714282</v>
      </c>
      <c r="D2121" s="4">
        <v>28</v>
      </c>
      <c r="E2121" s="5" t="s">
        <v>10</v>
      </c>
      <c r="F2121" s="4" t="s">
        <v>649</v>
      </c>
      <c r="G2121" s="4" t="s">
        <v>12</v>
      </c>
      <c r="H2121" s="4" t="s">
        <v>4681</v>
      </c>
      <c r="I2121" s="4" t="s">
        <v>14</v>
      </c>
      <c r="J2121" s="4" t="s">
        <v>140</v>
      </c>
      <c r="K2121" s="4" t="s">
        <v>90</v>
      </c>
      <c r="M2121">
        <f t="shared" si="66"/>
        <v>280.25830044642856</v>
      </c>
    </row>
    <row r="2122" spans="1:13" ht="14" x14ac:dyDescent="0.2">
      <c r="A2122" s="4" t="s">
        <v>4684</v>
      </c>
      <c r="B2122" s="5">
        <v>7565.4686250000004</v>
      </c>
      <c r="C2122" s="5">
        <f t="shared" si="67"/>
        <v>270.19530803571428</v>
      </c>
      <c r="D2122" s="4">
        <v>28</v>
      </c>
      <c r="E2122" s="5" t="s">
        <v>10</v>
      </c>
      <c r="F2122" s="4" t="s">
        <v>649</v>
      </c>
      <c r="G2122" s="4" t="s">
        <v>12</v>
      </c>
      <c r="H2122" s="4" t="s">
        <v>4681</v>
      </c>
      <c r="I2122" s="4" t="s">
        <v>14</v>
      </c>
      <c r="J2122" s="4" t="s">
        <v>78</v>
      </c>
      <c r="K2122" s="4" t="s">
        <v>90</v>
      </c>
      <c r="M2122">
        <f t="shared" si="66"/>
        <v>243.17577723214285</v>
      </c>
    </row>
    <row r="2123" spans="1:13" ht="14" x14ac:dyDescent="0.2">
      <c r="A2123" s="4" t="s">
        <v>4685</v>
      </c>
      <c r="B2123" s="5">
        <v>13200.744375000002</v>
      </c>
      <c r="C2123" s="5">
        <f t="shared" si="67"/>
        <v>440.02481250000005</v>
      </c>
      <c r="D2123" s="4">
        <v>30</v>
      </c>
      <c r="E2123" s="5" t="s">
        <v>10</v>
      </c>
      <c r="F2123" s="4" t="s">
        <v>4680</v>
      </c>
      <c r="G2123" s="4" t="s">
        <v>12</v>
      </c>
      <c r="H2123" s="4" t="s">
        <v>4686</v>
      </c>
      <c r="I2123" s="4" t="s">
        <v>22</v>
      </c>
      <c r="J2123" s="4" t="s">
        <v>4687</v>
      </c>
      <c r="K2123" s="4" t="s">
        <v>90</v>
      </c>
      <c r="M2123">
        <f t="shared" si="66"/>
        <v>396.02233125000004</v>
      </c>
    </row>
    <row r="2124" spans="1:13" ht="14" x14ac:dyDescent="0.2">
      <c r="A2124" s="4" t="s">
        <v>4688</v>
      </c>
      <c r="B2124" s="5">
        <v>7446.7728562500006</v>
      </c>
      <c r="C2124" s="5">
        <f t="shared" si="67"/>
        <v>265.95617343750001</v>
      </c>
      <c r="D2124" s="4">
        <v>28</v>
      </c>
      <c r="E2124" s="5" t="s">
        <v>10</v>
      </c>
      <c r="F2124" s="4" t="s">
        <v>649</v>
      </c>
      <c r="G2124" s="4" t="s">
        <v>12</v>
      </c>
      <c r="H2124" s="4" t="s">
        <v>4689</v>
      </c>
      <c r="I2124" s="4" t="s">
        <v>22</v>
      </c>
      <c r="J2124" s="4" t="s">
        <v>140</v>
      </c>
      <c r="K2124" s="4" t="s">
        <v>90</v>
      </c>
      <c r="M2124">
        <f t="shared" si="66"/>
        <v>239.36055609375001</v>
      </c>
    </row>
    <row r="2125" spans="1:13" ht="14" x14ac:dyDescent="0.2">
      <c r="A2125" s="4" t="s">
        <v>4690</v>
      </c>
      <c r="B2125" s="5">
        <v>4817.7170437499999</v>
      </c>
      <c r="C2125" s="5">
        <f t="shared" si="67"/>
        <v>172.06132299107142</v>
      </c>
      <c r="D2125" s="4">
        <v>28</v>
      </c>
      <c r="E2125" s="5" t="s">
        <v>10</v>
      </c>
      <c r="F2125" s="4" t="s">
        <v>649</v>
      </c>
      <c r="G2125" s="4" t="s">
        <v>12</v>
      </c>
      <c r="H2125" s="4" t="s">
        <v>4689</v>
      </c>
      <c r="I2125" s="4" t="s">
        <v>22</v>
      </c>
      <c r="J2125" s="4" t="s">
        <v>78</v>
      </c>
      <c r="K2125" s="4" t="s">
        <v>90</v>
      </c>
      <c r="M2125">
        <f t="shared" si="66"/>
        <v>154.85519069196428</v>
      </c>
    </row>
    <row r="2126" spans="1:13" ht="14" x14ac:dyDescent="0.2">
      <c r="A2126" s="4" t="s">
        <v>4691</v>
      </c>
      <c r="B2126" s="5">
        <v>4073.372550000001</v>
      </c>
      <c r="C2126" s="5">
        <f t="shared" si="67"/>
        <v>4073.372550000001</v>
      </c>
      <c r="D2126" s="4">
        <v>1</v>
      </c>
      <c r="E2126" s="5" t="s">
        <v>55</v>
      </c>
      <c r="F2126" s="4" t="s">
        <v>2802</v>
      </c>
      <c r="G2126" s="4" t="s">
        <v>20</v>
      </c>
      <c r="H2126" s="4" t="s">
        <v>4692</v>
      </c>
      <c r="I2126" s="4" t="s">
        <v>22</v>
      </c>
      <c r="J2126" s="4" t="s">
        <v>2561</v>
      </c>
      <c r="K2126" s="4" t="s">
        <v>103</v>
      </c>
      <c r="M2126">
        <f t="shared" si="66"/>
        <v>3666.0352950000006</v>
      </c>
    </row>
    <row r="2127" spans="1:13" ht="14" x14ac:dyDescent="0.2">
      <c r="A2127" s="4" t="s">
        <v>4693</v>
      </c>
      <c r="B2127" s="5">
        <v>13300.581937500001</v>
      </c>
      <c r="C2127" s="5">
        <f t="shared" si="67"/>
        <v>443.35273125000003</v>
      </c>
      <c r="D2127" s="4">
        <v>30</v>
      </c>
      <c r="E2127" s="5" t="s">
        <v>10</v>
      </c>
      <c r="F2127" s="4" t="s">
        <v>4693</v>
      </c>
      <c r="G2127" s="4" t="s">
        <v>20</v>
      </c>
      <c r="H2127" s="4" t="s">
        <v>4693</v>
      </c>
      <c r="I2127" s="4" t="s">
        <v>22</v>
      </c>
      <c r="J2127" s="4" t="s">
        <v>89</v>
      </c>
      <c r="K2127" s="4" t="s">
        <v>2199</v>
      </c>
      <c r="M2127">
        <f t="shared" si="66"/>
        <v>399.01745812500002</v>
      </c>
    </row>
    <row r="2128" spans="1:13" ht="14" x14ac:dyDescent="0.2">
      <c r="A2128" s="4" t="s">
        <v>4694</v>
      </c>
      <c r="B2128" s="5">
        <v>6101.1843750000007</v>
      </c>
      <c r="C2128" s="5">
        <f t="shared" si="67"/>
        <v>6101.1843750000007</v>
      </c>
      <c r="D2128" s="4">
        <v>1</v>
      </c>
      <c r="E2128" s="5" t="s">
        <v>55</v>
      </c>
      <c r="F2128" s="4" t="s">
        <v>2802</v>
      </c>
      <c r="G2128" s="4" t="s">
        <v>20</v>
      </c>
      <c r="H2128" s="4" t="s">
        <v>2802</v>
      </c>
      <c r="I2128" s="4" t="s">
        <v>22</v>
      </c>
      <c r="J2128" s="4" t="s">
        <v>3543</v>
      </c>
      <c r="K2128" s="4" t="s">
        <v>103</v>
      </c>
      <c r="M2128">
        <f t="shared" si="66"/>
        <v>5491.0659375000005</v>
      </c>
    </row>
    <row r="2129" spans="1:25" ht="14" x14ac:dyDescent="0.2">
      <c r="A2129" s="4" t="s">
        <v>4695</v>
      </c>
      <c r="B2129" s="5">
        <v>32724.534375000003</v>
      </c>
      <c r="C2129" s="5">
        <f t="shared" si="67"/>
        <v>32724.534375000003</v>
      </c>
      <c r="D2129" s="4">
        <v>1</v>
      </c>
      <c r="E2129" s="4" t="s">
        <v>750</v>
      </c>
      <c r="F2129" s="4" t="s">
        <v>4695</v>
      </c>
      <c r="G2129" s="4" t="s">
        <v>12</v>
      </c>
      <c r="H2129" s="4" t="s">
        <v>4696</v>
      </c>
      <c r="I2129" s="4"/>
      <c r="J2129" s="6">
        <v>0.01</v>
      </c>
      <c r="K2129" s="4" t="s">
        <v>103</v>
      </c>
      <c r="M2129">
        <f t="shared" si="66"/>
        <v>29452.080937500003</v>
      </c>
    </row>
    <row r="2130" spans="1:25" ht="14" x14ac:dyDescent="0.2">
      <c r="A2130" s="4" t="s">
        <v>4697</v>
      </c>
      <c r="B2130" s="5">
        <v>8865.5755500000014</v>
      </c>
      <c r="C2130" s="5">
        <f t="shared" si="67"/>
        <v>316.62769821428577</v>
      </c>
      <c r="D2130" s="4">
        <v>28</v>
      </c>
      <c r="E2130" s="5" t="s">
        <v>10</v>
      </c>
      <c r="F2130" s="4" t="s">
        <v>2802</v>
      </c>
      <c r="G2130" s="4" t="s">
        <v>20</v>
      </c>
      <c r="H2130" s="4" t="s">
        <v>2802</v>
      </c>
      <c r="I2130" s="4" t="s">
        <v>22</v>
      </c>
      <c r="J2130" s="4" t="s">
        <v>67</v>
      </c>
      <c r="K2130" s="4" t="s">
        <v>103</v>
      </c>
      <c r="M2130">
        <f t="shared" si="66"/>
        <v>284.96492839285719</v>
      </c>
    </row>
    <row r="2131" spans="1:25" ht="14" x14ac:dyDescent="0.2">
      <c r="A2131" s="4" t="s">
        <v>4698</v>
      </c>
      <c r="B2131" s="5">
        <v>4370.6666249999998</v>
      </c>
      <c r="C2131" s="5">
        <f t="shared" si="67"/>
        <v>437.06666250000001</v>
      </c>
      <c r="D2131" s="4">
        <v>10</v>
      </c>
      <c r="E2131" s="5" t="s">
        <v>10</v>
      </c>
      <c r="F2131" s="4" t="s">
        <v>2651</v>
      </c>
      <c r="G2131" s="4" t="s">
        <v>20</v>
      </c>
      <c r="H2131" s="4" t="s">
        <v>4699</v>
      </c>
      <c r="I2131" s="4" t="s">
        <v>22</v>
      </c>
      <c r="J2131" s="4" t="s">
        <v>207</v>
      </c>
      <c r="K2131" s="4" t="s">
        <v>53</v>
      </c>
      <c r="M2131">
        <f t="shared" si="66"/>
        <v>393.35999624999999</v>
      </c>
    </row>
    <row r="2132" spans="1:25" ht="14" x14ac:dyDescent="0.2">
      <c r="A2132" s="4" t="s">
        <v>4700</v>
      </c>
      <c r="B2132" s="5">
        <v>4804.40536875</v>
      </c>
      <c r="C2132" s="5">
        <f t="shared" si="67"/>
        <v>480.44053687500002</v>
      </c>
      <c r="D2132" s="4">
        <v>10</v>
      </c>
      <c r="E2132" s="5" t="s">
        <v>10</v>
      </c>
      <c r="F2132" s="4" t="s">
        <v>2651</v>
      </c>
      <c r="G2132" s="4" t="s">
        <v>20</v>
      </c>
      <c r="H2132" s="4" t="s">
        <v>4699</v>
      </c>
      <c r="I2132" s="4" t="s">
        <v>22</v>
      </c>
      <c r="J2132" s="4" t="s">
        <v>1101</v>
      </c>
      <c r="K2132" s="4" t="s">
        <v>53</v>
      </c>
      <c r="M2132">
        <f t="shared" si="66"/>
        <v>432.3964831875</v>
      </c>
    </row>
    <row r="2133" spans="1:25" ht="14" x14ac:dyDescent="0.2">
      <c r="A2133" s="4" t="s">
        <v>4701</v>
      </c>
      <c r="B2133" s="5">
        <v>3180.3810187500003</v>
      </c>
      <c r="C2133" s="5">
        <f t="shared" si="67"/>
        <v>3180.3810187500003</v>
      </c>
      <c r="D2133" s="4">
        <v>1</v>
      </c>
      <c r="E2133" s="5" t="s">
        <v>296</v>
      </c>
      <c r="F2133" s="4" t="s">
        <v>2651</v>
      </c>
      <c r="G2133" s="4" t="s">
        <v>20</v>
      </c>
      <c r="H2133" s="4" t="s">
        <v>4701</v>
      </c>
      <c r="I2133" s="4" t="s">
        <v>22</v>
      </c>
      <c r="J2133" s="4" t="s">
        <v>2315</v>
      </c>
      <c r="K2133" s="4" t="s">
        <v>53</v>
      </c>
      <c r="M2133">
        <f t="shared" si="66"/>
        <v>2862.3429168750004</v>
      </c>
    </row>
    <row r="2134" spans="1:25" ht="14" x14ac:dyDescent="0.2">
      <c r="A2134" s="4" t="s">
        <v>4702</v>
      </c>
      <c r="B2134" s="5">
        <v>14975.634375000001</v>
      </c>
      <c r="C2134" s="5">
        <f t="shared" si="67"/>
        <v>1497.5634375000002</v>
      </c>
      <c r="D2134" s="4">
        <v>10</v>
      </c>
      <c r="E2134" s="5" t="s">
        <v>124</v>
      </c>
      <c r="F2134" s="4" t="s">
        <v>4703</v>
      </c>
      <c r="G2134" s="4" t="s">
        <v>20</v>
      </c>
      <c r="H2134" s="4" t="s">
        <v>4702</v>
      </c>
      <c r="I2134" s="4" t="s">
        <v>22</v>
      </c>
      <c r="J2134" s="4" t="s">
        <v>4704</v>
      </c>
      <c r="K2134" s="4" t="s">
        <v>68</v>
      </c>
      <c r="M2134">
        <f t="shared" si="66"/>
        <v>1347.8070937500001</v>
      </c>
    </row>
    <row r="2135" spans="1:25" ht="14" x14ac:dyDescent="0.2">
      <c r="A2135" s="7" t="s">
        <v>5523</v>
      </c>
      <c r="B2135" s="10">
        <v>1331.1675</v>
      </c>
      <c r="C2135" s="5">
        <f t="shared" si="67"/>
        <v>1331.1675</v>
      </c>
      <c r="D2135" s="9">
        <v>1</v>
      </c>
      <c r="E2135" s="10" t="s">
        <v>5185</v>
      </c>
      <c r="F2135" s="7" t="s">
        <v>5524</v>
      </c>
      <c r="G2135" s="7" t="s">
        <v>20</v>
      </c>
      <c r="H2135" s="7" t="s">
        <v>5524</v>
      </c>
      <c r="I2135" s="7" t="s">
        <v>22</v>
      </c>
      <c r="J2135" s="7" t="s">
        <v>5525</v>
      </c>
      <c r="K2135" s="7" t="s">
        <v>2747</v>
      </c>
      <c r="L2135" s="4"/>
      <c r="M2135">
        <f t="shared" si="66"/>
        <v>1198.0507500000001</v>
      </c>
      <c r="N2135" s="3"/>
      <c r="O2135" s="3"/>
      <c r="P2135" s="3"/>
      <c r="Q2135" s="2"/>
      <c r="R2135" s="2"/>
      <c r="S2135" s="2"/>
      <c r="T2135" s="2"/>
      <c r="U2135" s="2"/>
      <c r="V2135" s="2"/>
      <c r="W2135" s="2"/>
      <c r="X2135" s="2"/>
      <c r="Y2135" s="2"/>
    </row>
    <row r="2136" spans="1:25" ht="14" x14ac:dyDescent="0.2">
      <c r="A2136" s="4" t="s">
        <v>4705</v>
      </c>
      <c r="B2136" s="5">
        <v>5806.1089125000008</v>
      </c>
      <c r="C2136" s="5">
        <f t="shared" si="67"/>
        <v>58.061089125000009</v>
      </c>
      <c r="D2136" s="4">
        <v>100</v>
      </c>
      <c r="E2136" s="5" t="s">
        <v>30</v>
      </c>
      <c r="F2136" s="4" t="s">
        <v>4706</v>
      </c>
      <c r="G2136" s="4" t="s">
        <v>20</v>
      </c>
      <c r="H2136" s="4" t="s">
        <v>4706</v>
      </c>
      <c r="I2136" s="4" t="s">
        <v>22</v>
      </c>
      <c r="J2136" s="4" t="s">
        <v>67</v>
      </c>
      <c r="K2136" s="4" t="s">
        <v>53</v>
      </c>
      <c r="M2136">
        <f t="shared" si="66"/>
        <v>52.254980212500008</v>
      </c>
    </row>
    <row r="2137" spans="1:25" ht="14" x14ac:dyDescent="0.2">
      <c r="A2137" s="4" t="s">
        <v>4707</v>
      </c>
      <c r="B2137" s="5">
        <v>8874.4500000000007</v>
      </c>
      <c r="C2137" s="5">
        <f t="shared" si="67"/>
        <v>8874.4500000000007</v>
      </c>
      <c r="D2137" s="4">
        <v>1</v>
      </c>
      <c r="E2137" s="5" t="s">
        <v>1212</v>
      </c>
      <c r="F2137" s="4" t="s">
        <v>4708</v>
      </c>
      <c r="G2137" s="4" t="s">
        <v>20</v>
      </c>
      <c r="H2137" s="4" t="s">
        <v>4708</v>
      </c>
      <c r="I2137" s="4" t="s">
        <v>22</v>
      </c>
      <c r="J2137" s="8">
        <v>3.0000000000000001E-3</v>
      </c>
      <c r="K2137" s="4" t="s">
        <v>244</v>
      </c>
      <c r="M2137">
        <f t="shared" si="66"/>
        <v>7987.005000000001</v>
      </c>
    </row>
    <row r="2138" spans="1:25" ht="14" x14ac:dyDescent="0.2">
      <c r="A2138" s="4" t="s">
        <v>4709</v>
      </c>
      <c r="B2138" s="5">
        <v>9429.1031250000015</v>
      </c>
      <c r="C2138" s="5">
        <f t="shared" si="67"/>
        <v>314.30343750000003</v>
      </c>
      <c r="D2138" s="4">
        <v>30</v>
      </c>
      <c r="E2138" s="5" t="s">
        <v>10</v>
      </c>
      <c r="F2138" s="4" t="s">
        <v>4710</v>
      </c>
      <c r="G2138" s="4" t="s">
        <v>12</v>
      </c>
      <c r="H2138" s="4" t="s">
        <v>4711</v>
      </c>
      <c r="I2138" s="4" t="s">
        <v>22</v>
      </c>
      <c r="J2138" s="4" t="s">
        <v>248</v>
      </c>
      <c r="K2138" s="4" t="s">
        <v>90</v>
      </c>
      <c r="M2138">
        <f t="shared" si="66"/>
        <v>282.87309375000001</v>
      </c>
    </row>
    <row r="2139" spans="1:25" ht="14" x14ac:dyDescent="0.2">
      <c r="A2139" s="4" t="s">
        <v>4712</v>
      </c>
      <c r="B2139" s="5">
        <v>13723.227618749999</v>
      </c>
      <c r="C2139" s="5">
        <f t="shared" si="67"/>
        <v>27.446455237499997</v>
      </c>
      <c r="D2139" s="4">
        <v>500</v>
      </c>
      <c r="E2139" s="5" t="s">
        <v>10</v>
      </c>
      <c r="F2139" s="4" t="s">
        <v>4713</v>
      </c>
      <c r="G2139" s="4" t="s">
        <v>20</v>
      </c>
      <c r="H2139" s="4" t="s">
        <v>4714</v>
      </c>
      <c r="I2139" s="4" t="s">
        <v>22</v>
      </c>
      <c r="J2139" s="4" t="s">
        <v>4715</v>
      </c>
      <c r="K2139" s="4" t="s">
        <v>53</v>
      </c>
      <c r="M2139">
        <f t="shared" si="66"/>
        <v>24.701809713749995</v>
      </c>
    </row>
    <row r="2140" spans="1:25" ht="14" x14ac:dyDescent="0.2">
      <c r="A2140" s="4" t="s">
        <v>4716</v>
      </c>
      <c r="B2140" s="5">
        <v>1109.3062500000001</v>
      </c>
      <c r="C2140" s="5">
        <f t="shared" si="67"/>
        <v>92.442187500000003</v>
      </c>
      <c r="D2140" s="4">
        <v>12</v>
      </c>
      <c r="E2140" s="5" t="s">
        <v>4455</v>
      </c>
      <c r="F2140" s="4" t="s">
        <v>4717</v>
      </c>
      <c r="G2140" s="4" t="s">
        <v>20</v>
      </c>
      <c r="H2140" s="4" t="s">
        <v>4718</v>
      </c>
      <c r="I2140" s="4" t="s">
        <v>22</v>
      </c>
      <c r="J2140" s="4" t="s">
        <v>4719</v>
      </c>
      <c r="K2140" s="4" t="s">
        <v>118</v>
      </c>
      <c r="M2140">
        <f t="shared" si="66"/>
        <v>83.197968750000001</v>
      </c>
    </row>
    <row r="2141" spans="1:25" ht="14" x14ac:dyDescent="0.2">
      <c r="A2141" s="4" t="s">
        <v>4720</v>
      </c>
      <c r="B2141" s="5">
        <v>20744.026875000003</v>
      </c>
      <c r="C2141" s="5">
        <f t="shared" si="67"/>
        <v>740.85810267857153</v>
      </c>
      <c r="D2141" s="4">
        <v>28</v>
      </c>
      <c r="E2141" s="5" t="s">
        <v>10</v>
      </c>
      <c r="F2141" s="4" t="s">
        <v>4720</v>
      </c>
      <c r="G2141" s="4" t="s">
        <v>20</v>
      </c>
      <c r="H2141" s="4" t="s">
        <v>4720</v>
      </c>
      <c r="I2141" s="4" t="s">
        <v>22</v>
      </c>
      <c r="J2141" s="4" t="s">
        <v>2880</v>
      </c>
      <c r="K2141" s="4" t="s">
        <v>68</v>
      </c>
      <c r="M2141">
        <f t="shared" ref="M2141:M2204" si="68">C2141-(C2141* 10%)</f>
        <v>666.77229241071439</v>
      </c>
    </row>
    <row r="2142" spans="1:25" ht="14" x14ac:dyDescent="0.2">
      <c r="A2142" s="4" t="s">
        <v>4721</v>
      </c>
      <c r="B2142" s="5">
        <v>72601.875450000007</v>
      </c>
      <c r="C2142" s="5">
        <f t="shared" si="67"/>
        <v>5185.8482464285717</v>
      </c>
      <c r="D2142" s="4">
        <v>14</v>
      </c>
      <c r="E2142" s="5" t="s">
        <v>10</v>
      </c>
      <c r="F2142" s="4" t="s">
        <v>4722</v>
      </c>
      <c r="G2142" s="4" t="s">
        <v>12</v>
      </c>
      <c r="H2142" s="4" t="s">
        <v>4722</v>
      </c>
      <c r="I2142" s="4" t="s">
        <v>22</v>
      </c>
      <c r="J2142" s="4" t="s">
        <v>4723</v>
      </c>
      <c r="K2142" s="4" t="s">
        <v>1173</v>
      </c>
      <c r="M2142">
        <f t="shared" si="68"/>
        <v>4667.2634217857149</v>
      </c>
    </row>
    <row r="2143" spans="1:25" ht="14" x14ac:dyDescent="0.2">
      <c r="A2143" s="4" t="s">
        <v>4724</v>
      </c>
      <c r="B2143" s="5">
        <v>4215.3637500000004</v>
      </c>
      <c r="C2143" s="5">
        <f t="shared" si="67"/>
        <v>4215.3637500000004</v>
      </c>
      <c r="D2143" s="4">
        <v>1</v>
      </c>
      <c r="E2143" s="5" t="s">
        <v>175</v>
      </c>
      <c r="F2143" s="4" t="s">
        <v>1489</v>
      </c>
      <c r="G2143" s="4" t="s">
        <v>12</v>
      </c>
      <c r="H2143" s="4" t="s">
        <v>4725</v>
      </c>
      <c r="I2143" s="4" t="s">
        <v>22</v>
      </c>
      <c r="J2143" s="8">
        <v>2.5000000000000001E-3</v>
      </c>
      <c r="K2143" s="4" t="s">
        <v>244</v>
      </c>
      <c r="M2143">
        <f t="shared" si="68"/>
        <v>3793.8273750000003</v>
      </c>
    </row>
    <row r="2144" spans="1:25" ht="14" x14ac:dyDescent="0.2">
      <c r="A2144" s="4" t="s">
        <v>4726</v>
      </c>
      <c r="B2144" s="5">
        <v>4659.0862500000003</v>
      </c>
      <c r="C2144" s="5">
        <f t="shared" si="67"/>
        <v>4659.0862500000003</v>
      </c>
      <c r="D2144" s="4">
        <v>1</v>
      </c>
      <c r="E2144" s="5" t="s">
        <v>175</v>
      </c>
      <c r="F2144" s="4" t="s">
        <v>1489</v>
      </c>
      <c r="G2144" s="4" t="s">
        <v>12</v>
      </c>
      <c r="H2144" s="4" t="s">
        <v>4725</v>
      </c>
      <c r="I2144" s="4" t="s">
        <v>22</v>
      </c>
      <c r="J2144" s="8">
        <v>5.0000000000000001E-3</v>
      </c>
      <c r="K2144" s="4" t="s">
        <v>244</v>
      </c>
      <c r="M2144">
        <f t="shared" si="68"/>
        <v>4193.1776250000003</v>
      </c>
    </row>
    <row r="2145" spans="1:13" ht="14" x14ac:dyDescent="0.2">
      <c r="A2145" s="4" t="s">
        <v>4727</v>
      </c>
      <c r="B2145" s="5">
        <v>2815.4192625000001</v>
      </c>
      <c r="C2145" s="5">
        <f t="shared" si="67"/>
        <v>281.54192625000002</v>
      </c>
      <c r="D2145" s="4">
        <v>10</v>
      </c>
      <c r="E2145" s="5" t="s">
        <v>30</v>
      </c>
      <c r="F2145" s="4" t="s">
        <v>4728</v>
      </c>
      <c r="G2145" s="4" t="s">
        <v>20</v>
      </c>
      <c r="H2145" s="4" t="s">
        <v>4729</v>
      </c>
      <c r="I2145" s="4" t="s">
        <v>22</v>
      </c>
      <c r="J2145" s="4" t="s">
        <v>207</v>
      </c>
      <c r="K2145" s="4" t="s">
        <v>53</v>
      </c>
      <c r="M2145">
        <f t="shared" si="68"/>
        <v>253.38773362500001</v>
      </c>
    </row>
    <row r="2146" spans="1:13" ht="14" x14ac:dyDescent="0.2">
      <c r="A2146" s="4" t="s">
        <v>4730</v>
      </c>
      <c r="B2146" s="5">
        <v>3124.9157062500003</v>
      </c>
      <c r="C2146" s="5">
        <f t="shared" si="67"/>
        <v>312.49157062500001</v>
      </c>
      <c r="D2146" s="4">
        <v>10</v>
      </c>
      <c r="E2146" s="5" t="s">
        <v>30</v>
      </c>
      <c r="F2146" s="4" t="s">
        <v>4728</v>
      </c>
      <c r="G2146" s="4" t="s">
        <v>20</v>
      </c>
      <c r="H2146" s="4" t="s">
        <v>4731</v>
      </c>
      <c r="I2146" s="4" t="s">
        <v>22</v>
      </c>
      <c r="J2146" s="4" t="s">
        <v>207</v>
      </c>
      <c r="K2146" s="4" t="s">
        <v>53</v>
      </c>
      <c r="M2146">
        <f t="shared" si="68"/>
        <v>281.24241356250002</v>
      </c>
    </row>
    <row r="2147" spans="1:13" ht="14" x14ac:dyDescent="0.2">
      <c r="A2147" s="4" t="s">
        <v>4732</v>
      </c>
      <c r="B2147" s="5">
        <v>1941.2859375000003</v>
      </c>
      <c r="C2147" s="5">
        <f t="shared" si="67"/>
        <v>1941.2859375000003</v>
      </c>
      <c r="D2147" s="4">
        <v>1</v>
      </c>
      <c r="E2147" s="5" t="s">
        <v>10</v>
      </c>
      <c r="F2147" s="4" t="s">
        <v>4728</v>
      </c>
      <c r="G2147" s="4" t="s">
        <v>20</v>
      </c>
      <c r="H2147" s="4" t="s">
        <v>4728</v>
      </c>
      <c r="I2147" s="4" t="s">
        <v>22</v>
      </c>
      <c r="J2147" s="4" t="s">
        <v>207</v>
      </c>
      <c r="K2147" s="4" t="s">
        <v>53</v>
      </c>
      <c r="M2147">
        <f t="shared" si="68"/>
        <v>1747.1573437500001</v>
      </c>
    </row>
    <row r="2148" spans="1:13" ht="14" x14ac:dyDescent="0.2">
      <c r="A2148" s="4" t="s">
        <v>4733</v>
      </c>
      <c r="B2148" s="5">
        <v>5951.4280312500014</v>
      </c>
      <c r="C2148" s="5">
        <f t="shared" si="67"/>
        <v>297.57140156250006</v>
      </c>
      <c r="D2148" s="4">
        <v>20</v>
      </c>
      <c r="E2148" s="5" t="s">
        <v>10</v>
      </c>
      <c r="F2148" s="4" t="s">
        <v>4734</v>
      </c>
      <c r="G2148" s="4" t="s">
        <v>20</v>
      </c>
      <c r="H2148" s="4" t="s">
        <v>4735</v>
      </c>
      <c r="I2148" s="4" t="s">
        <v>22</v>
      </c>
      <c r="J2148" s="4" t="s">
        <v>4736</v>
      </c>
      <c r="K2148" s="4" t="s">
        <v>53</v>
      </c>
      <c r="M2148">
        <f t="shared" si="68"/>
        <v>267.81426140625007</v>
      </c>
    </row>
    <row r="2149" spans="1:13" ht="14" x14ac:dyDescent="0.2">
      <c r="A2149" s="4" t="s">
        <v>4737</v>
      </c>
      <c r="B2149" s="5">
        <v>1892.4764625000003</v>
      </c>
      <c r="C2149" s="5">
        <f t="shared" si="67"/>
        <v>189.24764625000003</v>
      </c>
      <c r="D2149" s="4">
        <v>10</v>
      </c>
      <c r="E2149" s="5" t="s">
        <v>10</v>
      </c>
      <c r="F2149" s="4" t="s">
        <v>4738</v>
      </c>
      <c r="G2149" s="4" t="s">
        <v>20</v>
      </c>
      <c r="H2149" s="4" t="s">
        <v>4739</v>
      </c>
      <c r="I2149" s="4" t="s">
        <v>22</v>
      </c>
      <c r="J2149" s="4" t="s">
        <v>4740</v>
      </c>
      <c r="K2149" s="4" t="s">
        <v>53</v>
      </c>
      <c r="M2149">
        <f t="shared" si="68"/>
        <v>170.32288162500004</v>
      </c>
    </row>
    <row r="2150" spans="1:13" ht="14" x14ac:dyDescent="0.2">
      <c r="A2150" s="4" t="s">
        <v>4741</v>
      </c>
      <c r="B2150" s="5">
        <v>4792.2030000000004</v>
      </c>
      <c r="C2150" s="5">
        <f t="shared" si="67"/>
        <v>4792.2030000000004</v>
      </c>
      <c r="D2150" s="4">
        <v>1</v>
      </c>
      <c r="E2150" s="5" t="s">
        <v>55</v>
      </c>
      <c r="F2150" s="4" t="s">
        <v>4742</v>
      </c>
      <c r="G2150" s="4" t="s">
        <v>20</v>
      </c>
      <c r="H2150" s="4" t="s">
        <v>4743</v>
      </c>
      <c r="I2150" s="4" t="s">
        <v>22</v>
      </c>
      <c r="J2150" s="4" t="s">
        <v>3406</v>
      </c>
      <c r="K2150" s="4" t="s">
        <v>103</v>
      </c>
      <c r="M2150">
        <f t="shared" si="68"/>
        <v>4312.9827000000005</v>
      </c>
    </row>
    <row r="2151" spans="1:13" ht="14" x14ac:dyDescent="0.2">
      <c r="A2151" s="4" t="s">
        <v>4744</v>
      </c>
      <c r="B2151" s="5">
        <v>134780.70937500001</v>
      </c>
      <c r="C2151" s="5">
        <f t="shared" si="67"/>
        <v>134780.70937500001</v>
      </c>
      <c r="D2151" s="4">
        <v>1</v>
      </c>
      <c r="E2151" s="5" t="s">
        <v>170</v>
      </c>
      <c r="F2151" s="4" t="s">
        <v>4416</v>
      </c>
      <c r="G2151" s="4" t="s">
        <v>12</v>
      </c>
      <c r="H2151" s="4" t="s">
        <v>4745</v>
      </c>
      <c r="I2151" s="4" t="s">
        <v>14</v>
      </c>
      <c r="J2151" s="4" t="s">
        <v>4746</v>
      </c>
      <c r="K2151" s="4" t="s">
        <v>74</v>
      </c>
      <c r="M2151">
        <f t="shared" si="68"/>
        <v>121302.63843750001</v>
      </c>
    </row>
    <row r="2152" spans="1:13" ht="14" x14ac:dyDescent="0.2">
      <c r="A2152" s="4" t="s">
        <v>4747</v>
      </c>
      <c r="B2152" s="5">
        <v>3624.1035187500006</v>
      </c>
      <c r="C2152" s="5">
        <f t="shared" si="67"/>
        <v>3624.1035187500006</v>
      </c>
      <c r="D2152" s="4">
        <v>1</v>
      </c>
      <c r="E2152" s="5" t="s">
        <v>59</v>
      </c>
      <c r="F2152" s="4" t="s">
        <v>4748</v>
      </c>
      <c r="G2152" s="4" t="s">
        <v>20</v>
      </c>
      <c r="H2152" s="4" t="s">
        <v>4747</v>
      </c>
      <c r="I2152" s="4" t="s">
        <v>22</v>
      </c>
      <c r="J2152" s="4" t="s">
        <v>2315</v>
      </c>
      <c r="K2152" s="4" t="s">
        <v>118</v>
      </c>
      <c r="M2152">
        <f t="shared" si="68"/>
        <v>3261.6931668750003</v>
      </c>
    </row>
    <row r="2153" spans="1:13" ht="14" x14ac:dyDescent="0.2">
      <c r="A2153" s="4" t="s">
        <v>4749</v>
      </c>
      <c r="B2153" s="5">
        <v>2695.6141874999998</v>
      </c>
      <c r="C2153" s="5">
        <f t="shared" si="67"/>
        <v>2695.6141874999998</v>
      </c>
      <c r="D2153" s="4">
        <v>1</v>
      </c>
      <c r="E2153" s="5" t="s">
        <v>25</v>
      </c>
      <c r="F2153" s="4" t="s">
        <v>4750</v>
      </c>
      <c r="G2153" s="4" t="s">
        <v>20</v>
      </c>
      <c r="H2153" s="4" t="s">
        <v>4751</v>
      </c>
      <c r="I2153" s="4" t="s">
        <v>22</v>
      </c>
      <c r="J2153" s="4" t="s">
        <v>44</v>
      </c>
      <c r="K2153" s="4" t="s">
        <v>118</v>
      </c>
      <c r="M2153">
        <f t="shared" si="68"/>
        <v>2426.0527687499998</v>
      </c>
    </row>
    <row r="2154" spans="1:13" ht="14" x14ac:dyDescent="0.2">
      <c r="A2154" s="4" t="s">
        <v>4752</v>
      </c>
      <c r="B2154" s="5">
        <v>15373.875318750002</v>
      </c>
      <c r="C2154" s="5">
        <f t="shared" si="67"/>
        <v>15373.875318750002</v>
      </c>
      <c r="D2154" s="4">
        <v>1</v>
      </c>
      <c r="E2154" s="5" t="s">
        <v>175</v>
      </c>
      <c r="F2154" s="4" t="s">
        <v>4565</v>
      </c>
      <c r="G2154" s="4" t="s">
        <v>20</v>
      </c>
      <c r="H2154" s="4" t="s">
        <v>4753</v>
      </c>
      <c r="I2154" s="4" t="s">
        <v>22</v>
      </c>
      <c r="J2154" s="8">
        <v>3.0000000000000001E-3</v>
      </c>
      <c r="K2154" s="4" t="s">
        <v>53</v>
      </c>
      <c r="M2154">
        <f t="shared" si="68"/>
        <v>13836.487786875003</v>
      </c>
    </row>
    <row r="2155" spans="1:13" ht="14" x14ac:dyDescent="0.2">
      <c r="A2155" s="4" t="s">
        <v>4754</v>
      </c>
      <c r="B2155" s="5">
        <v>11846.28144375</v>
      </c>
      <c r="C2155" s="5">
        <f t="shared" si="67"/>
        <v>11846.28144375</v>
      </c>
      <c r="D2155" s="4">
        <v>1</v>
      </c>
      <c r="E2155" s="5" t="s">
        <v>142</v>
      </c>
      <c r="F2155" s="4" t="s">
        <v>4565</v>
      </c>
      <c r="G2155" s="4" t="s">
        <v>20</v>
      </c>
      <c r="H2155" s="4" t="s">
        <v>4753</v>
      </c>
      <c r="I2155" s="4" t="s">
        <v>22</v>
      </c>
      <c r="J2155" s="8">
        <v>3.0000000000000001E-3</v>
      </c>
      <c r="K2155" s="4" t="s">
        <v>53</v>
      </c>
      <c r="M2155">
        <f t="shared" si="68"/>
        <v>10661.653299375001</v>
      </c>
    </row>
    <row r="2156" spans="1:13" ht="14" x14ac:dyDescent="0.2">
      <c r="A2156" s="4" t="s">
        <v>4755</v>
      </c>
      <c r="B2156" s="5">
        <v>49918.781250000007</v>
      </c>
      <c r="C2156" s="5">
        <f t="shared" si="67"/>
        <v>1663.9593750000001</v>
      </c>
      <c r="D2156" s="4">
        <v>30</v>
      </c>
      <c r="E2156" s="5" t="s">
        <v>30</v>
      </c>
      <c r="F2156" s="4" t="s">
        <v>4756</v>
      </c>
      <c r="G2156" s="4" t="s">
        <v>20</v>
      </c>
      <c r="H2156" s="4" t="s">
        <v>4757</v>
      </c>
      <c r="I2156" s="4" t="s">
        <v>14</v>
      </c>
      <c r="J2156" s="4" t="s">
        <v>95</v>
      </c>
      <c r="K2156" s="4" t="s">
        <v>34</v>
      </c>
      <c r="M2156">
        <f t="shared" si="68"/>
        <v>1497.5634375000002</v>
      </c>
    </row>
    <row r="2157" spans="1:13" ht="14" x14ac:dyDescent="0.2">
      <c r="A2157" s="4" t="s">
        <v>4758</v>
      </c>
      <c r="B2157" s="5">
        <v>42153.637500000004</v>
      </c>
      <c r="C2157" s="5">
        <f t="shared" si="67"/>
        <v>1405.1212500000001</v>
      </c>
      <c r="D2157" s="4">
        <v>30</v>
      </c>
      <c r="E2157" s="5" t="s">
        <v>957</v>
      </c>
      <c r="F2157" s="4" t="s">
        <v>4758</v>
      </c>
      <c r="G2157" s="4" t="s">
        <v>20</v>
      </c>
      <c r="H2157" s="4" t="s">
        <v>4758</v>
      </c>
      <c r="I2157" s="4" t="s">
        <v>14</v>
      </c>
      <c r="J2157" s="4" t="s">
        <v>78</v>
      </c>
      <c r="K2157" s="4" t="s">
        <v>34</v>
      </c>
      <c r="M2157">
        <f t="shared" si="68"/>
        <v>1264.6091250000002</v>
      </c>
    </row>
    <row r="2158" spans="1:13" ht="14" x14ac:dyDescent="0.2">
      <c r="A2158" s="4" t="s">
        <v>4759</v>
      </c>
      <c r="B2158" s="5">
        <v>5426.7261750000007</v>
      </c>
      <c r="C2158" s="5">
        <f t="shared" si="67"/>
        <v>193.81164910714287</v>
      </c>
      <c r="D2158" s="4">
        <v>28</v>
      </c>
      <c r="E2158" s="5" t="s">
        <v>10</v>
      </c>
      <c r="F2158" s="4" t="s">
        <v>4760</v>
      </c>
      <c r="G2158" s="4" t="s">
        <v>12</v>
      </c>
      <c r="H2158" s="4" t="s">
        <v>4760</v>
      </c>
      <c r="I2158" s="4" t="s">
        <v>22</v>
      </c>
      <c r="J2158" s="4" t="s">
        <v>207</v>
      </c>
      <c r="K2158" s="4" t="s">
        <v>16</v>
      </c>
      <c r="M2158">
        <f t="shared" si="68"/>
        <v>174.43048419642858</v>
      </c>
    </row>
    <row r="2159" spans="1:13" ht="14" x14ac:dyDescent="0.2">
      <c r="A2159" s="4" t="s">
        <v>4761</v>
      </c>
      <c r="B2159" s="5">
        <v>8719.1471249999995</v>
      </c>
      <c r="C2159" s="5">
        <f t="shared" si="67"/>
        <v>290.6382375</v>
      </c>
      <c r="D2159" s="4">
        <v>30</v>
      </c>
      <c r="E2159" s="5" t="s">
        <v>10</v>
      </c>
      <c r="F2159" s="4" t="s">
        <v>4226</v>
      </c>
      <c r="G2159" s="4" t="s">
        <v>12</v>
      </c>
      <c r="H2159" s="4" t="s">
        <v>4226</v>
      </c>
      <c r="I2159" s="4" t="s">
        <v>22</v>
      </c>
      <c r="J2159" s="4" t="s">
        <v>273</v>
      </c>
      <c r="K2159" s="4" t="s">
        <v>87</v>
      </c>
      <c r="M2159">
        <f t="shared" si="68"/>
        <v>261.57441375000002</v>
      </c>
    </row>
    <row r="2160" spans="1:13" ht="14" x14ac:dyDescent="0.2">
      <c r="A2160" s="4" t="s">
        <v>4762</v>
      </c>
      <c r="B2160" s="5">
        <v>21298.68</v>
      </c>
      <c r="C2160" s="5">
        <f t="shared" si="67"/>
        <v>709.95600000000002</v>
      </c>
      <c r="D2160" s="4">
        <v>30</v>
      </c>
      <c r="E2160" s="5" t="s">
        <v>973</v>
      </c>
      <c r="F2160" s="4" t="s">
        <v>4762</v>
      </c>
      <c r="G2160" s="4" t="s">
        <v>12</v>
      </c>
      <c r="H2160" s="4" t="s">
        <v>4762</v>
      </c>
      <c r="I2160" s="4" t="s">
        <v>22</v>
      </c>
      <c r="J2160" s="4" t="s">
        <v>994</v>
      </c>
      <c r="K2160" s="4" t="s">
        <v>812</v>
      </c>
      <c r="M2160">
        <f t="shared" si="68"/>
        <v>638.96040000000005</v>
      </c>
    </row>
    <row r="2161" spans="1:25" ht="14" x14ac:dyDescent="0.2">
      <c r="A2161" s="4" t="s">
        <v>4763</v>
      </c>
      <c r="B2161" s="5">
        <v>14559.644531250002</v>
      </c>
      <c r="C2161" s="5">
        <f t="shared" si="67"/>
        <v>242.66074218750003</v>
      </c>
      <c r="D2161" s="4">
        <v>60</v>
      </c>
      <c r="E2161" s="5" t="s">
        <v>10</v>
      </c>
      <c r="F2161" s="4" t="s">
        <v>4764</v>
      </c>
      <c r="G2161" s="4" t="s">
        <v>12</v>
      </c>
      <c r="H2161" s="4" t="s">
        <v>4765</v>
      </c>
      <c r="I2161" s="4" t="s">
        <v>22</v>
      </c>
      <c r="J2161" s="4" t="s">
        <v>78</v>
      </c>
      <c r="K2161" s="4" t="s">
        <v>227</v>
      </c>
      <c r="M2161">
        <f t="shared" si="68"/>
        <v>218.39466796875001</v>
      </c>
    </row>
    <row r="2162" spans="1:25" ht="14" x14ac:dyDescent="0.2">
      <c r="A2162" s="4" t="s">
        <v>4766</v>
      </c>
      <c r="B2162" s="5">
        <v>22913.829900000001</v>
      </c>
      <c r="C2162" s="5">
        <f t="shared" si="67"/>
        <v>763.79433000000006</v>
      </c>
      <c r="D2162" s="4">
        <v>30</v>
      </c>
      <c r="E2162" s="5" t="s">
        <v>10</v>
      </c>
      <c r="F2162" s="4" t="s">
        <v>4767</v>
      </c>
      <c r="G2162" s="4" t="s">
        <v>12</v>
      </c>
      <c r="H2162" s="4" t="s">
        <v>4767</v>
      </c>
      <c r="I2162" s="4" t="s">
        <v>22</v>
      </c>
      <c r="J2162" s="4" t="s">
        <v>78</v>
      </c>
      <c r="K2162" s="4" t="s">
        <v>227</v>
      </c>
      <c r="M2162">
        <f t="shared" si="68"/>
        <v>687.41489700000011</v>
      </c>
    </row>
    <row r="2163" spans="1:25" ht="14" x14ac:dyDescent="0.2">
      <c r="A2163" s="4" t="s">
        <v>4768</v>
      </c>
      <c r="B2163" s="5">
        <v>30505.921875000004</v>
      </c>
      <c r="C2163" s="5">
        <f t="shared" si="67"/>
        <v>1016.8640625000002</v>
      </c>
      <c r="D2163" s="4">
        <v>30</v>
      </c>
      <c r="E2163" s="5" t="s">
        <v>10</v>
      </c>
      <c r="F2163" s="4" t="s">
        <v>4767</v>
      </c>
      <c r="G2163" s="4" t="s">
        <v>12</v>
      </c>
      <c r="H2163" s="4" t="s">
        <v>4767</v>
      </c>
      <c r="I2163" s="4" t="s">
        <v>22</v>
      </c>
      <c r="J2163" s="4" t="s">
        <v>140</v>
      </c>
      <c r="K2163" s="4" t="s">
        <v>227</v>
      </c>
      <c r="M2163">
        <f t="shared" si="68"/>
        <v>915.17765625000015</v>
      </c>
    </row>
    <row r="2164" spans="1:25" ht="14" x14ac:dyDescent="0.2">
      <c r="A2164" s="4" t="s">
        <v>4769</v>
      </c>
      <c r="B2164" s="5">
        <v>20444.514187500001</v>
      </c>
      <c r="C2164" s="5">
        <f t="shared" si="67"/>
        <v>681.48380625000004</v>
      </c>
      <c r="D2164" s="4">
        <v>30</v>
      </c>
      <c r="E2164" s="5" t="s">
        <v>10</v>
      </c>
      <c r="F2164" s="4" t="s">
        <v>4767</v>
      </c>
      <c r="G2164" s="4" t="s">
        <v>12</v>
      </c>
      <c r="H2164" s="4" t="s">
        <v>4767</v>
      </c>
      <c r="I2164" s="4" t="s">
        <v>22</v>
      </c>
      <c r="J2164" s="4" t="s">
        <v>15</v>
      </c>
      <c r="K2164" s="4" t="s">
        <v>227</v>
      </c>
      <c r="M2164">
        <f t="shared" si="68"/>
        <v>613.33542562500008</v>
      </c>
    </row>
    <row r="2165" spans="1:25" ht="14" x14ac:dyDescent="0.2">
      <c r="A2165" s="4" t="s">
        <v>4770</v>
      </c>
      <c r="B2165" s="5">
        <v>5990.2537500000008</v>
      </c>
      <c r="C2165" s="5">
        <f t="shared" si="67"/>
        <v>199.67512500000004</v>
      </c>
      <c r="D2165" s="4">
        <v>30</v>
      </c>
      <c r="E2165" s="5" t="s">
        <v>10</v>
      </c>
      <c r="F2165" s="4" t="s">
        <v>4770</v>
      </c>
      <c r="G2165" s="4" t="s">
        <v>12</v>
      </c>
      <c r="H2165" s="4" t="s">
        <v>4771</v>
      </c>
      <c r="I2165" s="4" t="s">
        <v>22</v>
      </c>
      <c r="J2165" s="4" t="s">
        <v>1081</v>
      </c>
      <c r="K2165" s="4" t="s">
        <v>90</v>
      </c>
      <c r="M2165">
        <f t="shared" si="68"/>
        <v>179.70761250000004</v>
      </c>
    </row>
    <row r="2166" spans="1:25" ht="14" x14ac:dyDescent="0.2">
      <c r="A2166" s="4" t="s">
        <v>4772</v>
      </c>
      <c r="B2166" s="5">
        <v>8390.7924750000002</v>
      </c>
      <c r="C2166" s="5">
        <f t="shared" si="67"/>
        <v>279.6930825</v>
      </c>
      <c r="D2166" s="4">
        <v>30</v>
      </c>
      <c r="E2166" s="5" t="s">
        <v>10</v>
      </c>
      <c r="F2166" s="4" t="s">
        <v>4773</v>
      </c>
      <c r="G2166" s="4" t="s">
        <v>12</v>
      </c>
      <c r="H2166" s="4" t="s">
        <v>4771</v>
      </c>
      <c r="I2166" s="4" t="s">
        <v>22</v>
      </c>
      <c r="J2166" s="4" t="s">
        <v>140</v>
      </c>
      <c r="K2166" s="4" t="s">
        <v>90</v>
      </c>
      <c r="M2166">
        <f t="shared" si="68"/>
        <v>251.72377424999999</v>
      </c>
    </row>
    <row r="2167" spans="1:25" ht="14" x14ac:dyDescent="0.2">
      <c r="A2167" s="4" t="s">
        <v>4774</v>
      </c>
      <c r="B2167" s="5">
        <v>5750.6436000000003</v>
      </c>
      <c r="C2167" s="5">
        <f t="shared" si="67"/>
        <v>191.68812</v>
      </c>
      <c r="D2167" s="4">
        <v>30</v>
      </c>
      <c r="E2167" s="5" t="s">
        <v>10</v>
      </c>
      <c r="F2167" s="4" t="s">
        <v>4773</v>
      </c>
      <c r="G2167" s="4" t="s">
        <v>12</v>
      </c>
      <c r="H2167" s="4" t="s">
        <v>4771</v>
      </c>
      <c r="I2167" s="4" t="s">
        <v>22</v>
      </c>
      <c r="J2167" s="4" t="s">
        <v>148</v>
      </c>
      <c r="K2167" s="4" t="s">
        <v>90</v>
      </c>
      <c r="M2167">
        <f t="shared" si="68"/>
        <v>172.519308</v>
      </c>
    </row>
    <row r="2168" spans="1:25" ht="14" x14ac:dyDescent="0.2">
      <c r="A2168" s="4" t="s">
        <v>4775</v>
      </c>
      <c r="B2168" s="5">
        <v>4040.0933625000007</v>
      </c>
      <c r="C2168" s="5">
        <f t="shared" si="67"/>
        <v>4040.0933625000007</v>
      </c>
      <c r="D2168" s="4">
        <v>1</v>
      </c>
      <c r="E2168" s="5" t="s">
        <v>124</v>
      </c>
      <c r="F2168" s="4" t="s">
        <v>4773</v>
      </c>
      <c r="G2168" s="4" t="s">
        <v>12</v>
      </c>
      <c r="H2168" s="4" t="s">
        <v>4771</v>
      </c>
      <c r="I2168" s="4" t="s">
        <v>22</v>
      </c>
      <c r="J2168" s="4" t="s">
        <v>2238</v>
      </c>
      <c r="K2168" s="4" t="s">
        <v>90</v>
      </c>
      <c r="M2168">
        <f t="shared" si="68"/>
        <v>3636.0840262500005</v>
      </c>
    </row>
    <row r="2169" spans="1:25" ht="14" x14ac:dyDescent="0.2">
      <c r="A2169" s="7" t="s">
        <v>5526</v>
      </c>
      <c r="B2169" s="10">
        <v>13533.536250000001</v>
      </c>
      <c r="C2169" s="5">
        <f t="shared" si="67"/>
        <v>1353.3536250000002</v>
      </c>
      <c r="D2169" s="9">
        <v>10</v>
      </c>
      <c r="E2169" s="10" t="s">
        <v>5229</v>
      </c>
      <c r="F2169" s="7" t="s">
        <v>5527</v>
      </c>
      <c r="G2169" s="7" t="s">
        <v>20</v>
      </c>
      <c r="H2169" s="7" t="s">
        <v>4777</v>
      </c>
      <c r="I2169" s="7" t="s">
        <v>22</v>
      </c>
      <c r="J2169" s="7" t="s">
        <v>25</v>
      </c>
      <c r="K2169" s="7" t="s">
        <v>34</v>
      </c>
      <c r="L2169" s="4"/>
      <c r="M2169">
        <f t="shared" si="68"/>
        <v>1218.0182625000002</v>
      </c>
      <c r="N2169" s="3"/>
      <c r="O2169" s="3"/>
      <c r="P2169" s="3"/>
      <c r="Q2169" s="2"/>
      <c r="R2169" s="2"/>
      <c r="S2169" s="2"/>
      <c r="T2169" s="2"/>
      <c r="U2169" s="2"/>
      <c r="V2169" s="2"/>
      <c r="W2169" s="2"/>
      <c r="X2169" s="2"/>
      <c r="Y2169" s="2"/>
    </row>
    <row r="2170" spans="1:25" ht="14" x14ac:dyDescent="0.2">
      <c r="A2170" s="4" t="s">
        <v>4776</v>
      </c>
      <c r="B2170" s="5">
        <v>1386.6328125000002</v>
      </c>
      <c r="C2170" s="5">
        <f t="shared" si="67"/>
        <v>1386.6328125000002</v>
      </c>
      <c r="D2170" s="4">
        <v>1</v>
      </c>
      <c r="E2170" s="5" t="s">
        <v>59</v>
      </c>
      <c r="F2170" s="4" t="s">
        <v>60</v>
      </c>
      <c r="G2170" s="4" t="s">
        <v>20</v>
      </c>
      <c r="H2170" s="4" t="s">
        <v>4777</v>
      </c>
      <c r="I2170" s="4" t="s">
        <v>22</v>
      </c>
      <c r="J2170" s="4" t="s">
        <v>27</v>
      </c>
      <c r="K2170" s="4" t="s">
        <v>34</v>
      </c>
      <c r="M2170">
        <f t="shared" si="68"/>
        <v>1247.9695312500003</v>
      </c>
    </row>
    <row r="2171" spans="1:25" ht="14" x14ac:dyDescent="0.2">
      <c r="A2171" s="4" t="s">
        <v>4778</v>
      </c>
      <c r="B2171" s="5">
        <v>61641.929700000001</v>
      </c>
      <c r="C2171" s="5">
        <f t="shared" si="67"/>
        <v>2201.4974892857144</v>
      </c>
      <c r="D2171" s="4">
        <v>28</v>
      </c>
      <c r="E2171" s="5" t="s">
        <v>10</v>
      </c>
      <c r="F2171" s="4" t="s">
        <v>2895</v>
      </c>
      <c r="G2171" s="4" t="s">
        <v>12</v>
      </c>
      <c r="H2171" s="4" t="s">
        <v>4779</v>
      </c>
      <c r="I2171" s="4" t="s">
        <v>22</v>
      </c>
      <c r="J2171" s="4" t="s">
        <v>200</v>
      </c>
      <c r="K2171" s="4" t="s">
        <v>16</v>
      </c>
      <c r="M2171">
        <f t="shared" si="68"/>
        <v>1981.347740357143</v>
      </c>
    </row>
    <row r="2172" spans="1:25" ht="14" x14ac:dyDescent="0.2">
      <c r="A2172" s="4" t="s">
        <v>4780</v>
      </c>
      <c r="B2172" s="5">
        <v>16254.664481250002</v>
      </c>
      <c r="C2172" s="5">
        <f t="shared" si="67"/>
        <v>270.91107468750005</v>
      </c>
      <c r="D2172" s="4">
        <v>60</v>
      </c>
      <c r="E2172" s="5" t="s">
        <v>10</v>
      </c>
      <c r="F2172" s="4" t="s">
        <v>4781</v>
      </c>
      <c r="G2172" s="4" t="s">
        <v>12</v>
      </c>
      <c r="H2172" s="4" t="s">
        <v>4781</v>
      </c>
      <c r="I2172" s="4" t="s">
        <v>22</v>
      </c>
      <c r="J2172" s="4" t="s">
        <v>140</v>
      </c>
      <c r="K2172" s="4" t="s">
        <v>87</v>
      </c>
      <c r="M2172">
        <f t="shared" si="68"/>
        <v>243.81996721875004</v>
      </c>
    </row>
    <row r="2173" spans="1:25" ht="14" x14ac:dyDescent="0.2">
      <c r="A2173" s="4" t="s">
        <v>4782</v>
      </c>
      <c r="B2173" s="5">
        <v>7845.0138000000006</v>
      </c>
      <c r="C2173" s="5">
        <f t="shared" si="67"/>
        <v>78.45013800000001</v>
      </c>
      <c r="D2173" s="4">
        <v>100</v>
      </c>
      <c r="E2173" s="5" t="s">
        <v>10</v>
      </c>
      <c r="F2173" s="4" t="s">
        <v>3813</v>
      </c>
      <c r="G2173" s="4" t="s">
        <v>12</v>
      </c>
      <c r="H2173" s="4" t="s">
        <v>3813</v>
      </c>
      <c r="I2173" s="4" t="s">
        <v>22</v>
      </c>
      <c r="J2173" s="4" t="s">
        <v>78</v>
      </c>
      <c r="K2173" s="4" t="s">
        <v>87</v>
      </c>
      <c r="M2173">
        <f t="shared" si="68"/>
        <v>70.605124200000006</v>
      </c>
    </row>
    <row r="2174" spans="1:25" ht="14" x14ac:dyDescent="0.2">
      <c r="A2174" s="4" t="s">
        <v>4783</v>
      </c>
      <c r="B2174" s="5">
        <v>5118.3390375000008</v>
      </c>
      <c r="C2174" s="5">
        <f t="shared" si="67"/>
        <v>511.8339037500001</v>
      </c>
      <c r="D2174" s="4">
        <v>10</v>
      </c>
      <c r="E2174" s="5" t="s">
        <v>10</v>
      </c>
      <c r="F2174" s="4" t="s">
        <v>4784</v>
      </c>
      <c r="G2174" s="4" t="s">
        <v>12</v>
      </c>
      <c r="H2174" s="4" t="s">
        <v>4784</v>
      </c>
      <c r="I2174" s="4" t="s">
        <v>22</v>
      </c>
      <c r="J2174" s="4" t="s">
        <v>39</v>
      </c>
      <c r="K2174" s="4" t="s">
        <v>87</v>
      </c>
      <c r="M2174">
        <f t="shared" si="68"/>
        <v>460.65051337500006</v>
      </c>
    </row>
    <row r="2175" spans="1:25" ht="14" x14ac:dyDescent="0.2">
      <c r="A2175" s="4" t="s">
        <v>4785</v>
      </c>
      <c r="B2175" s="5">
        <v>15924.091218750002</v>
      </c>
      <c r="C2175" s="5">
        <f t="shared" si="67"/>
        <v>265.40152031250005</v>
      </c>
      <c r="D2175" s="4">
        <v>60</v>
      </c>
      <c r="E2175" s="5" t="s">
        <v>30</v>
      </c>
      <c r="F2175" s="4" t="s">
        <v>4786</v>
      </c>
      <c r="G2175" s="4" t="s">
        <v>12</v>
      </c>
      <c r="H2175" s="4" t="s">
        <v>4787</v>
      </c>
      <c r="I2175" s="4" t="s">
        <v>22</v>
      </c>
      <c r="J2175" s="4" t="s">
        <v>207</v>
      </c>
      <c r="K2175" s="4" t="s">
        <v>312</v>
      </c>
      <c r="M2175">
        <f t="shared" si="68"/>
        <v>238.86136828125004</v>
      </c>
    </row>
    <row r="2176" spans="1:25" ht="14" x14ac:dyDescent="0.2">
      <c r="A2176" s="7" t="s">
        <v>5528</v>
      </c>
      <c r="B2176" s="10">
        <v>5546.5312500000009</v>
      </c>
      <c r="C2176" s="5">
        <f t="shared" si="67"/>
        <v>1109.3062500000001</v>
      </c>
      <c r="D2176" s="9">
        <v>5</v>
      </c>
      <c r="E2176" s="10" t="s">
        <v>5185</v>
      </c>
      <c r="F2176" s="7" t="s">
        <v>4786</v>
      </c>
      <c r="H2176" s="7" t="s">
        <v>4786</v>
      </c>
      <c r="J2176" s="7" t="s">
        <v>5529</v>
      </c>
      <c r="K2176" s="7" t="s">
        <v>219</v>
      </c>
      <c r="M2176">
        <f t="shared" si="68"/>
        <v>998.37562500000013</v>
      </c>
    </row>
    <row r="2177" spans="1:13" ht="14" x14ac:dyDescent="0.2">
      <c r="A2177" s="4" t="s">
        <v>4788</v>
      </c>
      <c r="B2177" s="5">
        <v>6620.3397000000004</v>
      </c>
      <c r="C2177" s="5">
        <f t="shared" si="67"/>
        <v>6620.3397000000004</v>
      </c>
      <c r="D2177" s="4">
        <v>1</v>
      </c>
      <c r="E2177" s="5" t="s">
        <v>55</v>
      </c>
      <c r="F2177" s="4" t="s">
        <v>4789</v>
      </c>
      <c r="G2177" s="4" t="s">
        <v>20</v>
      </c>
      <c r="H2177" s="4" t="s">
        <v>4790</v>
      </c>
      <c r="I2177" s="4" t="s">
        <v>22</v>
      </c>
      <c r="J2177" s="4" t="s">
        <v>4791</v>
      </c>
      <c r="K2177" s="4" t="s">
        <v>87</v>
      </c>
      <c r="M2177">
        <f t="shared" si="68"/>
        <v>5958.30573</v>
      </c>
    </row>
    <row r="2178" spans="1:13" ht="14" x14ac:dyDescent="0.2">
      <c r="A2178" s="4" t="s">
        <v>4792</v>
      </c>
      <c r="B2178" s="5">
        <v>39269.441250000003</v>
      </c>
      <c r="C2178" s="5">
        <f t="shared" si="67"/>
        <v>39269.441250000003</v>
      </c>
      <c r="D2178" s="4">
        <v>1</v>
      </c>
      <c r="E2178" s="5" t="s">
        <v>175</v>
      </c>
      <c r="F2178" s="4" t="s">
        <v>4558</v>
      </c>
      <c r="G2178" s="4" t="s">
        <v>12</v>
      </c>
      <c r="H2178" s="4" t="s">
        <v>4793</v>
      </c>
      <c r="I2178" s="4" t="s">
        <v>14</v>
      </c>
      <c r="J2178" s="4" t="s">
        <v>1756</v>
      </c>
      <c r="K2178" s="4" t="s">
        <v>23</v>
      </c>
      <c r="M2178">
        <f t="shared" si="68"/>
        <v>35342.497125000002</v>
      </c>
    </row>
    <row r="2179" spans="1:13" ht="14" x14ac:dyDescent="0.2">
      <c r="A2179" s="4" t="s">
        <v>4794</v>
      </c>
      <c r="B2179" s="5">
        <v>16916.920312500002</v>
      </c>
      <c r="C2179" s="5">
        <f t="shared" ref="C2179:C2242" si="69">(B2179/D2179)</f>
        <v>1208.3514508928572</v>
      </c>
      <c r="D2179" s="4">
        <v>14</v>
      </c>
      <c r="E2179" s="5" t="s">
        <v>10</v>
      </c>
      <c r="F2179" s="4" t="s">
        <v>4795</v>
      </c>
      <c r="G2179" s="4" t="s">
        <v>12</v>
      </c>
      <c r="H2179" s="4" t="s">
        <v>4796</v>
      </c>
      <c r="I2179" s="4" t="s">
        <v>14</v>
      </c>
      <c r="J2179" s="4" t="s">
        <v>140</v>
      </c>
      <c r="K2179" s="4" t="s">
        <v>16</v>
      </c>
      <c r="M2179">
        <f t="shared" si="68"/>
        <v>1087.5163058035714</v>
      </c>
    </row>
    <row r="2180" spans="1:13" ht="14" x14ac:dyDescent="0.2">
      <c r="A2180" s="4" t="s">
        <v>4797</v>
      </c>
      <c r="B2180" s="5">
        <v>16723.901024999999</v>
      </c>
      <c r="C2180" s="5">
        <f t="shared" si="69"/>
        <v>1194.5643589285714</v>
      </c>
      <c r="D2180" s="4">
        <v>14</v>
      </c>
      <c r="E2180" s="5" t="s">
        <v>10</v>
      </c>
      <c r="F2180" s="4" t="s">
        <v>4798</v>
      </c>
      <c r="G2180" s="4" t="s">
        <v>12</v>
      </c>
      <c r="H2180" s="4" t="s">
        <v>4796</v>
      </c>
      <c r="I2180" s="4" t="s">
        <v>14</v>
      </c>
      <c r="J2180" s="4" t="s">
        <v>78</v>
      </c>
      <c r="K2180" s="4" t="s">
        <v>16</v>
      </c>
      <c r="M2180">
        <f t="shared" si="68"/>
        <v>1075.1079230357143</v>
      </c>
    </row>
    <row r="2181" spans="1:13" ht="14" x14ac:dyDescent="0.2">
      <c r="A2181" s="4" t="s">
        <v>4799</v>
      </c>
      <c r="B2181" s="5">
        <v>17904.202875000003</v>
      </c>
      <c r="C2181" s="5">
        <f t="shared" si="69"/>
        <v>1278.8716339285716</v>
      </c>
      <c r="D2181" s="4">
        <v>14</v>
      </c>
      <c r="E2181" s="5" t="s">
        <v>10</v>
      </c>
      <c r="F2181" s="4" t="s">
        <v>4800</v>
      </c>
      <c r="G2181" s="4" t="s">
        <v>12</v>
      </c>
      <c r="H2181" s="4" t="s">
        <v>4801</v>
      </c>
      <c r="I2181" s="4" t="s">
        <v>14</v>
      </c>
      <c r="J2181" s="4" t="s">
        <v>351</v>
      </c>
      <c r="K2181" s="4" t="s">
        <v>16</v>
      </c>
      <c r="M2181">
        <f t="shared" si="68"/>
        <v>1150.9844705357143</v>
      </c>
    </row>
    <row r="2182" spans="1:13" ht="14" x14ac:dyDescent="0.2">
      <c r="A2182" s="4" t="s">
        <v>4802</v>
      </c>
      <c r="B2182" s="5">
        <v>17904.202875000003</v>
      </c>
      <c r="C2182" s="5">
        <f t="shared" si="69"/>
        <v>1278.8716339285716</v>
      </c>
      <c r="D2182" s="4">
        <v>14</v>
      </c>
      <c r="E2182" s="5" t="s">
        <v>10</v>
      </c>
      <c r="F2182" s="4" t="s">
        <v>4800</v>
      </c>
      <c r="G2182" s="4" t="s">
        <v>12</v>
      </c>
      <c r="H2182" s="4" t="s">
        <v>4801</v>
      </c>
      <c r="I2182" s="4" t="s">
        <v>14</v>
      </c>
      <c r="J2182" s="4" t="s">
        <v>207</v>
      </c>
      <c r="K2182" s="4" t="s">
        <v>16</v>
      </c>
      <c r="M2182">
        <f t="shared" si="68"/>
        <v>1150.9844705357143</v>
      </c>
    </row>
    <row r="2183" spans="1:13" ht="14" x14ac:dyDescent="0.2">
      <c r="A2183" s="4" t="s">
        <v>4803</v>
      </c>
      <c r="B2183" s="5">
        <v>10342.062168750002</v>
      </c>
      <c r="C2183" s="5">
        <f t="shared" si="69"/>
        <v>344.73540562500006</v>
      </c>
      <c r="D2183" s="4">
        <v>30</v>
      </c>
      <c r="E2183" s="5" t="s">
        <v>30</v>
      </c>
      <c r="F2183" s="4" t="s">
        <v>4786</v>
      </c>
      <c r="G2183" s="4" t="s">
        <v>12</v>
      </c>
      <c r="H2183" s="4" t="s">
        <v>4804</v>
      </c>
      <c r="I2183" s="4" t="s">
        <v>22</v>
      </c>
      <c r="J2183" s="4" t="s">
        <v>207</v>
      </c>
      <c r="K2183" s="4" t="s">
        <v>312</v>
      </c>
      <c r="M2183">
        <f t="shared" si="68"/>
        <v>310.26186506250008</v>
      </c>
    </row>
    <row r="2184" spans="1:13" ht="14" x14ac:dyDescent="0.2">
      <c r="A2184" s="4" t="s">
        <v>4805</v>
      </c>
      <c r="B2184" s="5">
        <v>25832.414643750002</v>
      </c>
      <c r="C2184" s="5">
        <f t="shared" si="69"/>
        <v>2583.2414643750003</v>
      </c>
      <c r="D2184" s="4">
        <v>10</v>
      </c>
      <c r="E2184" s="5" t="s">
        <v>10</v>
      </c>
      <c r="F2184" s="4" t="s">
        <v>4786</v>
      </c>
      <c r="G2184" s="4" t="s">
        <v>12</v>
      </c>
      <c r="H2184" s="4" t="s">
        <v>4804</v>
      </c>
      <c r="I2184" s="4" t="s">
        <v>22</v>
      </c>
      <c r="J2184" s="4" t="s">
        <v>1859</v>
      </c>
      <c r="K2184" s="4" t="s">
        <v>87</v>
      </c>
      <c r="M2184">
        <f t="shared" si="68"/>
        <v>2324.9173179375002</v>
      </c>
    </row>
    <row r="2185" spans="1:13" ht="14" x14ac:dyDescent="0.2">
      <c r="A2185" s="4" t="s">
        <v>4806</v>
      </c>
      <c r="B2185" s="5">
        <v>2793.2331375000003</v>
      </c>
      <c r="C2185" s="5">
        <f t="shared" si="69"/>
        <v>279.32331375000001</v>
      </c>
      <c r="D2185" s="4">
        <v>10</v>
      </c>
      <c r="E2185" s="5" t="s">
        <v>10</v>
      </c>
      <c r="F2185" s="4" t="s">
        <v>1110</v>
      </c>
      <c r="G2185" s="4" t="s">
        <v>20</v>
      </c>
      <c r="H2185" s="4" t="s">
        <v>4807</v>
      </c>
      <c r="I2185" s="4" t="s">
        <v>22</v>
      </c>
      <c r="J2185" s="4" t="s">
        <v>207</v>
      </c>
      <c r="K2185" s="4" t="s">
        <v>53</v>
      </c>
      <c r="M2185">
        <f t="shared" si="68"/>
        <v>251.39098237500002</v>
      </c>
    </row>
    <row r="2186" spans="1:13" ht="14" x14ac:dyDescent="0.2">
      <c r="A2186" s="4" t="s">
        <v>4808</v>
      </c>
      <c r="B2186" s="5">
        <v>3776.0784750000003</v>
      </c>
      <c r="C2186" s="5">
        <f t="shared" si="69"/>
        <v>377.60784750000005</v>
      </c>
      <c r="D2186" s="4">
        <v>10</v>
      </c>
      <c r="E2186" s="5" t="s">
        <v>10</v>
      </c>
      <c r="F2186" s="4" t="s">
        <v>4809</v>
      </c>
      <c r="G2186" s="4" t="s">
        <v>20</v>
      </c>
      <c r="H2186" s="4" t="s">
        <v>4810</v>
      </c>
      <c r="I2186" s="4" t="s">
        <v>22</v>
      </c>
      <c r="J2186" s="4" t="s">
        <v>207</v>
      </c>
      <c r="K2186" s="4" t="s">
        <v>53</v>
      </c>
      <c r="M2186">
        <f t="shared" si="68"/>
        <v>339.84706275000002</v>
      </c>
    </row>
    <row r="2187" spans="1:13" ht="14" x14ac:dyDescent="0.2">
      <c r="A2187" s="4" t="s">
        <v>4811</v>
      </c>
      <c r="B2187" s="5">
        <v>8319.796875</v>
      </c>
      <c r="C2187" s="5">
        <f t="shared" si="69"/>
        <v>8319.796875</v>
      </c>
      <c r="D2187" s="4">
        <v>1</v>
      </c>
      <c r="E2187" s="5" t="s">
        <v>124</v>
      </c>
      <c r="F2187" s="4" t="s">
        <v>4812</v>
      </c>
      <c r="G2187" s="4" t="s">
        <v>20</v>
      </c>
      <c r="H2187" s="4" t="s">
        <v>4813</v>
      </c>
      <c r="I2187" s="4" t="s">
        <v>14</v>
      </c>
      <c r="J2187" s="4" t="s">
        <v>4814</v>
      </c>
      <c r="K2187" s="4" t="s">
        <v>786</v>
      </c>
      <c r="M2187">
        <f t="shared" si="68"/>
        <v>7487.8171874999998</v>
      </c>
    </row>
    <row r="2188" spans="1:13" ht="14" x14ac:dyDescent="0.2">
      <c r="A2188" s="4" t="s">
        <v>4815</v>
      </c>
      <c r="B2188" s="5">
        <v>8763.5193750000017</v>
      </c>
      <c r="C2188" s="5">
        <f t="shared" si="69"/>
        <v>876.35193750000019</v>
      </c>
      <c r="D2188" s="4">
        <v>10</v>
      </c>
      <c r="E2188" s="5" t="s">
        <v>124</v>
      </c>
      <c r="F2188" s="4" t="s">
        <v>4816</v>
      </c>
      <c r="G2188" s="4" t="s">
        <v>20</v>
      </c>
      <c r="H2188" s="4" t="s">
        <v>4817</v>
      </c>
      <c r="I2188" s="4" t="s">
        <v>22</v>
      </c>
      <c r="J2188" s="4" t="s">
        <v>1696</v>
      </c>
      <c r="K2188" s="4" t="s">
        <v>786</v>
      </c>
      <c r="M2188">
        <f t="shared" si="68"/>
        <v>788.71674375000021</v>
      </c>
    </row>
    <row r="2189" spans="1:13" ht="14" x14ac:dyDescent="0.2">
      <c r="A2189" s="4" t="s">
        <v>4818</v>
      </c>
      <c r="B2189" s="5">
        <v>8384.1366374999998</v>
      </c>
      <c r="C2189" s="5">
        <f t="shared" si="69"/>
        <v>8384.1366374999998</v>
      </c>
      <c r="D2189" s="4">
        <v>1</v>
      </c>
      <c r="E2189" s="5" t="s">
        <v>55</v>
      </c>
      <c r="F2189" s="4" t="s">
        <v>4819</v>
      </c>
      <c r="G2189" s="4" t="s">
        <v>12</v>
      </c>
      <c r="H2189" s="4" t="s">
        <v>4819</v>
      </c>
      <c r="I2189" s="4" t="s">
        <v>22</v>
      </c>
      <c r="J2189" s="4" t="s">
        <v>3543</v>
      </c>
      <c r="K2189" s="4" t="s">
        <v>1575</v>
      </c>
      <c r="M2189">
        <f t="shared" si="68"/>
        <v>7545.7229737500002</v>
      </c>
    </row>
    <row r="2190" spans="1:13" ht="14" x14ac:dyDescent="0.2">
      <c r="A2190" s="4" t="s">
        <v>4820</v>
      </c>
      <c r="B2190" s="5">
        <v>1497.5634375000002</v>
      </c>
      <c r="C2190" s="5">
        <f t="shared" si="69"/>
        <v>1497.5634375000002</v>
      </c>
      <c r="D2190" s="4">
        <v>1</v>
      </c>
      <c r="E2190" s="5" t="s">
        <v>55</v>
      </c>
      <c r="F2190" s="4" t="s">
        <v>4820</v>
      </c>
      <c r="G2190" s="4" t="s">
        <v>20</v>
      </c>
      <c r="H2190" s="4" t="s">
        <v>4821</v>
      </c>
      <c r="I2190" s="4" t="s">
        <v>22</v>
      </c>
      <c r="J2190" s="4" t="s">
        <v>25</v>
      </c>
      <c r="K2190" s="4" t="s">
        <v>23</v>
      </c>
      <c r="M2190">
        <f t="shared" si="68"/>
        <v>1347.8070937500001</v>
      </c>
    </row>
    <row r="2191" spans="1:13" ht="14" x14ac:dyDescent="0.2">
      <c r="A2191" s="4" t="s">
        <v>4822</v>
      </c>
      <c r="B2191" s="5">
        <v>1996.7512500000003</v>
      </c>
      <c r="C2191" s="5">
        <f t="shared" si="69"/>
        <v>1996.7512500000003</v>
      </c>
      <c r="D2191" s="4">
        <v>1</v>
      </c>
      <c r="E2191" s="5" t="s">
        <v>55</v>
      </c>
      <c r="F2191" s="4" t="s">
        <v>4823</v>
      </c>
      <c r="G2191" s="4" t="s">
        <v>20</v>
      </c>
      <c r="H2191" s="4" t="s">
        <v>4824</v>
      </c>
      <c r="I2191" s="4" t="s">
        <v>22</v>
      </c>
      <c r="J2191" s="6">
        <v>0.01</v>
      </c>
      <c r="K2191" s="4" t="s">
        <v>23</v>
      </c>
      <c r="M2191">
        <f t="shared" si="68"/>
        <v>1797.0761250000003</v>
      </c>
    </row>
    <row r="2192" spans="1:13" ht="14" x14ac:dyDescent="0.2">
      <c r="A2192" s="4" t="s">
        <v>4825</v>
      </c>
      <c r="B2192" s="5">
        <v>1996.7512500000003</v>
      </c>
      <c r="C2192" s="5">
        <f t="shared" si="69"/>
        <v>1996.7512500000003</v>
      </c>
      <c r="D2192" s="4">
        <v>1</v>
      </c>
      <c r="E2192" s="5" t="s">
        <v>55</v>
      </c>
      <c r="F2192" s="4" t="s">
        <v>4826</v>
      </c>
      <c r="G2192" s="4" t="s">
        <v>20</v>
      </c>
      <c r="H2192" s="4" t="s">
        <v>4827</v>
      </c>
      <c r="I2192" s="4" t="s">
        <v>22</v>
      </c>
      <c r="J2192" s="4" t="s">
        <v>1009</v>
      </c>
      <c r="K2192" s="4" t="s">
        <v>53</v>
      </c>
      <c r="M2192">
        <f t="shared" si="68"/>
        <v>1797.0761250000003</v>
      </c>
    </row>
    <row r="2193" spans="1:13" ht="14" x14ac:dyDescent="0.2">
      <c r="A2193" s="7" t="s">
        <v>5530</v>
      </c>
      <c r="B2193" s="10">
        <v>3414.4446374999998</v>
      </c>
      <c r="C2193" s="5">
        <f t="shared" si="69"/>
        <v>113.81482124999999</v>
      </c>
      <c r="D2193" s="9">
        <v>30</v>
      </c>
      <c r="E2193" s="10" t="s">
        <v>5193</v>
      </c>
      <c r="F2193" s="7" t="s">
        <v>5531</v>
      </c>
      <c r="H2193" s="7" t="s">
        <v>5531</v>
      </c>
      <c r="J2193" s="7" t="s">
        <v>200</v>
      </c>
      <c r="K2193" s="7" t="s">
        <v>227</v>
      </c>
      <c r="M2193">
        <f t="shared" si="68"/>
        <v>102.43333912499999</v>
      </c>
    </row>
    <row r="2194" spans="1:13" ht="14" x14ac:dyDescent="0.2">
      <c r="A2194" s="7" t="s">
        <v>5532</v>
      </c>
      <c r="B2194" s="10">
        <v>96509.643750000003</v>
      </c>
      <c r="C2194" s="5">
        <f t="shared" si="69"/>
        <v>96509.643750000003</v>
      </c>
      <c r="D2194" s="9">
        <v>1</v>
      </c>
      <c r="E2194" s="10" t="s">
        <v>5185</v>
      </c>
      <c r="F2194" s="16" t="s">
        <v>5533</v>
      </c>
      <c r="G2194" s="16"/>
      <c r="H2194" s="7" t="s">
        <v>5534</v>
      </c>
      <c r="J2194" s="7" t="s">
        <v>5535</v>
      </c>
      <c r="K2194" s="7" t="s">
        <v>1502</v>
      </c>
      <c r="M2194">
        <f t="shared" si="68"/>
        <v>86858.679375000007</v>
      </c>
    </row>
    <row r="2195" spans="1:13" ht="14" x14ac:dyDescent="0.2">
      <c r="A2195" s="4" t="s">
        <v>4828</v>
      </c>
      <c r="B2195" s="5">
        <v>17016.757875000003</v>
      </c>
      <c r="C2195" s="5">
        <f t="shared" si="69"/>
        <v>17016.757875000003</v>
      </c>
      <c r="D2195" s="4">
        <v>1</v>
      </c>
      <c r="E2195" s="5" t="s">
        <v>25</v>
      </c>
      <c r="F2195" s="4" t="s">
        <v>4829</v>
      </c>
      <c r="G2195" s="4" t="s">
        <v>12</v>
      </c>
      <c r="H2195" s="4" t="s">
        <v>4829</v>
      </c>
      <c r="I2195" s="4" t="s">
        <v>14</v>
      </c>
      <c r="K2195" s="4" t="s">
        <v>860</v>
      </c>
      <c r="M2195">
        <f t="shared" si="68"/>
        <v>15315.082087500003</v>
      </c>
    </row>
    <row r="2196" spans="1:13" ht="14" x14ac:dyDescent="0.2">
      <c r="A2196" s="4" t="s">
        <v>4830</v>
      </c>
      <c r="B2196" s="5">
        <v>13545.73861875</v>
      </c>
      <c r="C2196" s="5">
        <f t="shared" si="69"/>
        <v>451.52462062500001</v>
      </c>
      <c r="D2196" s="4">
        <v>30</v>
      </c>
      <c r="E2196" s="5" t="s">
        <v>10</v>
      </c>
      <c r="F2196" s="4" t="s">
        <v>2496</v>
      </c>
      <c r="G2196" s="4" t="s">
        <v>12</v>
      </c>
      <c r="H2196" s="4" t="s">
        <v>4831</v>
      </c>
      <c r="I2196" s="4" t="s">
        <v>22</v>
      </c>
      <c r="J2196" s="4" t="s">
        <v>146</v>
      </c>
      <c r="K2196" s="4" t="s">
        <v>90</v>
      </c>
      <c r="M2196">
        <f t="shared" si="68"/>
        <v>406.37215856249998</v>
      </c>
    </row>
    <row r="2197" spans="1:13" ht="14" x14ac:dyDescent="0.2">
      <c r="A2197" s="4" t="s">
        <v>4832</v>
      </c>
      <c r="B2197" s="5">
        <v>7463.4124500000007</v>
      </c>
      <c r="C2197" s="5">
        <f t="shared" si="69"/>
        <v>248.78041500000003</v>
      </c>
      <c r="D2197" s="4">
        <v>30</v>
      </c>
      <c r="E2197" s="5" t="s">
        <v>10</v>
      </c>
      <c r="F2197" s="4" t="s">
        <v>2496</v>
      </c>
      <c r="G2197" s="4" t="s">
        <v>12</v>
      </c>
      <c r="H2197" s="4" t="s">
        <v>4831</v>
      </c>
      <c r="I2197" s="4" t="s">
        <v>22</v>
      </c>
      <c r="J2197" s="4" t="s">
        <v>603</v>
      </c>
      <c r="K2197" s="4" t="s">
        <v>90</v>
      </c>
      <c r="M2197">
        <f t="shared" si="68"/>
        <v>223.90237350000004</v>
      </c>
    </row>
    <row r="2198" spans="1:13" ht="14" x14ac:dyDescent="0.2">
      <c r="A2198" s="4" t="s">
        <v>4833</v>
      </c>
      <c r="B2198" s="5">
        <v>8275.4246249999997</v>
      </c>
      <c r="C2198" s="5">
        <f t="shared" si="69"/>
        <v>275.8474875</v>
      </c>
      <c r="D2198" s="4">
        <v>30</v>
      </c>
      <c r="E2198" s="5" t="s">
        <v>10</v>
      </c>
      <c r="F2198" s="4" t="s">
        <v>2496</v>
      </c>
      <c r="G2198" s="4" t="s">
        <v>12</v>
      </c>
      <c r="H2198" s="4" t="s">
        <v>4831</v>
      </c>
      <c r="I2198" s="4" t="s">
        <v>22</v>
      </c>
      <c r="J2198" s="4" t="s">
        <v>200</v>
      </c>
      <c r="K2198" s="4" t="s">
        <v>90</v>
      </c>
      <c r="M2198">
        <f t="shared" si="68"/>
        <v>248.26273874999998</v>
      </c>
    </row>
    <row r="2199" spans="1:13" ht="14" x14ac:dyDescent="0.2">
      <c r="A2199" s="4" t="s">
        <v>4834</v>
      </c>
      <c r="B2199" s="5">
        <v>13369.358925</v>
      </c>
      <c r="C2199" s="5">
        <f t="shared" si="69"/>
        <v>13369.358925</v>
      </c>
      <c r="D2199" s="4">
        <v>1</v>
      </c>
      <c r="E2199" s="5" t="s">
        <v>175</v>
      </c>
      <c r="F2199" s="4" t="s">
        <v>4835</v>
      </c>
      <c r="G2199" s="4" t="s">
        <v>12</v>
      </c>
      <c r="H2199" s="4" t="s">
        <v>4836</v>
      </c>
      <c r="I2199" s="4" t="s">
        <v>22</v>
      </c>
      <c r="J2199" s="6">
        <v>0.02</v>
      </c>
      <c r="K2199" s="4" t="s">
        <v>244</v>
      </c>
      <c r="M2199">
        <f t="shared" si="68"/>
        <v>12032.423032500001</v>
      </c>
    </row>
    <row r="2200" spans="1:13" ht="14" x14ac:dyDescent="0.2">
      <c r="A2200" s="4" t="s">
        <v>4837</v>
      </c>
      <c r="B2200" s="5">
        <v>13921.7934375</v>
      </c>
      <c r="C2200" s="5">
        <f t="shared" si="69"/>
        <v>464.05978125000001</v>
      </c>
      <c r="D2200" s="4">
        <v>30</v>
      </c>
      <c r="E2200" s="5" t="s">
        <v>10</v>
      </c>
      <c r="F2200" s="4" t="s">
        <v>655</v>
      </c>
      <c r="G2200" s="4" t="s">
        <v>12</v>
      </c>
      <c r="H2200" s="4" t="s">
        <v>4838</v>
      </c>
      <c r="I2200" s="4" t="s">
        <v>22</v>
      </c>
      <c r="J2200" s="4" t="s">
        <v>146</v>
      </c>
      <c r="K2200" s="4" t="s">
        <v>312</v>
      </c>
      <c r="M2200">
        <f t="shared" si="68"/>
        <v>417.65380312500002</v>
      </c>
    </row>
    <row r="2201" spans="1:13" ht="14" x14ac:dyDescent="0.2">
      <c r="A2201" s="4" t="s">
        <v>4839</v>
      </c>
      <c r="B2201" s="5">
        <v>13921.7934375</v>
      </c>
      <c r="C2201" s="5">
        <f t="shared" si="69"/>
        <v>464.05978125000001</v>
      </c>
      <c r="D2201" s="4">
        <v>30</v>
      </c>
      <c r="E2201" s="5" t="s">
        <v>10</v>
      </c>
      <c r="F2201" s="4" t="s">
        <v>655</v>
      </c>
      <c r="G2201" s="4" t="s">
        <v>12</v>
      </c>
      <c r="H2201" s="4" t="s">
        <v>4838</v>
      </c>
      <c r="I2201" s="4" t="s">
        <v>22</v>
      </c>
      <c r="J2201" s="4" t="s">
        <v>148</v>
      </c>
      <c r="K2201" s="4" t="s">
        <v>312</v>
      </c>
      <c r="M2201">
        <f t="shared" si="68"/>
        <v>417.65380312500002</v>
      </c>
    </row>
    <row r="2202" spans="1:13" ht="14" x14ac:dyDescent="0.2">
      <c r="A2202" s="4" t="s">
        <v>4840</v>
      </c>
      <c r="B2202" s="5">
        <v>9475.6939875000007</v>
      </c>
      <c r="C2202" s="5">
        <f t="shared" si="69"/>
        <v>315.85646625000004</v>
      </c>
      <c r="D2202" s="4">
        <v>30</v>
      </c>
      <c r="E2202" s="5" t="s">
        <v>10</v>
      </c>
      <c r="F2202" s="4" t="s">
        <v>1476</v>
      </c>
      <c r="G2202" s="4" t="s">
        <v>12</v>
      </c>
      <c r="H2202" s="4" t="s">
        <v>4841</v>
      </c>
      <c r="I2202" s="4" t="s">
        <v>22</v>
      </c>
      <c r="J2202" s="4" t="s">
        <v>146</v>
      </c>
      <c r="K2202" s="4" t="s">
        <v>312</v>
      </c>
      <c r="M2202">
        <f t="shared" si="68"/>
        <v>284.27081962500006</v>
      </c>
    </row>
    <row r="2203" spans="1:13" ht="14" x14ac:dyDescent="0.2">
      <c r="A2203" s="4" t="s">
        <v>4842</v>
      </c>
      <c r="B2203" s="5">
        <v>9096.3112500000007</v>
      </c>
      <c r="C2203" s="5">
        <f t="shared" si="69"/>
        <v>303.210375</v>
      </c>
      <c r="D2203" s="4">
        <v>30</v>
      </c>
      <c r="E2203" s="5" t="s">
        <v>10</v>
      </c>
      <c r="F2203" s="4" t="s">
        <v>1476</v>
      </c>
      <c r="G2203" s="4" t="s">
        <v>12</v>
      </c>
      <c r="H2203" s="4" t="s">
        <v>4841</v>
      </c>
      <c r="I2203" s="4" t="s">
        <v>22</v>
      </c>
      <c r="J2203" s="4" t="s">
        <v>200</v>
      </c>
      <c r="K2203" s="4" t="s">
        <v>312</v>
      </c>
      <c r="M2203">
        <f t="shared" si="68"/>
        <v>272.88933750000001</v>
      </c>
    </row>
    <row r="2204" spans="1:13" ht="14" x14ac:dyDescent="0.2">
      <c r="A2204" s="4" t="s">
        <v>4843</v>
      </c>
      <c r="B2204" s="5">
        <v>1331.1675</v>
      </c>
      <c r="C2204" s="5">
        <f t="shared" si="69"/>
        <v>1331.1675</v>
      </c>
      <c r="D2204" s="4">
        <v>1</v>
      </c>
      <c r="E2204" s="5" t="s">
        <v>59</v>
      </c>
      <c r="F2204" s="4" t="s">
        <v>4844</v>
      </c>
      <c r="G2204" s="4" t="s">
        <v>20</v>
      </c>
      <c r="H2204" s="4" t="s">
        <v>4845</v>
      </c>
      <c r="I2204" s="4" t="s">
        <v>22</v>
      </c>
      <c r="J2204" s="4" t="s">
        <v>2315</v>
      </c>
      <c r="K2204" s="4" t="s">
        <v>118</v>
      </c>
      <c r="M2204">
        <f t="shared" si="68"/>
        <v>1198.0507500000001</v>
      </c>
    </row>
    <row r="2205" spans="1:13" ht="14" x14ac:dyDescent="0.2">
      <c r="A2205" s="4" t="s">
        <v>4846</v>
      </c>
      <c r="B2205" s="5">
        <v>1442.0981250000002</v>
      </c>
      <c r="C2205" s="5">
        <f t="shared" si="69"/>
        <v>1442.0981250000002</v>
      </c>
      <c r="D2205" s="4">
        <v>1</v>
      </c>
      <c r="E2205" s="5" t="s">
        <v>59</v>
      </c>
      <c r="F2205" s="4" t="s">
        <v>4847</v>
      </c>
      <c r="G2205" s="4" t="s">
        <v>20</v>
      </c>
      <c r="H2205" s="4" t="s">
        <v>4848</v>
      </c>
      <c r="I2205" s="4" t="s">
        <v>22</v>
      </c>
      <c r="J2205" s="4" t="s">
        <v>770</v>
      </c>
      <c r="K2205" s="4" t="s">
        <v>118</v>
      </c>
      <c r="M2205">
        <f t="shared" ref="M2205:M2268" si="70">C2205-(C2205* 10%)</f>
        <v>1297.8883125000002</v>
      </c>
    </row>
    <row r="2206" spans="1:13" ht="14" x14ac:dyDescent="0.2">
      <c r="A2206" s="4" t="s">
        <v>4849</v>
      </c>
      <c r="B2206" s="5">
        <v>1774.89</v>
      </c>
      <c r="C2206" s="5">
        <f t="shared" si="69"/>
        <v>1774.89</v>
      </c>
      <c r="D2206" s="4">
        <v>1</v>
      </c>
      <c r="E2206" s="5" t="s">
        <v>59</v>
      </c>
      <c r="F2206" s="4" t="s">
        <v>4847</v>
      </c>
      <c r="G2206" s="4" t="s">
        <v>20</v>
      </c>
      <c r="H2206" s="4" t="s">
        <v>4850</v>
      </c>
      <c r="I2206" s="4" t="s">
        <v>22</v>
      </c>
      <c r="J2206" s="4" t="s">
        <v>2315</v>
      </c>
      <c r="K2206" s="4" t="s">
        <v>118</v>
      </c>
      <c r="M2206">
        <f t="shared" si="70"/>
        <v>1597.4010000000001</v>
      </c>
    </row>
    <row r="2207" spans="1:13" ht="14" x14ac:dyDescent="0.2">
      <c r="A2207" s="4" t="s">
        <v>4851</v>
      </c>
      <c r="B2207" s="5">
        <v>1442.0981250000002</v>
      </c>
      <c r="C2207" s="5">
        <f t="shared" si="69"/>
        <v>1442.0981250000002</v>
      </c>
      <c r="D2207" s="4">
        <v>1</v>
      </c>
      <c r="E2207" s="5" t="s">
        <v>59</v>
      </c>
      <c r="F2207" s="4" t="s">
        <v>4847</v>
      </c>
      <c r="G2207" s="4" t="s">
        <v>20</v>
      </c>
      <c r="H2207" s="4" t="s">
        <v>4850</v>
      </c>
      <c r="I2207" s="4" t="s">
        <v>22</v>
      </c>
      <c r="J2207" s="4" t="s">
        <v>2315</v>
      </c>
      <c r="K2207" s="4" t="s">
        <v>118</v>
      </c>
      <c r="M2207">
        <f t="shared" si="70"/>
        <v>1297.8883125000002</v>
      </c>
    </row>
    <row r="2208" spans="1:13" ht="14" x14ac:dyDescent="0.2">
      <c r="A2208" s="4" t="s">
        <v>4852</v>
      </c>
      <c r="B2208" s="5">
        <v>43262.943750000006</v>
      </c>
      <c r="C2208" s="5">
        <f t="shared" si="69"/>
        <v>1442.0981250000002</v>
      </c>
      <c r="D2208" s="4">
        <v>30</v>
      </c>
      <c r="E2208" s="5" t="s">
        <v>10</v>
      </c>
      <c r="F2208" s="4" t="s">
        <v>505</v>
      </c>
      <c r="G2208" s="4" t="s">
        <v>12</v>
      </c>
      <c r="H2208" s="4" t="s">
        <v>4853</v>
      </c>
      <c r="I2208" s="4" t="s">
        <v>14</v>
      </c>
      <c r="J2208" s="4" t="s">
        <v>4854</v>
      </c>
      <c r="K2208" s="4" t="s">
        <v>90</v>
      </c>
      <c r="M2208">
        <f t="shared" si="70"/>
        <v>1297.8883125000002</v>
      </c>
    </row>
    <row r="2209" spans="1:25" ht="14" x14ac:dyDescent="0.2">
      <c r="A2209" s="4" t="s">
        <v>4855</v>
      </c>
      <c r="B2209" s="5">
        <v>41598.984375000007</v>
      </c>
      <c r="C2209" s="5">
        <f t="shared" si="69"/>
        <v>1386.6328125000002</v>
      </c>
      <c r="D2209" s="4">
        <v>30</v>
      </c>
      <c r="E2209" s="5" t="s">
        <v>10</v>
      </c>
      <c r="F2209" s="4" t="s">
        <v>505</v>
      </c>
      <c r="G2209" s="4" t="s">
        <v>12</v>
      </c>
      <c r="H2209" s="4" t="s">
        <v>4853</v>
      </c>
      <c r="I2209" s="4" t="s">
        <v>14</v>
      </c>
      <c r="J2209" s="4" t="s">
        <v>4856</v>
      </c>
      <c r="K2209" s="4" t="s">
        <v>90</v>
      </c>
      <c r="M2209">
        <f t="shared" si="70"/>
        <v>1247.9695312500003</v>
      </c>
    </row>
    <row r="2210" spans="1:25" ht="14" x14ac:dyDescent="0.2">
      <c r="A2210" s="4" t="s">
        <v>4857</v>
      </c>
      <c r="B2210" s="5">
        <v>43262.943750000006</v>
      </c>
      <c r="C2210" s="5">
        <f t="shared" si="69"/>
        <v>1442.0981250000002</v>
      </c>
      <c r="D2210" s="4">
        <v>30</v>
      </c>
      <c r="E2210" s="5" t="s">
        <v>10</v>
      </c>
      <c r="F2210" s="4" t="s">
        <v>505</v>
      </c>
      <c r="G2210" s="4" t="s">
        <v>12</v>
      </c>
      <c r="H2210" s="4" t="s">
        <v>4853</v>
      </c>
      <c r="I2210" s="4" t="s">
        <v>14</v>
      </c>
      <c r="J2210" s="4" t="s">
        <v>3892</v>
      </c>
      <c r="K2210" s="4" t="s">
        <v>90</v>
      </c>
      <c r="M2210">
        <f t="shared" si="70"/>
        <v>1297.8883125000002</v>
      </c>
    </row>
    <row r="2211" spans="1:25" ht="14" x14ac:dyDescent="0.2">
      <c r="A2211" s="4" t="s">
        <v>4858</v>
      </c>
      <c r="B2211" s="5">
        <v>43262.943750000006</v>
      </c>
      <c r="C2211" s="5">
        <f t="shared" si="69"/>
        <v>1442.0981250000002</v>
      </c>
      <c r="D2211" s="4">
        <v>30</v>
      </c>
      <c r="E2211" s="5" t="s">
        <v>10</v>
      </c>
      <c r="F2211" s="4" t="s">
        <v>505</v>
      </c>
      <c r="G2211" s="4" t="s">
        <v>12</v>
      </c>
      <c r="H2211" s="4" t="s">
        <v>4853</v>
      </c>
      <c r="I2211" s="4" t="s">
        <v>14</v>
      </c>
      <c r="J2211" s="4" t="s">
        <v>4859</v>
      </c>
      <c r="K2211" s="4" t="s">
        <v>90</v>
      </c>
      <c r="M2211">
        <f t="shared" si="70"/>
        <v>1297.8883125000002</v>
      </c>
    </row>
    <row r="2212" spans="1:25" ht="14" x14ac:dyDescent="0.2">
      <c r="A2212" s="4" t="s">
        <v>4860</v>
      </c>
      <c r="B2212" s="5">
        <v>2884.1962500000004</v>
      </c>
      <c r="C2212" s="5">
        <f t="shared" si="69"/>
        <v>2884.1962500000004</v>
      </c>
      <c r="D2212" s="4">
        <v>1</v>
      </c>
      <c r="E2212" s="5" t="s">
        <v>55</v>
      </c>
      <c r="F2212" s="4" t="s">
        <v>4861</v>
      </c>
      <c r="G2212" s="4" t="s">
        <v>20</v>
      </c>
      <c r="H2212" s="4" t="s">
        <v>4862</v>
      </c>
      <c r="I2212" s="4" t="s">
        <v>22</v>
      </c>
      <c r="J2212" s="4" t="s">
        <v>146</v>
      </c>
      <c r="K2212" s="4" t="s">
        <v>103</v>
      </c>
      <c r="M2212">
        <f t="shared" si="70"/>
        <v>2595.7766250000004</v>
      </c>
    </row>
    <row r="2213" spans="1:25" ht="14" x14ac:dyDescent="0.2">
      <c r="A2213" s="4" t="s">
        <v>4863</v>
      </c>
      <c r="B2213" s="5">
        <v>51416.344687500008</v>
      </c>
      <c r="C2213" s="5">
        <f t="shared" si="69"/>
        <v>856.93907812500015</v>
      </c>
      <c r="D2213" s="4">
        <v>60</v>
      </c>
      <c r="E2213" s="5" t="s">
        <v>957</v>
      </c>
      <c r="F2213" s="4" t="s">
        <v>4863</v>
      </c>
      <c r="G2213" s="4" t="s">
        <v>20</v>
      </c>
      <c r="H2213" s="4" t="s">
        <v>4863</v>
      </c>
      <c r="I2213" s="4" t="s">
        <v>22</v>
      </c>
      <c r="J2213" s="4" t="s">
        <v>1081</v>
      </c>
      <c r="K2213" s="4" t="s">
        <v>34</v>
      </c>
      <c r="M2213">
        <f t="shared" si="70"/>
        <v>771.24517031250014</v>
      </c>
    </row>
    <row r="2214" spans="1:25" ht="14" x14ac:dyDescent="0.2">
      <c r="A2214" s="4" t="s">
        <v>4864</v>
      </c>
      <c r="B2214" s="5">
        <v>5768.3925000000008</v>
      </c>
      <c r="C2214" s="5">
        <f t="shared" si="69"/>
        <v>5768.3925000000008</v>
      </c>
      <c r="D2214" s="4">
        <v>1</v>
      </c>
      <c r="E2214" s="5" t="s">
        <v>181</v>
      </c>
      <c r="F2214" s="4" t="s">
        <v>4865</v>
      </c>
      <c r="G2214" s="4" t="s">
        <v>20</v>
      </c>
      <c r="H2214" s="4" t="s">
        <v>4866</v>
      </c>
      <c r="I2214" s="4" t="s">
        <v>22</v>
      </c>
      <c r="J2214" s="4" t="s">
        <v>2338</v>
      </c>
      <c r="K2214" s="4" t="s">
        <v>403</v>
      </c>
      <c r="M2214">
        <f t="shared" si="70"/>
        <v>5191.5532500000008</v>
      </c>
    </row>
    <row r="2215" spans="1:25" ht="14" x14ac:dyDescent="0.2">
      <c r="A2215" s="4" t="s">
        <v>4867</v>
      </c>
      <c r="B2215" s="5">
        <v>20854.9575</v>
      </c>
      <c r="C2215" s="5">
        <f t="shared" si="69"/>
        <v>20854.9575</v>
      </c>
      <c r="D2215" s="4">
        <v>1</v>
      </c>
      <c r="E2215" s="5" t="s">
        <v>10</v>
      </c>
      <c r="F2215" s="4" t="s">
        <v>3669</v>
      </c>
      <c r="G2215" s="4" t="s">
        <v>20</v>
      </c>
      <c r="H2215" s="4" t="s">
        <v>4868</v>
      </c>
      <c r="I2215" s="4" t="s">
        <v>22</v>
      </c>
      <c r="J2215" s="4" t="s">
        <v>4869</v>
      </c>
      <c r="K2215" s="4" t="s">
        <v>748</v>
      </c>
      <c r="M2215">
        <f t="shared" si="70"/>
        <v>18769.461750000002</v>
      </c>
    </row>
    <row r="2216" spans="1:25" ht="14" x14ac:dyDescent="0.2">
      <c r="A2216" s="4" t="s">
        <v>4870</v>
      </c>
      <c r="B2216" s="5">
        <v>6299.750193750001</v>
      </c>
      <c r="C2216" s="5">
        <f t="shared" si="69"/>
        <v>629.9750193750001</v>
      </c>
      <c r="D2216" s="4">
        <v>10</v>
      </c>
      <c r="E2216" s="5" t="s">
        <v>10</v>
      </c>
      <c r="F2216" s="4" t="s">
        <v>4871</v>
      </c>
      <c r="G2216" s="4" t="s">
        <v>20</v>
      </c>
      <c r="H2216" s="4" t="s">
        <v>4872</v>
      </c>
      <c r="I2216" s="4" t="s">
        <v>22</v>
      </c>
      <c r="J2216" s="4" t="s">
        <v>353</v>
      </c>
      <c r="K2216" s="4" t="s">
        <v>53</v>
      </c>
      <c r="M2216">
        <f t="shared" si="70"/>
        <v>566.97751743750007</v>
      </c>
    </row>
    <row r="2217" spans="1:25" ht="14" x14ac:dyDescent="0.2">
      <c r="A2217" s="4" t="s">
        <v>4873</v>
      </c>
      <c r="B2217" s="5">
        <v>4586.9813437499997</v>
      </c>
      <c r="C2217" s="5">
        <f t="shared" si="69"/>
        <v>4586.9813437499997</v>
      </c>
      <c r="D2217" s="4">
        <v>1</v>
      </c>
      <c r="E2217" s="5" t="s">
        <v>124</v>
      </c>
      <c r="F2217" s="4" t="s">
        <v>4871</v>
      </c>
      <c r="G2217" s="4" t="s">
        <v>20</v>
      </c>
      <c r="H2217" s="4" t="s">
        <v>4872</v>
      </c>
      <c r="I2217" s="4" t="s">
        <v>22</v>
      </c>
      <c r="J2217" s="4" t="s">
        <v>481</v>
      </c>
      <c r="K2217" s="4" t="s">
        <v>53</v>
      </c>
      <c r="M2217">
        <f t="shared" si="70"/>
        <v>4128.2832093749994</v>
      </c>
    </row>
    <row r="2218" spans="1:25" ht="14" x14ac:dyDescent="0.2">
      <c r="A2218" s="4" t="s">
        <v>4874</v>
      </c>
      <c r="B2218" s="5">
        <v>17260.805250000001</v>
      </c>
      <c r="C2218" s="5">
        <f t="shared" si="69"/>
        <v>17260.805250000001</v>
      </c>
      <c r="D2218" s="4">
        <v>1</v>
      </c>
      <c r="E2218" s="5" t="s">
        <v>25</v>
      </c>
      <c r="F2218" s="4" t="s">
        <v>4875</v>
      </c>
      <c r="G2218" s="4" t="s">
        <v>12</v>
      </c>
      <c r="H2218" s="4" t="s">
        <v>4875</v>
      </c>
      <c r="I2218" s="4" t="s">
        <v>14</v>
      </c>
      <c r="K2218" s="4" t="s">
        <v>28</v>
      </c>
      <c r="M2218">
        <f t="shared" si="70"/>
        <v>15534.724725</v>
      </c>
    </row>
    <row r="2219" spans="1:25" ht="14" x14ac:dyDescent="0.2">
      <c r="A2219" s="4" t="s">
        <v>4876</v>
      </c>
      <c r="B2219" s="5">
        <v>61433.380125000003</v>
      </c>
      <c r="C2219" s="5">
        <f t="shared" si="69"/>
        <v>2194.0492901785715</v>
      </c>
      <c r="D2219" s="4">
        <v>28</v>
      </c>
      <c r="E2219" s="5" t="s">
        <v>10</v>
      </c>
      <c r="F2219" s="4" t="s">
        <v>4877</v>
      </c>
      <c r="G2219" s="4" t="s">
        <v>12</v>
      </c>
      <c r="H2219" s="4" t="s">
        <v>4876</v>
      </c>
      <c r="I2219" s="4" t="s">
        <v>14</v>
      </c>
      <c r="J2219" s="4" t="s">
        <v>4878</v>
      </c>
      <c r="K2219" s="4" t="s">
        <v>90</v>
      </c>
      <c r="M2219">
        <f t="shared" si="70"/>
        <v>1974.6443611607142</v>
      </c>
    </row>
    <row r="2220" spans="1:25" ht="14" x14ac:dyDescent="0.2">
      <c r="A2220" s="4" t="s">
        <v>4879</v>
      </c>
      <c r="B2220" s="5">
        <v>61433.380125000003</v>
      </c>
      <c r="C2220" s="5">
        <f t="shared" si="69"/>
        <v>2194.0492901785715</v>
      </c>
      <c r="D2220" s="4">
        <v>28</v>
      </c>
      <c r="E2220" s="5" t="s">
        <v>10</v>
      </c>
      <c r="F2220" s="4" t="s">
        <v>4880</v>
      </c>
      <c r="G2220" s="4" t="s">
        <v>12</v>
      </c>
      <c r="H2220" s="4" t="s">
        <v>4881</v>
      </c>
      <c r="I2220" s="4" t="s">
        <v>14</v>
      </c>
      <c r="J2220" s="4" t="s">
        <v>95</v>
      </c>
      <c r="K2220" s="4" t="s">
        <v>90</v>
      </c>
      <c r="M2220">
        <f t="shared" si="70"/>
        <v>1974.6443611607142</v>
      </c>
    </row>
    <row r="2221" spans="1:25" ht="14" x14ac:dyDescent="0.2">
      <c r="A2221" s="4" t="s">
        <v>4882</v>
      </c>
      <c r="B2221" s="5">
        <v>53080.304062500007</v>
      </c>
      <c r="C2221" s="5">
        <f t="shared" si="69"/>
        <v>1895.7251450892859</v>
      </c>
      <c r="D2221" s="4">
        <v>28</v>
      </c>
      <c r="E2221" s="5" t="s">
        <v>10</v>
      </c>
      <c r="F2221" s="4" t="s">
        <v>4880</v>
      </c>
      <c r="G2221" s="4" t="s">
        <v>12</v>
      </c>
      <c r="H2221" s="4" t="s">
        <v>4881</v>
      </c>
      <c r="I2221" s="4" t="s">
        <v>14</v>
      </c>
      <c r="J2221" s="4" t="s">
        <v>78</v>
      </c>
      <c r="K2221" s="4" t="s">
        <v>90</v>
      </c>
      <c r="M2221">
        <f t="shared" si="70"/>
        <v>1706.1526305803573</v>
      </c>
    </row>
    <row r="2222" spans="1:25" ht="14" x14ac:dyDescent="0.2">
      <c r="A2222" s="7" t="s">
        <v>5536</v>
      </c>
      <c r="B2222" s="10">
        <v>3106.0575000000003</v>
      </c>
      <c r="C2222" s="5">
        <f t="shared" si="69"/>
        <v>3106.0575000000003</v>
      </c>
      <c r="D2222" s="9">
        <v>1</v>
      </c>
      <c r="E2222" s="10" t="s">
        <v>5176</v>
      </c>
      <c r="F2222" s="7" t="s">
        <v>5537</v>
      </c>
      <c r="G2222" s="7" t="s">
        <v>20</v>
      </c>
      <c r="H2222" s="7" t="s">
        <v>5538</v>
      </c>
      <c r="I2222" s="7" t="s">
        <v>22</v>
      </c>
      <c r="J2222" s="7" t="s">
        <v>1009</v>
      </c>
      <c r="K2222" s="7" t="s">
        <v>23</v>
      </c>
      <c r="L2222" s="4"/>
      <c r="M2222">
        <f t="shared" si="70"/>
        <v>2795.4517500000002</v>
      </c>
      <c r="N2222" s="3"/>
      <c r="O2222" s="3"/>
      <c r="P2222" s="3"/>
      <c r="Q2222" s="2"/>
      <c r="R2222" s="2"/>
      <c r="S2222" s="2"/>
      <c r="T2222" s="2"/>
      <c r="U2222" s="2"/>
      <c r="V2222" s="2"/>
      <c r="W2222" s="2"/>
      <c r="X2222" s="2"/>
      <c r="Y2222" s="2"/>
    </row>
    <row r="2223" spans="1:25" ht="14" x14ac:dyDescent="0.2">
      <c r="A2223" s="7" t="s">
        <v>5539</v>
      </c>
      <c r="B2223" s="10">
        <v>28731.031875000004</v>
      </c>
      <c r="C2223" s="5">
        <f t="shared" si="69"/>
        <v>2052.2165625000002</v>
      </c>
      <c r="D2223" s="9">
        <v>14</v>
      </c>
      <c r="E2223" s="10" t="s">
        <v>5189</v>
      </c>
      <c r="F2223" s="7" t="s">
        <v>5540</v>
      </c>
      <c r="G2223" s="7" t="s">
        <v>20</v>
      </c>
      <c r="H2223" s="7" t="s">
        <v>5541</v>
      </c>
      <c r="I2223" s="7" t="s">
        <v>22</v>
      </c>
      <c r="J2223" s="7" t="s">
        <v>5542</v>
      </c>
      <c r="K2223" s="7" t="s">
        <v>34</v>
      </c>
      <c r="L2223" s="4"/>
      <c r="M2223">
        <f t="shared" si="70"/>
        <v>1846.9949062500002</v>
      </c>
      <c r="N2223" s="3"/>
      <c r="O2223" s="3"/>
      <c r="P2223" s="3"/>
      <c r="Q2223" s="2"/>
      <c r="R2223" s="2"/>
      <c r="S2223" s="2"/>
      <c r="T2223" s="2"/>
      <c r="U2223" s="2"/>
      <c r="V2223" s="2"/>
      <c r="W2223" s="2"/>
      <c r="X2223" s="2"/>
      <c r="Y2223" s="2"/>
    </row>
    <row r="2224" spans="1:25" ht="14" x14ac:dyDescent="0.2">
      <c r="A2224" s="4" t="s">
        <v>4883</v>
      </c>
      <c r="B2224" s="5">
        <v>57850.320937500008</v>
      </c>
      <c r="C2224" s="5">
        <f t="shared" si="69"/>
        <v>964.17201562500009</v>
      </c>
      <c r="D2224" s="4">
        <v>60</v>
      </c>
      <c r="E2224" s="5" t="s">
        <v>10</v>
      </c>
      <c r="F2224" s="4" t="s">
        <v>4884</v>
      </c>
      <c r="G2224" s="4" t="s">
        <v>12</v>
      </c>
      <c r="H2224" s="4" t="s">
        <v>4884</v>
      </c>
      <c r="I2224" s="4" t="s">
        <v>22</v>
      </c>
      <c r="J2224" s="4" t="s">
        <v>67</v>
      </c>
      <c r="K2224" s="4" t="s">
        <v>406</v>
      </c>
      <c r="M2224">
        <f t="shared" si="70"/>
        <v>867.75481406250003</v>
      </c>
    </row>
    <row r="2225" spans="1:25" ht="14" x14ac:dyDescent="0.2">
      <c r="A2225" s="4" t="s">
        <v>4885</v>
      </c>
      <c r="B2225" s="5">
        <v>85416.581250000003</v>
      </c>
      <c r="C2225" s="5">
        <f t="shared" si="69"/>
        <v>85416.581250000003</v>
      </c>
      <c r="D2225" s="4">
        <v>1</v>
      </c>
      <c r="E2225" s="5" t="s">
        <v>124</v>
      </c>
      <c r="F2225" s="4" t="s">
        <v>4885</v>
      </c>
      <c r="G2225" s="4" t="s">
        <v>20</v>
      </c>
      <c r="H2225" s="4" t="s">
        <v>4885</v>
      </c>
      <c r="I2225" s="4" t="s">
        <v>22</v>
      </c>
      <c r="J2225" s="4" t="s">
        <v>1070</v>
      </c>
      <c r="K2225" s="4" t="s">
        <v>4886</v>
      </c>
      <c r="M2225">
        <f t="shared" si="70"/>
        <v>76874.923125000001</v>
      </c>
    </row>
    <row r="2226" spans="1:25" ht="14" x14ac:dyDescent="0.2">
      <c r="A2226" s="4" t="s">
        <v>4887</v>
      </c>
      <c r="B2226" s="5">
        <v>82088.662500000006</v>
      </c>
      <c r="C2226" s="5">
        <f t="shared" si="69"/>
        <v>1954.4919642857144</v>
      </c>
      <c r="D2226" s="4">
        <v>42</v>
      </c>
      <c r="E2226" s="4" t="s">
        <v>10</v>
      </c>
      <c r="F2226" s="4" t="s">
        <v>4888</v>
      </c>
      <c r="G2226" s="4" t="s">
        <v>20</v>
      </c>
      <c r="H2226" s="4" t="s">
        <v>4889</v>
      </c>
      <c r="I2226" s="4" t="s">
        <v>22</v>
      </c>
      <c r="J2226" s="4" t="s">
        <v>4890</v>
      </c>
      <c r="K2226" s="4" t="s">
        <v>48</v>
      </c>
      <c r="M2226">
        <f t="shared" si="70"/>
        <v>1759.042767857143</v>
      </c>
    </row>
    <row r="2227" spans="1:25" ht="14" x14ac:dyDescent="0.2">
      <c r="A2227" s="4" t="s">
        <v>4891</v>
      </c>
      <c r="B2227" s="5">
        <v>17748.900000000001</v>
      </c>
      <c r="C2227" s="5">
        <f t="shared" si="69"/>
        <v>633.88928571428573</v>
      </c>
      <c r="D2227" s="4">
        <v>28</v>
      </c>
      <c r="E2227" s="5" t="s">
        <v>10</v>
      </c>
      <c r="F2227" s="4" t="s">
        <v>1684</v>
      </c>
      <c r="G2227" s="4" t="s">
        <v>12</v>
      </c>
      <c r="H2227" s="4" t="s">
        <v>1684</v>
      </c>
      <c r="I2227" s="4" t="s">
        <v>22</v>
      </c>
      <c r="J2227" s="4" t="s">
        <v>1370</v>
      </c>
      <c r="K2227" s="4" t="s">
        <v>90</v>
      </c>
      <c r="M2227">
        <f t="shared" si="70"/>
        <v>570.50035714285718</v>
      </c>
    </row>
    <row r="2228" spans="1:25" ht="14" x14ac:dyDescent="0.2">
      <c r="A2228" s="4" t="s">
        <v>4892</v>
      </c>
      <c r="B2228" s="5">
        <v>11647.715625000001</v>
      </c>
      <c r="C2228" s="5">
        <f t="shared" si="69"/>
        <v>415.98984375000003</v>
      </c>
      <c r="D2228" s="4">
        <v>28</v>
      </c>
      <c r="E2228" s="5" t="s">
        <v>10</v>
      </c>
      <c r="F2228" s="4" t="s">
        <v>1684</v>
      </c>
      <c r="G2228" s="4" t="s">
        <v>12</v>
      </c>
      <c r="H2228" s="4" t="s">
        <v>1684</v>
      </c>
      <c r="I2228" s="4" t="s">
        <v>22</v>
      </c>
      <c r="J2228" s="4" t="s">
        <v>497</v>
      </c>
      <c r="K2228" s="4" t="s">
        <v>90</v>
      </c>
      <c r="M2228">
        <f t="shared" si="70"/>
        <v>374.39085937500005</v>
      </c>
    </row>
    <row r="2229" spans="1:25" ht="14" x14ac:dyDescent="0.2">
      <c r="A2229" s="4" t="s">
        <v>4893</v>
      </c>
      <c r="B2229" s="5">
        <v>11647.715625000001</v>
      </c>
      <c r="C2229" s="5">
        <f t="shared" si="69"/>
        <v>388.25718750000004</v>
      </c>
      <c r="D2229" s="4">
        <v>30</v>
      </c>
      <c r="E2229" s="5" t="s">
        <v>10</v>
      </c>
      <c r="F2229" s="4" t="s">
        <v>4894</v>
      </c>
      <c r="G2229" s="4" t="s">
        <v>12</v>
      </c>
      <c r="H2229" s="4" t="s">
        <v>4895</v>
      </c>
      <c r="I2229" s="4" t="s">
        <v>22</v>
      </c>
      <c r="J2229" s="4" t="s">
        <v>4896</v>
      </c>
      <c r="K2229" s="4" t="s">
        <v>2629</v>
      </c>
      <c r="M2229">
        <f t="shared" si="70"/>
        <v>349.43146875000002</v>
      </c>
    </row>
    <row r="2230" spans="1:25" ht="14" x14ac:dyDescent="0.2">
      <c r="A2230" s="4" t="s">
        <v>4897</v>
      </c>
      <c r="B2230" s="5">
        <v>22130.659687500003</v>
      </c>
      <c r="C2230" s="5">
        <f t="shared" si="69"/>
        <v>790.38070312500008</v>
      </c>
      <c r="D2230" s="4">
        <v>28</v>
      </c>
      <c r="E2230" s="5" t="s">
        <v>10</v>
      </c>
      <c r="F2230" s="4" t="s">
        <v>4898</v>
      </c>
      <c r="G2230" s="4" t="s">
        <v>12</v>
      </c>
      <c r="H2230" s="4" t="s">
        <v>4898</v>
      </c>
      <c r="I2230" s="4" t="s">
        <v>22</v>
      </c>
      <c r="J2230" s="4" t="s">
        <v>4899</v>
      </c>
      <c r="K2230" s="4" t="s">
        <v>2629</v>
      </c>
      <c r="M2230">
        <f t="shared" si="70"/>
        <v>711.34263281250003</v>
      </c>
    </row>
    <row r="2231" spans="1:25" ht="14" x14ac:dyDescent="0.2">
      <c r="A2231" s="4" t="s">
        <v>4900</v>
      </c>
      <c r="B2231" s="5">
        <v>21853.333125000001</v>
      </c>
      <c r="C2231" s="5">
        <f t="shared" si="69"/>
        <v>780.47618303571437</v>
      </c>
      <c r="D2231" s="4">
        <v>28</v>
      </c>
      <c r="E2231" s="5" t="s">
        <v>10</v>
      </c>
      <c r="F2231" s="4" t="s">
        <v>4901</v>
      </c>
      <c r="G2231" s="4" t="s">
        <v>12</v>
      </c>
      <c r="H2231" s="4" t="s">
        <v>4901</v>
      </c>
      <c r="I2231" s="4" t="s">
        <v>22</v>
      </c>
      <c r="J2231" s="4" t="s">
        <v>4646</v>
      </c>
      <c r="K2231" s="4" t="s">
        <v>2629</v>
      </c>
      <c r="M2231">
        <f t="shared" si="70"/>
        <v>702.42856473214295</v>
      </c>
    </row>
    <row r="2232" spans="1:25" ht="14" x14ac:dyDescent="0.2">
      <c r="A2232" s="4" t="s">
        <v>4902</v>
      </c>
      <c r="B2232" s="5">
        <v>18525.414375</v>
      </c>
      <c r="C2232" s="5">
        <f t="shared" si="69"/>
        <v>617.51381249999997</v>
      </c>
      <c r="D2232" s="4">
        <v>30</v>
      </c>
      <c r="E2232" s="5" t="s">
        <v>10</v>
      </c>
      <c r="F2232" s="4" t="s">
        <v>1684</v>
      </c>
      <c r="G2232" s="4" t="s">
        <v>12</v>
      </c>
      <c r="H2232" s="4" t="s">
        <v>4903</v>
      </c>
      <c r="I2232" s="4" t="s">
        <v>22</v>
      </c>
      <c r="J2232" s="4" t="s">
        <v>1370</v>
      </c>
      <c r="K2232" s="4" t="s">
        <v>90</v>
      </c>
      <c r="M2232">
        <f t="shared" si="70"/>
        <v>555.76243124999996</v>
      </c>
    </row>
    <row r="2233" spans="1:25" ht="14" x14ac:dyDescent="0.2">
      <c r="A2233" s="4" t="s">
        <v>4904</v>
      </c>
      <c r="B2233" s="5">
        <v>18312.427575000002</v>
      </c>
      <c r="C2233" s="5">
        <f t="shared" si="69"/>
        <v>610.41425250000009</v>
      </c>
      <c r="D2233" s="4">
        <v>30</v>
      </c>
      <c r="E2233" s="5" t="s">
        <v>10</v>
      </c>
      <c r="F2233" s="4" t="s">
        <v>1684</v>
      </c>
      <c r="G2233" s="4" t="s">
        <v>12</v>
      </c>
      <c r="H2233" s="4" t="s">
        <v>4903</v>
      </c>
      <c r="I2233" s="4" t="s">
        <v>22</v>
      </c>
      <c r="J2233" s="4" t="s">
        <v>497</v>
      </c>
      <c r="K2233" s="4" t="s">
        <v>90</v>
      </c>
      <c r="M2233">
        <f t="shared" si="70"/>
        <v>549.37282725000011</v>
      </c>
    </row>
    <row r="2234" spans="1:25" ht="14" x14ac:dyDescent="0.2">
      <c r="A2234" s="4" t="s">
        <v>4905</v>
      </c>
      <c r="B2234" s="5">
        <v>5435.600625</v>
      </c>
      <c r="C2234" s="5">
        <f t="shared" si="69"/>
        <v>271.78003124999998</v>
      </c>
      <c r="D2234" s="4">
        <v>20</v>
      </c>
      <c r="E2234" s="5" t="s">
        <v>10</v>
      </c>
      <c r="F2234" s="4" t="s">
        <v>2461</v>
      </c>
      <c r="G2234" s="4" t="s">
        <v>20</v>
      </c>
      <c r="H2234" s="4" t="s">
        <v>4906</v>
      </c>
      <c r="I2234" s="4" t="s">
        <v>22</v>
      </c>
      <c r="J2234" s="4" t="s">
        <v>351</v>
      </c>
      <c r="K2234" s="4" t="s">
        <v>34</v>
      </c>
      <c r="M2234">
        <f t="shared" si="70"/>
        <v>244.60202812499998</v>
      </c>
    </row>
    <row r="2235" spans="1:25" ht="14" x14ac:dyDescent="0.2">
      <c r="A2235" s="4" t="s">
        <v>4907</v>
      </c>
      <c r="B2235" s="5">
        <v>6877.6987500000005</v>
      </c>
      <c r="C2235" s="5">
        <f t="shared" si="69"/>
        <v>229.25662500000001</v>
      </c>
      <c r="D2235" s="4">
        <v>30</v>
      </c>
      <c r="E2235" s="5" t="s">
        <v>10</v>
      </c>
      <c r="F2235" s="4" t="s">
        <v>2461</v>
      </c>
      <c r="G2235" s="4" t="s">
        <v>20</v>
      </c>
      <c r="H2235" s="4" t="s">
        <v>4908</v>
      </c>
      <c r="I2235" s="4" t="s">
        <v>22</v>
      </c>
      <c r="J2235" s="4" t="s">
        <v>207</v>
      </c>
      <c r="K2235" s="4" t="s">
        <v>34</v>
      </c>
      <c r="M2235">
        <f t="shared" si="70"/>
        <v>206.3309625</v>
      </c>
    </row>
    <row r="2236" spans="1:25" ht="14" x14ac:dyDescent="0.2">
      <c r="A2236" s="4" t="s">
        <v>4909</v>
      </c>
      <c r="B2236" s="5">
        <v>23850.084375000002</v>
      </c>
      <c r="C2236" s="5">
        <f t="shared" si="69"/>
        <v>795.00281250000012</v>
      </c>
      <c r="D2236" s="4">
        <v>30</v>
      </c>
      <c r="E2236" s="5" t="s">
        <v>10</v>
      </c>
      <c r="F2236" s="4" t="s">
        <v>4910</v>
      </c>
      <c r="G2236" s="4" t="s">
        <v>12</v>
      </c>
      <c r="H2236" s="4" t="s">
        <v>4911</v>
      </c>
      <c r="I2236" s="4" t="s">
        <v>14</v>
      </c>
      <c r="J2236" s="4" t="s">
        <v>328</v>
      </c>
      <c r="K2236" s="4" t="s">
        <v>90</v>
      </c>
      <c r="M2236">
        <f t="shared" si="70"/>
        <v>715.50253125000006</v>
      </c>
    </row>
    <row r="2237" spans="1:25" ht="14" x14ac:dyDescent="0.2">
      <c r="A2237" s="4" t="s">
        <v>4912</v>
      </c>
      <c r="B2237" s="5">
        <v>21631.471875000003</v>
      </c>
      <c r="C2237" s="5">
        <f t="shared" si="69"/>
        <v>721.0490625000001</v>
      </c>
      <c r="D2237" s="4">
        <v>30</v>
      </c>
      <c r="E2237" s="5" t="s">
        <v>10</v>
      </c>
      <c r="F2237" s="4" t="s">
        <v>4913</v>
      </c>
      <c r="G2237" s="4" t="s">
        <v>12</v>
      </c>
      <c r="H2237" s="4" t="s">
        <v>331</v>
      </c>
      <c r="I2237" s="4" t="s">
        <v>14</v>
      </c>
      <c r="J2237" s="4" t="s">
        <v>4914</v>
      </c>
      <c r="K2237" s="4" t="s">
        <v>90</v>
      </c>
      <c r="M2237">
        <f t="shared" si="70"/>
        <v>648.94415625000011</v>
      </c>
    </row>
    <row r="2238" spans="1:25" ht="14" x14ac:dyDescent="0.2">
      <c r="A2238" s="7" t="s">
        <v>5543</v>
      </c>
      <c r="B2238" s="10">
        <v>1663.9593750000001</v>
      </c>
      <c r="C2238" s="5">
        <f t="shared" si="69"/>
        <v>1663.9593750000001</v>
      </c>
      <c r="D2238" s="9">
        <v>1</v>
      </c>
      <c r="E2238" s="10" t="s">
        <v>3219</v>
      </c>
      <c r="F2238" s="7" t="s">
        <v>5544</v>
      </c>
      <c r="G2238" s="7" t="s">
        <v>5545</v>
      </c>
      <c r="H2238" s="7" t="s">
        <v>5546</v>
      </c>
      <c r="J2238" s="7" t="s">
        <v>2338</v>
      </c>
      <c r="K2238" s="7" t="s">
        <v>34</v>
      </c>
      <c r="L2238" s="4"/>
      <c r="M2238">
        <f t="shared" si="70"/>
        <v>1497.5634375000002</v>
      </c>
      <c r="N2238" s="3"/>
      <c r="O2238" s="3"/>
      <c r="P2238" s="3"/>
      <c r="Q2238" s="2"/>
      <c r="R2238" s="2"/>
      <c r="S2238" s="2"/>
      <c r="T2238" s="2"/>
      <c r="U2238" s="2"/>
      <c r="V2238" s="2"/>
      <c r="W2238" s="2"/>
      <c r="X2238" s="2"/>
      <c r="Y2238" s="2"/>
    </row>
    <row r="2239" spans="1:25" ht="14" x14ac:dyDescent="0.2">
      <c r="A2239" s="4" t="s">
        <v>4915</v>
      </c>
      <c r="B2239" s="5">
        <v>85416.581250000003</v>
      </c>
      <c r="C2239" s="5">
        <f t="shared" si="69"/>
        <v>8541.6581249999999</v>
      </c>
      <c r="D2239" s="4">
        <v>10</v>
      </c>
      <c r="E2239" s="4" t="s">
        <v>124</v>
      </c>
      <c r="F2239" s="4" t="s">
        <v>4916</v>
      </c>
      <c r="G2239" s="4" t="s">
        <v>20</v>
      </c>
      <c r="H2239" s="4" t="s">
        <v>4917</v>
      </c>
      <c r="I2239" s="4"/>
      <c r="J2239" s="4" t="s">
        <v>207</v>
      </c>
      <c r="K2239" s="4" t="s">
        <v>53</v>
      </c>
      <c r="M2239">
        <f t="shared" si="70"/>
        <v>7687.4923124999996</v>
      </c>
    </row>
    <row r="2240" spans="1:25" ht="14" x14ac:dyDescent="0.2">
      <c r="A2240" s="4" t="s">
        <v>4918</v>
      </c>
      <c r="B2240" s="5">
        <v>332.791875</v>
      </c>
      <c r="C2240" s="5">
        <f t="shared" si="69"/>
        <v>33.279187499999999</v>
      </c>
      <c r="D2240" s="4">
        <v>10</v>
      </c>
      <c r="E2240" s="5" t="s">
        <v>10</v>
      </c>
      <c r="F2240" s="4" t="s">
        <v>4919</v>
      </c>
      <c r="G2240" s="4" t="s">
        <v>12</v>
      </c>
      <c r="H2240" s="4" t="s">
        <v>4920</v>
      </c>
      <c r="I2240" s="4" t="s">
        <v>22</v>
      </c>
      <c r="J2240" s="4" t="s">
        <v>397</v>
      </c>
      <c r="K2240" s="4" t="s">
        <v>1173</v>
      </c>
      <c r="M2240">
        <f t="shared" si="70"/>
        <v>29.951268749999997</v>
      </c>
    </row>
    <row r="2241" spans="1:25" ht="14" x14ac:dyDescent="0.2">
      <c r="A2241" s="4" t="s">
        <v>4921</v>
      </c>
      <c r="B2241" s="5">
        <v>19634.720625000002</v>
      </c>
      <c r="C2241" s="5">
        <f t="shared" si="69"/>
        <v>654.49068750000004</v>
      </c>
      <c r="D2241" s="4">
        <v>30</v>
      </c>
      <c r="E2241" s="5" t="s">
        <v>10</v>
      </c>
      <c r="F2241" s="4" t="s">
        <v>4922</v>
      </c>
      <c r="G2241" s="4" t="s">
        <v>12</v>
      </c>
      <c r="H2241" s="4" t="s">
        <v>4923</v>
      </c>
      <c r="I2241" s="4" t="s">
        <v>14</v>
      </c>
      <c r="J2241" s="4" t="s">
        <v>4924</v>
      </c>
      <c r="K2241" s="4" t="s">
        <v>312</v>
      </c>
      <c r="M2241">
        <f t="shared" si="70"/>
        <v>589.04161875</v>
      </c>
    </row>
    <row r="2242" spans="1:25" ht="14" x14ac:dyDescent="0.2">
      <c r="A2242" s="4" t="s">
        <v>4925</v>
      </c>
      <c r="B2242" s="5">
        <v>3256.9231500000001</v>
      </c>
      <c r="C2242" s="5">
        <f t="shared" si="69"/>
        <v>3256.9231500000001</v>
      </c>
      <c r="D2242" s="4">
        <v>1</v>
      </c>
      <c r="E2242" s="5" t="s">
        <v>55</v>
      </c>
      <c r="F2242" s="4" t="s">
        <v>4926</v>
      </c>
      <c r="G2242" s="4" t="s">
        <v>20</v>
      </c>
      <c r="H2242" s="4" t="s">
        <v>4927</v>
      </c>
      <c r="I2242" s="4" t="s">
        <v>22</v>
      </c>
      <c r="J2242" s="4" t="s">
        <v>3543</v>
      </c>
      <c r="K2242" s="4" t="s">
        <v>53</v>
      </c>
      <c r="M2242">
        <f t="shared" si="70"/>
        <v>2931.2308350000003</v>
      </c>
    </row>
    <row r="2243" spans="1:25" ht="14" x14ac:dyDescent="0.2">
      <c r="A2243" s="4" t="s">
        <v>4928</v>
      </c>
      <c r="B2243" s="5">
        <v>10649.34</v>
      </c>
      <c r="C2243" s="5">
        <f t="shared" ref="C2243:C2306" si="71">(B2243/D2243)</f>
        <v>10649.34</v>
      </c>
      <c r="D2243" s="4">
        <v>1</v>
      </c>
      <c r="E2243" s="5" t="s">
        <v>170</v>
      </c>
      <c r="F2243" s="4" t="s">
        <v>171</v>
      </c>
      <c r="G2243" s="4" t="s">
        <v>12</v>
      </c>
      <c r="H2243" s="4" t="s">
        <v>4929</v>
      </c>
      <c r="I2243" s="4" t="s">
        <v>14</v>
      </c>
      <c r="J2243" s="4" t="s">
        <v>4930</v>
      </c>
      <c r="K2243" s="4" t="s">
        <v>74</v>
      </c>
      <c r="M2243">
        <f t="shared" si="70"/>
        <v>9584.4060000000009</v>
      </c>
    </row>
    <row r="2244" spans="1:25" ht="14" x14ac:dyDescent="0.2">
      <c r="A2244" s="4" t="s">
        <v>4931</v>
      </c>
      <c r="B2244" s="5">
        <v>5768.3925000000008</v>
      </c>
      <c r="C2244" s="5">
        <f t="shared" si="71"/>
        <v>1153.6785000000002</v>
      </c>
      <c r="D2244" s="4">
        <v>5</v>
      </c>
      <c r="E2244" s="5" t="s">
        <v>170</v>
      </c>
      <c r="F2244" s="4" t="s">
        <v>171</v>
      </c>
      <c r="G2244" s="4" t="s">
        <v>12</v>
      </c>
      <c r="H2244" s="4" t="s">
        <v>4932</v>
      </c>
      <c r="I2244" s="4" t="s">
        <v>14</v>
      </c>
      <c r="J2244" s="4" t="s">
        <v>603</v>
      </c>
      <c r="K2244" s="4" t="s">
        <v>74</v>
      </c>
      <c r="M2244">
        <f t="shared" si="70"/>
        <v>1038.3106500000001</v>
      </c>
    </row>
    <row r="2245" spans="1:25" ht="14" x14ac:dyDescent="0.2">
      <c r="A2245" s="4" t="s">
        <v>4933</v>
      </c>
      <c r="B2245" s="5">
        <v>6655.8375000000005</v>
      </c>
      <c r="C2245" s="5">
        <f t="shared" si="71"/>
        <v>1331.1675</v>
      </c>
      <c r="D2245" s="4">
        <v>5</v>
      </c>
      <c r="E2245" s="5" t="s">
        <v>10</v>
      </c>
      <c r="F2245" s="4" t="s">
        <v>4934</v>
      </c>
      <c r="G2245" s="4" t="s">
        <v>12</v>
      </c>
      <c r="H2245" s="4" t="s">
        <v>4929</v>
      </c>
      <c r="I2245" s="4" t="s">
        <v>14</v>
      </c>
      <c r="J2245" s="4" t="s">
        <v>200</v>
      </c>
      <c r="K2245" s="4" t="s">
        <v>74</v>
      </c>
      <c r="M2245">
        <f t="shared" si="70"/>
        <v>1198.0507500000001</v>
      </c>
    </row>
    <row r="2246" spans="1:25" ht="14" x14ac:dyDescent="0.2">
      <c r="A2246" s="4" t="s">
        <v>4935</v>
      </c>
      <c r="B2246" s="5">
        <v>21964.263750000002</v>
      </c>
      <c r="C2246" s="5">
        <f t="shared" si="71"/>
        <v>732.14212500000008</v>
      </c>
      <c r="D2246" s="4">
        <v>30</v>
      </c>
      <c r="E2246" s="5" t="s">
        <v>10</v>
      </c>
      <c r="F2246" s="4" t="s">
        <v>4936</v>
      </c>
      <c r="G2246" s="4" t="s">
        <v>12</v>
      </c>
      <c r="H2246" s="4" t="s">
        <v>4937</v>
      </c>
      <c r="I2246" s="4" t="s">
        <v>22</v>
      </c>
      <c r="J2246" s="4" t="s">
        <v>4249</v>
      </c>
      <c r="K2246" s="4" t="s">
        <v>2629</v>
      </c>
      <c r="M2246">
        <f t="shared" si="70"/>
        <v>658.92791250000005</v>
      </c>
    </row>
    <row r="2247" spans="1:25" ht="14" x14ac:dyDescent="0.2">
      <c r="A2247" s="7" t="s">
        <v>5547</v>
      </c>
      <c r="B2247" s="10">
        <v>21350.728649249999</v>
      </c>
      <c r="C2247" s="5">
        <f t="shared" si="71"/>
        <v>254.1753410625</v>
      </c>
      <c r="D2247" s="9">
        <v>84</v>
      </c>
      <c r="E2247" s="10" t="s">
        <v>5193</v>
      </c>
      <c r="F2247" s="7" t="s">
        <v>5548</v>
      </c>
      <c r="H2247" s="7" t="s">
        <v>5548</v>
      </c>
      <c r="J2247" s="7" t="s">
        <v>495</v>
      </c>
      <c r="K2247" s="7" t="s">
        <v>312</v>
      </c>
      <c r="M2247">
        <f t="shared" si="70"/>
        <v>228.75780695624999</v>
      </c>
    </row>
    <row r="2248" spans="1:25" ht="14" x14ac:dyDescent="0.2">
      <c r="A2248" s="4" t="s">
        <v>4938</v>
      </c>
      <c r="B2248" s="5">
        <v>14199.12</v>
      </c>
      <c r="C2248" s="5">
        <f t="shared" si="71"/>
        <v>473.30400000000003</v>
      </c>
      <c r="D2248" s="4">
        <v>30</v>
      </c>
      <c r="E2248" s="5" t="s">
        <v>10</v>
      </c>
      <c r="F2248" s="4" t="s">
        <v>4936</v>
      </c>
      <c r="G2248" s="4" t="s">
        <v>12</v>
      </c>
      <c r="H2248" s="4" t="s">
        <v>4937</v>
      </c>
      <c r="I2248" s="4" t="s">
        <v>22</v>
      </c>
      <c r="J2248" s="4" t="s">
        <v>497</v>
      </c>
      <c r="K2248" s="4" t="s">
        <v>90</v>
      </c>
      <c r="M2248">
        <f t="shared" si="70"/>
        <v>425.97360000000003</v>
      </c>
    </row>
    <row r="2249" spans="1:25" ht="14" x14ac:dyDescent="0.2">
      <c r="A2249" s="4" t="s">
        <v>4939</v>
      </c>
      <c r="B2249" s="5">
        <v>2606.8696875000001</v>
      </c>
      <c r="C2249" s="5">
        <f t="shared" si="71"/>
        <v>434.47828125000001</v>
      </c>
      <c r="D2249" s="4">
        <v>6</v>
      </c>
      <c r="E2249" s="5" t="s">
        <v>10</v>
      </c>
      <c r="F2249" s="4" t="s">
        <v>4940</v>
      </c>
      <c r="G2249" s="4" t="s">
        <v>20</v>
      </c>
      <c r="H2249" s="4" t="s">
        <v>4941</v>
      </c>
      <c r="I2249" s="4" t="s">
        <v>22</v>
      </c>
      <c r="J2249" s="4" t="s">
        <v>140</v>
      </c>
      <c r="K2249" s="4" t="s">
        <v>1919</v>
      </c>
      <c r="M2249">
        <f t="shared" si="70"/>
        <v>391.03045312500001</v>
      </c>
    </row>
    <row r="2250" spans="1:25" ht="14" x14ac:dyDescent="0.2">
      <c r="A2250" s="4" t="s">
        <v>4942</v>
      </c>
      <c r="B2250" s="5">
        <v>199675.12500000003</v>
      </c>
      <c r="C2250" s="5">
        <f t="shared" si="71"/>
        <v>199675.12500000003</v>
      </c>
      <c r="D2250" s="4">
        <v>1</v>
      </c>
      <c r="E2250" s="5" t="s">
        <v>124</v>
      </c>
      <c r="F2250" s="4" t="s">
        <v>4943</v>
      </c>
      <c r="G2250" s="4" t="s">
        <v>12</v>
      </c>
      <c r="H2250" s="4" t="s">
        <v>4944</v>
      </c>
      <c r="I2250" s="4" t="s">
        <v>22</v>
      </c>
      <c r="J2250" s="4" t="s">
        <v>4945</v>
      </c>
      <c r="K2250" s="4" t="s">
        <v>16</v>
      </c>
      <c r="M2250">
        <f t="shared" si="70"/>
        <v>179707.61250000002</v>
      </c>
    </row>
    <row r="2251" spans="1:25" ht="14" x14ac:dyDescent="0.2">
      <c r="A2251" s="4" t="s">
        <v>4946</v>
      </c>
      <c r="B2251" s="5">
        <v>32280.811875000003</v>
      </c>
      <c r="C2251" s="5">
        <f t="shared" si="71"/>
        <v>1152.8861383928572</v>
      </c>
      <c r="D2251" s="4">
        <v>28</v>
      </c>
      <c r="E2251" s="5" t="s">
        <v>10</v>
      </c>
      <c r="F2251" s="4" t="s">
        <v>2272</v>
      </c>
      <c r="G2251" s="4" t="s">
        <v>12</v>
      </c>
      <c r="H2251" s="4" t="s">
        <v>2272</v>
      </c>
      <c r="I2251" s="4" t="s">
        <v>22</v>
      </c>
      <c r="J2251" s="4" t="s">
        <v>78</v>
      </c>
      <c r="K2251" s="4" t="s">
        <v>16</v>
      </c>
      <c r="M2251">
        <f t="shared" si="70"/>
        <v>1037.5975245535715</v>
      </c>
    </row>
    <row r="2252" spans="1:25" ht="14" x14ac:dyDescent="0.2">
      <c r="A2252" s="4" t="s">
        <v>4947</v>
      </c>
      <c r="B2252" s="5">
        <v>39935.025000000001</v>
      </c>
      <c r="C2252" s="5">
        <f t="shared" si="71"/>
        <v>665.58375000000001</v>
      </c>
      <c r="D2252" s="4">
        <v>60</v>
      </c>
      <c r="E2252" s="5" t="s">
        <v>10</v>
      </c>
      <c r="F2252" s="4" t="s">
        <v>2280</v>
      </c>
      <c r="G2252" s="4" t="s">
        <v>12</v>
      </c>
      <c r="H2252" s="4" t="s">
        <v>2280</v>
      </c>
      <c r="I2252" s="4" t="s">
        <v>22</v>
      </c>
      <c r="J2252" s="4" t="s">
        <v>2277</v>
      </c>
      <c r="K2252" s="4" t="s">
        <v>16</v>
      </c>
      <c r="M2252">
        <f t="shared" si="70"/>
        <v>599.02537500000005</v>
      </c>
    </row>
    <row r="2253" spans="1:25" ht="14" x14ac:dyDescent="0.2">
      <c r="A2253" s="7" t="s">
        <v>5549</v>
      </c>
      <c r="B2253" s="10">
        <v>84307.275000000009</v>
      </c>
      <c r="C2253" s="5">
        <f t="shared" si="71"/>
        <v>1405.1212500000001</v>
      </c>
      <c r="D2253" s="9">
        <v>60</v>
      </c>
      <c r="E2253" s="10" t="s">
        <v>5193</v>
      </c>
      <c r="F2253" s="7" t="s">
        <v>5550</v>
      </c>
      <c r="G2253" s="7" t="s">
        <v>5545</v>
      </c>
      <c r="H2253" s="7" t="s">
        <v>5551</v>
      </c>
      <c r="J2253" s="7" t="s">
        <v>273</v>
      </c>
      <c r="K2253" s="7" t="s">
        <v>1502</v>
      </c>
      <c r="L2253" s="4"/>
      <c r="M2253">
        <f t="shared" si="70"/>
        <v>1264.6091250000002</v>
      </c>
      <c r="N2253" s="3"/>
      <c r="O2253" s="3"/>
      <c r="P2253" s="3"/>
      <c r="Q2253" s="2"/>
      <c r="R2253" s="2"/>
      <c r="S2253" s="2"/>
      <c r="T2253" s="2"/>
      <c r="U2253" s="2"/>
      <c r="V2253" s="2"/>
      <c r="W2253" s="2"/>
      <c r="X2253" s="2"/>
      <c r="Y2253" s="2"/>
    </row>
    <row r="2254" spans="1:25" ht="14" x14ac:dyDescent="0.2">
      <c r="A2254" s="4" t="s">
        <v>4948</v>
      </c>
      <c r="B2254" s="5">
        <v>16639.59375</v>
      </c>
      <c r="C2254" s="5">
        <f t="shared" si="71"/>
        <v>665.58375000000001</v>
      </c>
      <c r="D2254" s="4">
        <v>25</v>
      </c>
      <c r="E2254" s="5" t="s">
        <v>10</v>
      </c>
      <c r="F2254" s="4" t="s">
        <v>92</v>
      </c>
      <c r="G2254" s="4" t="s">
        <v>20</v>
      </c>
      <c r="H2254" s="4" t="s">
        <v>4949</v>
      </c>
      <c r="I2254" s="4" t="s">
        <v>22</v>
      </c>
      <c r="J2254" s="4" t="s">
        <v>95</v>
      </c>
      <c r="K2254" s="4" t="s">
        <v>48</v>
      </c>
      <c r="M2254">
        <f t="shared" si="70"/>
        <v>599.02537500000005</v>
      </c>
    </row>
    <row r="2255" spans="1:25" ht="14" x14ac:dyDescent="0.2">
      <c r="A2255" s="4" t="s">
        <v>4950</v>
      </c>
      <c r="B2255" s="5">
        <v>23850.084375000002</v>
      </c>
      <c r="C2255" s="5">
        <f t="shared" si="71"/>
        <v>954.00337500000012</v>
      </c>
      <c r="D2255" s="4">
        <v>25</v>
      </c>
      <c r="E2255" s="5" t="s">
        <v>10</v>
      </c>
      <c r="F2255" s="4" t="s">
        <v>92</v>
      </c>
      <c r="G2255" s="4" t="s">
        <v>20</v>
      </c>
      <c r="H2255" s="4" t="s">
        <v>4949</v>
      </c>
      <c r="I2255" s="4" t="s">
        <v>22</v>
      </c>
      <c r="J2255" s="4" t="s">
        <v>52</v>
      </c>
      <c r="K2255" s="4" t="s">
        <v>48</v>
      </c>
      <c r="M2255">
        <f t="shared" si="70"/>
        <v>858.60303750000014</v>
      </c>
    </row>
    <row r="2256" spans="1:25" ht="14" x14ac:dyDescent="0.2">
      <c r="A2256" s="4" t="s">
        <v>4951</v>
      </c>
      <c r="B2256" s="5">
        <v>6655.8375000000005</v>
      </c>
      <c r="C2256" s="5">
        <f t="shared" si="71"/>
        <v>6655.8375000000005</v>
      </c>
      <c r="D2256" s="4">
        <v>1</v>
      </c>
      <c r="E2256" s="5" t="s">
        <v>55</v>
      </c>
      <c r="F2256" s="4" t="s">
        <v>92</v>
      </c>
      <c r="G2256" s="4" t="s">
        <v>20</v>
      </c>
      <c r="H2256" s="4" t="s">
        <v>4949</v>
      </c>
      <c r="I2256" s="4" t="s">
        <v>22</v>
      </c>
      <c r="J2256" s="6">
        <v>0.05</v>
      </c>
      <c r="K2256" s="4" t="s">
        <v>48</v>
      </c>
      <c r="M2256">
        <f t="shared" si="70"/>
        <v>5990.2537500000008</v>
      </c>
    </row>
    <row r="2257" spans="1:13" ht="14" x14ac:dyDescent="0.2">
      <c r="A2257" s="4" t="s">
        <v>4952</v>
      </c>
      <c r="B2257" s="5">
        <v>13678.855368750001</v>
      </c>
      <c r="C2257" s="5">
        <f t="shared" si="71"/>
        <v>13678.855368750001</v>
      </c>
      <c r="D2257" s="4">
        <v>1</v>
      </c>
      <c r="E2257" s="5" t="s">
        <v>175</v>
      </c>
      <c r="F2257" s="4" t="s">
        <v>4953</v>
      </c>
      <c r="G2257" s="4" t="s">
        <v>20</v>
      </c>
      <c r="H2257" s="4" t="s">
        <v>4954</v>
      </c>
      <c r="I2257" s="4" t="s">
        <v>22</v>
      </c>
      <c r="J2257" s="4" t="s">
        <v>4955</v>
      </c>
      <c r="K2257" s="4" t="s">
        <v>179</v>
      </c>
      <c r="M2257">
        <f t="shared" si="70"/>
        <v>12310.969831875002</v>
      </c>
    </row>
    <row r="2258" spans="1:13" ht="14" x14ac:dyDescent="0.2">
      <c r="A2258" s="4" t="s">
        <v>4956</v>
      </c>
      <c r="B2258" s="5">
        <v>24404.737500000003</v>
      </c>
      <c r="C2258" s="5">
        <f t="shared" si="71"/>
        <v>406.74562500000008</v>
      </c>
      <c r="D2258" s="4">
        <v>60</v>
      </c>
      <c r="E2258" s="5" t="s">
        <v>30</v>
      </c>
      <c r="F2258" s="4" t="s">
        <v>4957</v>
      </c>
      <c r="G2258" s="4" t="s">
        <v>20</v>
      </c>
      <c r="H2258" s="4" t="s">
        <v>4958</v>
      </c>
      <c r="I2258" s="4" t="s">
        <v>14</v>
      </c>
      <c r="K2258" s="4" t="s">
        <v>34</v>
      </c>
      <c r="M2258">
        <f t="shared" si="70"/>
        <v>366.07106250000004</v>
      </c>
    </row>
    <row r="2259" spans="1:13" ht="14" x14ac:dyDescent="0.2">
      <c r="A2259" s="4" t="s">
        <v>4959</v>
      </c>
      <c r="B2259" s="5">
        <v>2163.1471875000002</v>
      </c>
      <c r="C2259" s="5">
        <f t="shared" si="71"/>
        <v>2163.1471875000002</v>
      </c>
      <c r="D2259" s="4">
        <v>1</v>
      </c>
      <c r="E2259" s="5" t="s">
        <v>55</v>
      </c>
      <c r="F2259" s="4" t="s">
        <v>4960</v>
      </c>
      <c r="G2259" s="4" t="s">
        <v>20</v>
      </c>
      <c r="H2259" s="4" t="s">
        <v>4961</v>
      </c>
      <c r="I2259" s="4" t="s">
        <v>22</v>
      </c>
      <c r="J2259" s="4" t="s">
        <v>2561</v>
      </c>
      <c r="K2259" s="4" t="s">
        <v>53</v>
      </c>
      <c r="M2259">
        <f t="shared" si="70"/>
        <v>1946.8324687500001</v>
      </c>
    </row>
    <row r="2260" spans="1:13" ht="14" x14ac:dyDescent="0.2">
      <c r="A2260" s="4" t="s">
        <v>4962</v>
      </c>
      <c r="B2260" s="5">
        <v>4104.4331250000005</v>
      </c>
      <c r="C2260" s="5">
        <f t="shared" si="71"/>
        <v>4104.4331250000005</v>
      </c>
      <c r="D2260" s="4">
        <v>1</v>
      </c>
      <c r="E2260" s="5" t="s">
        <v>175</v>
      </c>
      <c r="F2260" s="4" t="s">
        <v>1745</v>
      </c>
      <c r="G2260" s="4" t="s">
        <v>20</v>
      </c>
      <c r="H2260" s="4" t="s">
        <v>4963</v>
      </c>
      <c r="I2260" s="4" t="s">
        <v>22</v>
      </c>
      <c r="J2260" s="8">
        <v>3.0000000000000001E-3</v>
      </c>
      <c r="K2260" s="4" t="s">
        <v>53</v>
      </c>
      <c r="M2260">
        <f t="shared" si="70"/>
        <v>3693.9898125000004</v>
      </c>
    </row>
    <row r="2261" spans="1:13" ht="14" x14ac:dyDescent="0.2">
      <c r="A2261" s="4" t="s">
        <v>4964</v>
      </c>
      <c r="B2261" s="5">
        <v>6522.7207500000004</v>
      </c>
      <c r="C2261" s="5">
        <f t="shared" si="71"/>
        <v>6522.7207500000004</v>
      </c>
      <c r="D2261" s="4">
        <v>1</v>
      </c>
      <c r="E2261" s="5" t="s">
        <v>175</v>
      </c>
      <c r="F2261" s="4" t="s">
        <v>4965</v>
      </c>
      <c r="G2261" s="4" t="s">
        <v>12</v>
      </c>
      <c r="H2261" s="4" t="s">
        <v>4966</v>
      </c>
      <c r="I2261" s="4" t="s">
        <v>22</v>
      </c>
      <c r="J2261" s="4" t="s">
        <v>4967</v>
      </c>
      <c r="K2261" s="4" t="s">
        <v>244</v>
      </c>
      <c r="M2261">
        <f t="shared" si="70"/>
        <v>5870.4486750000005</v>
      </c>
    </row>
    <row r="2262" spans="1:13" ht="14" x14ac:dyDescent="0.2">
      <c r="A2262" s="4" t="s">
        <v>4968</v>
      </c>
      <c r="B2262" s="5">
        <v>5324.67</v>
      </c>
      <c r="C2262" s="5">
        <f t="shared" si="71"/>
        <v>5324.67</v>
      </c>
      <c r="D2262" s="4">
        <v>1</v>
      </c>
      <c r="E2262" s="4" t="s">
        <v>888</v>
      </c>
      <c r="F2262" s="4" t="s">
        <v>4968</v>
      </c>
      <c r="G2262" s="4" t="s">
        <v>12</v>
      </c>
      <c r="H2262" s="4" t="s">
        <v>4969</v>
      </c>
      <c r="I2262" s="4"/>
      <c r="J2262" s="8">
        <v>3.0000000000000001E-3</v>
      </c>
      <c r="K2262" s="4" t="s">
        <v>244</v>
      </c>
      <c r="M2262">
        <f t="shared" si="70"/>
        <v>4792.2030000000004</v>
      </c>
    </row>
    <row r="2263" spans="1:13" ht="14" x14ac:dyDescent="0.2">
      <c r="A2263" s="4" t="s">
        <v>4970</v>
      </c>
      <c r="B2263" s="5">
        <v>665.58375000000001</v>
      </c>
      <c r="C2263" s="5">
        <f t="shared" si="71"/>
        <v>665.58375000000001</v>
      </c>
      <c r="D2263" s="4">
        <v>1</v>
      </c>
      <c r="E2263" s="5" t="s">
        <v>124</v>
      </c>
      <c r="F2263" s="4" t="s">
        <v>4971</v>
      </c>
      <c r="G2263" s="4" t="s">
        <v>20</v>
      </c>
      <c r="H2263" s="4" t="s">
        <v>4971</v>
      </c>
      <c r="I2263" s="4" t="s">
        <v>22</v>
      </c>
      <c r="J2263" s="4" t="s">
        <v>27</v>
      </c>
      <c r="K2263" s="4" t="s">
        <v>34</v>
      </c>
      <c r="M2263">
        <f t="shared" si="70"/>
        <v>599.02537500000005</v>
      </c>
    </row>
    <row r="2264" spans="1:13" ht="14" x14ac:dyDescent="0.2">
      <c r="A2264" s="4" t="s">
        <v>4971</v>
      </c>
      <c r="B2264" s="5">
        <v>3882.5718750000005</v>
      </c>
      <c r="C2264" s="5">
        <f t="shared" si="71"/>
        <v>388.25718750000004</v>
      </c>
      <c r="D2264" s="4">
        <v>10</v>
      </c>
      <c r="E2264" s="5" t="s">
        <v>124</v>
      </c>
      <c r="F2264" s="4" t="s">
        <v>4971</v>
      </c>
      <c r="G2264" s="4" t="s">
        <v>20</v>
      </c>
      <c r="H2264" s="4" t="s">
        <v>4971</v>
      </c>
      <c r="I2264" s="4" t="s">
        <v>22</v>
      </c>
      <c r="J2264" s="4" t="s">
        <v>25</v>
      </c>
      <c r="K2264" s="4" t="s">
        <v>34</v>
      </c>
      <c r="M2264">
        <f t="shared" si="70"/>
        <v>349.43146875000002</v>
      </c>
    </row>
    <row r="2265" spans="1:13" ht="14" x14ac:dyDescent="0.2">
      <c r="A2265" s="4" t="s">
        <v>4972</v>
      </c>
      <c r="B2265" s="5">
        <v>1386.6328125000002</v>
      </c>
      <c r="C2265" s="5">
        <f t="shared" si="71"/>
        <v>1386.6328125000002</v>
      </c>
      <c r="D2265" s="4">
        <v>1</v>
      </c>
      <c r="E2265" s="5" t="s">
        <v>59</v>
      </c>
      <c r="F2265" s="4" t="s">
        <v>4972</v>
      </c>
      <c r="G2265" s="4" t="s">
        <v>20</v>
      </c>
      <c r="H2265" s="4" t="s">
        <v>4973</v>
      </c>
      <c r="I2265" s="4" t="s">
        <v>22</v>
      </c>
      <c r="J2265" s="4" t="s">
        <v>25</v>
      </c>
      <c r="K2265" s="4" t="s">
        <v>34</v>
      </c>
      <c r="M2265">
        <f t="shared" si="70"/>
        <v>1247.9695312500003</v>
      </c>
    </row>
    <row r="2266" spans="1:13" ht="14" x14ac:dyDescent="0.2">
      <c r="A2266" s="4" t="s">
        <v>4974</v>
      </c>
      <c r="B2266" s="5">
        <v>1087.1201250000004</v>
      </c>
      <c r="C2266" s="5">
        <f t="shared" si="71"/>
        <v>10.871201250000004</v>
      </c>
      <c r="D2266" s="4">
        <v>100</v>
      </c>
      <c r="E2266" s="5" t="s">
        <v>10</v>
      </c>
      <c r="F2266" s="4" t="s">
        <v>4974</v>
      </c>
      <c r="G2266" s="4" t="s">
        <v>20</v>
      </c>
      <c r="H2266" s="4" t="s">
        <v>1806</v>
      </c>
      <c r="I2266" s="4" t="s">
        <v>22</v>
      </c>
      <c r="J2266" s="4" t="s">
        <v>25</v>
      </c>
      <c r="K2266" s="4" t="s">
        <v>34</v>
      </c>
      <c r="M2266">
        <f t="shared" si="70"/>
        <v>9.7840811250000037</v>
      </c>
    </row>
    <row r="2267" spans="1:13" ht="14" x14ac:dyDescent="0.2">
      <c r="A2267" s="4" t="s">
        <v>4975</v>
      </c>
      <c r="B2267" s="5">
        <v>2773.2656250000005</v>
      </c>
      <c r="C2267" s="5">
        <f t="shared" si="71"/>
        <v>277.32656250000002</v>
      </c>
      <c r="D2267" s="4">
        <v>10</v>
      </c>
      <c r="E2267" s="5" t="s">
        <v>10</v>
      </c>
      <c r="F2267" s="4" t="s">
        <v>4975</v>
      </c>
      <c r="G2267" s="4" t="s">
        <v>20</v>
      </c>
      <c r="H2267" s="4" t="s">
        <v>4976</v>
      </c>
      <c r="I2267" s="4" t="s">
        <v>14</v>
      </c>
      <c r="J2267" s="4" t="s">
        <v>3193</v>
      </c>
      <c r="K2267" s="4" t="s">
        <v>34</v>
      </c>
      <c r="M2267">
        <f t="shared" si="70"/>
        <v>249.59390625000003</v>
      </c>
    </row>
    <row r="2268" spans="1:13" ht="14" x14ac:dyDescent="0.2">
      <c r="A2268" s="4" t="s">
        <v>4977</v>
      </c>
      <c r="B2268" s="5">
        <v>5546.5312500000009</v>
      </c>
      <c r="C2268" s="5">
        <f t="shared" si="71"/>
        <v>184.88437500000003</v>
      </c>
      <c r="D2268" s="4">
        <v>30</v>
      </c>
      <c r="E2268" s="5" t="s">
        <v>10</v>
      </c>
      <c r="F2268" s="4" t="s">
        <v>4977</v>
      </c>
      <c r="G2268" s="4" t="s">
        <v>20</v>
      </c>
      <c r="H2268" s="4" t="s">
        <v>4978</v>
      </c>
      <c r="I2268" s="4" t="s">
        <v>22</v>
      </c>
      <c r="J2268" s="4" t="s">
        <v>1208</v>
      </c>
      <c r="K2268" s="4" t="s">
        <v>34</v>
      </c>
      <c r="M2268">
        <f t="shared" si="70"/>
        <v>166.39593750000003</v>
      </c>
    </row>
    <row r="2269" spans="1:13" ht="14" x14ac:dyDescent="0.2">
      <c r="A2269" s="4" t="s">
        <v>4979</v>
      </c>
      <c r="B2269" s="5">
        <v>1996.7512500000003</v>
      </c>
      <c r="C2269" s="5">
        <f t="shared" si="71"/>
        <v>1996.7512500000003</v>
      </c>
      <c r="D2269" s="4">
        <v>1</v>
      </c>
      <c r="E2269" s="5" t="s">
        <v>59</v>
      </c>
      <c r="F2269" s="4" t="s">
        <v>4980</v>
      </c>
      <c r="G2269" s="4" t="s">
        <v>20</v>
      </c>
      <c r="H2269" s="4" t="s">
        <v>4979</v>
      </c>
      <c r="I2269" s="4" t="s">
        <v>22</v>
      </c>
      <c r="J2269" s="4" t="s">
        <v>4024</v>
      </c>
      <c r="K2269" s="4" t="s">
        <v>34</v>
      </c>
      <c r="M2269">
        <f t="shared" ref="M2269:M2332" si="72">C2269-(C2269* 10%)</f>
        <v>1797.0761250000003</v>
      </c>
    </row>
    <row r="2270" spans="1:13" ht="14" x14ac:dyDescent="0.2">
      <c r="A2270" s="4" t="s">
        <v>4981</v>
      </c>
      <c r="B2270" s="5">
        <v>1553.0287500000002</v>
      </c>
      <c r="C2270" s="5">
        <f t="shared" si="71"/>
        <v>15.530287500000002</v>
      </c>
      <c r="D2270" s="4">
        <v>100</v>
      </c>
      <c r="E2270" s="5" t="s">
        <v>10</v>
      </c>
      <c r="F2270" s="4" t="s">
        <v>4981</v>
      </c>
      <c r="G2270" s="4" t="s">
        <v>20</v>
      </c>
      <c r="H2270" s="4" t="s">
        <v>4982</v>
      </c>
      <c r="I2270" s="4" t="s">
        <v>22</v>
      </c>
      <c r="J2270" s="4" t="s">
        <v>1081</v>
      </c>
      <c r="K2270" s="4" t="s">
        <v>34</v>
      </c>
      <c r="M2270">
        <f t="shared" si="72"/>
        <v>13.977258750000001</v>
      </c>
    </row>
    <row r="2271" spans="1:13" ht="14" x14ac:dyDescent="0.2">
      <c r="A2271" s="4" t="s">
        <v>4983</v>
      </c>
      <c r="B2271" s="5">
        <v>6655.8375000000005</v>
      </c>
      <c r="C2271" s="5">
        <f t="shared" si="71"/>
        <v>6655.8375000000005</v>
      </c>
      <c r="D2271" s="4">
        <v>1</v>
      </c>
      <c r="E2271" s="5" t="s">
        <v>1212</v>
      </c>
      <c r="F2271" s="4" t="s">
        <v>4984</v>
      </c>
      <c r="G2271" s="4" t="s">
        <v>20</v>
      </c>
      <c r="H2271" s="4" t="s">
        <v>4983</v>
      </c>
      <c r="I2271" s="4" t="s">
        <v>22</v>
      </c>
      <c r="J2271" s="4" t="s">
        <v>4985</v>
      </c>
      <c r="K2271" s="4" t="s">
        <v>34</v>
      </c>
      <c r="M2271">
        <f t="shared" si="72"/>
        <v>5990.2537500000008</v>
      </c>
    </row>
    <row r="2272" spans="1:13" ht="14" x14ac:dyDescent="0.2">
      <c r="A2272" s="4" t="s">
        <v>4986</v>
      </c>
      <c r="B2272" s="5">
        <v>4548.1556250000003</v>
      </c>
      <c r="C2272" s="5">
        <f t="shared" si="71"/>
        <v>4548.1556250000003</v>
      </c>
      <c r="D2272" s="4">
        <v>1</v>
      </c>
      <c r="E2272" s="5" t="s">
        <v>59</v>
      </c>
      <c r="F2272" s="4" t="s">
        <v>4987</v>
      </c>
      <c r="G2272" s="4" t="s">
        <v>20</v>
      </c>
      <c r="H2272" s="4" t="s">
        <v>4986</v>
      </c>
      <c r="I2272" s="4" t="s">
        <v>22</v>
      </c>
      <c r="J2272" s="4" t="s">
        <v>4988</v>
      </c>
      <c r="K2272" s="4" t="s">
        <v>34</v>
      </c>
      <c r="M2272">
        <f t="shared" si="72"/>
        <v>4093.3400625000004</v>
      </c>
    </row>
    <row r="2273" spans="1:25" ht="14" x14ac:dyDescent="0.2">
      <c r="A2273" s="4" t="s">
        <v>4989</v>
      </c>
      <c r="B2273" s="5">
        <v>7210.4906250000004</v>
      </c>
      <c r="C2273" s="5">
        <f t="shared" si="71"/>
        <v>240.34968750000002</v>
      </c>
      <c r="D2273" s="4">
        <v>30</v>
      </c>
      <c r="E2273" s="5" t="s">
        <v>10</v>
      </c>
      <c r="F2273" s="4" t="s">
        <v>4989</v>
      </c>
      <c r="G2273" s="4" t="s">
        <v>20</v>
      </c>
      <c r="H2273" s="4" t="s">
        <v>4990</v>
      </c>
      <c r="I2273" s="4" t="s">
        <v>14</v>
      </c>
      <c r="J2273" s="4" t="s">
        <v>1913</v>
      </c>
      <c r="K2273" s="4" t="s">
        <v>34</v>
      </c>
      <c r="M2273">
        <f t="shared" si="72"/>
        <v>216.31471875</v>
      </c>
    </row>
    <row r="2274" spans="1:25" ht="14" x14ac:dyDescent="0.2">
      <c r="A2274" s="4" t="s">
        <v>4991</v>
      </c>
      <c r="B2274" s="5">
        <v>10982.131875000001</v>
      </c>
      <c r="C2274" s="5">
        <f t="shared" si="71"/>
        <v>109.82131875</v>
      </c>
      <c r="D2274" s="4">
        <v>100</v>
      </c>
      <c r="E2274" s="5" t="s">
        <v>30</v>
      </c>
      <c r="F2274" s="4" t="s">
        <v>4991</v>
      </c>
      <c r="G2274" s="4" t="s">
        <v>20</v>
      </c>
      <c r="H2274" s="4" t="s">
        <v>4992</v>
      </c>
      <c r="I2274" s="4" t="s">
        <v>14</v>
      </c>
      <c r="J2274" s="4" t="s">
        <v>4993</v>
      </c>
      <c r="K2274" s="4" t="s">
        <v>34</v>
      </c>
      <c r="M2274">
        <f t="shared" si="72"/>
        <v>98.839186874999996</v>
      </c>
    </row>
    <row r="2275" spans="1:25" ht="14" x14ac:dyDescent="0.2">
      <c r="A2275" s="4" t="s">
        <v>4994</v>
      </c>
      <c r="B2275" s="5">
        <v>21564.913499999999</v>
      </c>
      <c r="C2275" s="5">
        <f t="shared" si="71"/>
        <v>239.61014999999998</v>
      </c>
      <c r="D2275" s="4">
        <v>90</v>
      </c>
      <c r="E2275" s="5" t="s">
        <v>30</v>
      </c>
      <c r="F2275" s="4" t="s">
        <v>2458</v>
      </c>
      <c r="G2275" s="4" t="s">
        <v>20</v>
      </c>
      <c r="H2275" s="4" t="s">
        <v>4995</v>
      </c>
      <c r="I2275" s="4" t="s">
        <v>14</v>
      </c>
      <c r="J2275" s="4" t="s">
        <v>25</v>
      </c>
      <c r="K2275" s="4" t="s">
        <v>34</v>
      </c>
      <c r="M2275">
        <f t="shared" si="72"/>
        <v>215.64913499999997</v>
      </c>
    </row>
    <row r="2276" spans="1:25" ht="14" x14ac:dyDescent="0.2">
      <c r="A2276" s="4" t="s">
        <v>4996</v>
      </c>
      <c r="B2276" s="5">
        <v>11980.507500000002</v>
      </c>
      <c r="C2276" s="5">
        <f t="shared" si="71"/>
        <v>239.61015000000003</v>
      </c>
      <c r="D2276" s="4">
        <v>50</v>
      </c>
      <c r="E2276" s="5" t="s">
        <v>30</v>
      </c>
      <c r="F2276" s="4" t="s">
        <v>3186</v>
      </c>
      <c r="G2276" s="4" t="s">
        <v>20</v>
      </c>
      <c r="H2276" s="4" t="s">
        <v>4997</v>
      </c>
      <c r="I2276" s="4" t="s">
        <v>14</v>
      </c>
      <c r="J2276" s="4" t="s">
        <v>25</v>
      </c>
      <c r="K2276" s="4" t="s">
        <v>34</v>
      </c>
      <c r="M2276">
        <f t="shared" si="72"/>
        <v>215.64913500000003</v>
      </c>
    </row>
    <row r="2277" spans="1:25" ht="14" x14ac:dyDescent="0.2">
      <c r="A2277" s="7" t="s">
        <v>5552</v>
      </c>
      <c r="B2277" s="10">
        <v>8319.796875</v>
      </c>
      <c r="C2277" s="5">
        <f t="shared" si="71"/>
        <v>8319.796875</v>
      </c>
      <c r="D2277" s="9">
        <v>1</v>
      </c>
      <c r="E2277" s="10" t="s">
        <v>5217</v>
      </c>
      <c r="F2277" s="7" t="s">
        <v>5553</v>
      </c>
      <c r="G2277" s="7" t="s">
        <v>5545</v>
      </c>
      <c r="H2277" s="7" t="s">
        <v>5554</v>
      </c>
      <c r="J2277" s="7" t="s">
        <v>44</v>
      </c>
      <c r="K2277" s="7" t="s">
        <v>5243</v>
      </c>
      <c r="L2277" s="4"/>
      <c r="M2277">
        <f t="shared" si="72"/>
        <v>7487.8171874999998</v>
      </c>
      <c r="N2277" s="3"/>
      <c r="O2277" s="3"/>
      <c r="P2277" s="3"/>
      <c r="Q2277" s="2"/>
      <c r="R2277" s="2"/>
      <c r="S2277" s="2"/>
      <c r="T2277" s="2"/>
      <c r="U2277" s="2"/>
      <c r="V2277" s="2"/>
      <c r="W2277" s="2"/>
      <c r="X2277" s="2"/>
      <c r="Y2277" s="2"/>
    </row>
    <row r="2278" spans="1:25" ht="14" x14ac:dyDescent="0.2">
      <c r="A2278" s="4" t="s">
        <v>4998</v>
      </c>
      <c r="B2278" s="5">
        <v>5235.9255000000003</v>
      </c>
      <c r="C2278" s="5">
        <f t="shared" si="71"/>
        <v>174.53085000000002</v>
      </c>
      <c r="D2278" s="4">
        <v>30</v>
      </c>
      <c r="E2278" s="5" t="s">
        <v>30</v>
      </c>
      <c r="F2278" s="4" t="s">
        <v>4999</v>
      </c>
      <c r="G2278" s="4" t="s">
        <v>20</v>
      </c>
      <c r="H2278" s="4" t="s">
        <v>4999</v>
      </c>
      <c r="I2278" s="4" t="s">
        <v>22</v>
      </c>
      <c r="J2278" s="4" t="s">
        <v>5000</v>
      </c>
      <c r="K2278" s="4" t="s">
        <v>34</v>
      </c>
      <c r="M2278">
        <f t="shared" si="72"/>
        <v>157.077765</v>
      </c>
    </row>
    <row r="2279" spans="1:25" ht="14" x14ac:dyDescent="0.2">
      <c r="A2279" s="4" t="s">
        <v>5001</v>
      </c>
      <c r="B2279" s="5">
        <v>16639.59375</v>
      </c>
      <c r="C2279" s="5">
        <f t="shared" si="71"/>
        <v>1663.9593749999999</v>
      </c>
      <c r="D2279" s="4">
        <v>10</v>
      </c>
      <c r="E2279" s="5" t="s">
        <v>124</v>
      </c>
      <c r="F2279" s="4" t="s">
        <v>5001</v>
      </c>
      <c r="G2279" s="4" t="s">
        <v>20</v>
      </c>
      <c r="H2279" s="4" t="s">
        <v>5001</v>
      </c>
      <c r="I2279" s="4" t="s">
        <v>22</v>
      </c>
      <c r="J2279" s="4" t="s">
        <v>5002</v>
      </c>
      <c r="K2279" s="4" t="s">
        <v>34</v>
      </c>
      <c r="M2279">
        <f t="shared" si="72"/>
        <v>1497.5634375</v>
      </c>
    </row>
    <row r="2280" spans="1:25" ht="14" x14ac:dyDescent="0.2">
      <c r="A2280" s="4" t="s">
        <v>5003</v>
      </c>
      <c r="B2280" s="5">
        <v>2218.6125000000002</v>
      </c>
      <c r="C2280" s="5">
        <f t="shared" si="71"/>
        <v>2218.6125000000002</v>
      </c>
      <c r="D2280" s="4">
        <v>1</v>
      </c>
      <c r="E2280" s="5" t="s">
        <v>59</v>
      </c>
      <c r="F2280" s="4" t="s">
        <v>1805</v>
      </c>
      <c r="G2280" s="4" t="s">
        <v>20</v>
      </c>
      <c r="H2280" s="4" t="s">
        <v>1805</v>
      </c>
      <c r="I2280" s="4" t="s">
        <v>22</v>
      </c>
      <c r="J2280" s="4" t="s">
        <v>15</v>
      </c>
      <c r="K2280" s="4" t="s">
        <v>34</v>
      </c>
      <c r="M2280">
        <f t="shared" si="72"/>
        <v>1996.7512500000003</v>
      </c>
    </row>
    <row r="2281" spans="1:25" ht="14" x14ac:dyDescent="0.2">
      <c r="A2281" s="4" t="s">
        <v>5004</v>
      </c>
      <c r="B2281" s="5">
        <v>1109.3062500000001</v>
      </c>
      <c r="C2281" s="5">
        <f t="shared" si="71"/>
        <v>110.93062500000001</v>
      </c>
      <c r="D2281" s="4">
        <v>10</v>
      </c>
      <c r="E2281" s="5" t="s">
        <v>10</v>
      </c>
      <c r="F2281" s="4" t="s">
        <v>5004</v>
      </c>
      <c r="G2281" s="4" t="s">
        <v>20</v>
      </c>
      <c r="H2281" s="4" t="s">
        <v>5004</v>
      </c>
      <c r="I2281" s="4" t="s">
        <v>22</v>
      </c>
      <c r="J2281" s="4" t="s">
        <v>3148</v>
      </c>
      <c r="K2281" s="4" t="s">
        <v>34</v>
      </c>
      <c r="M2281">
        <f t="shared" si="72"/>
        <v>99.837562500000004</v>
      </c>
    </row>
    <row r="2282" spans="1:25" ht="14" x14ac:dyDescent="0.2">
      <c r="A2282" s="4" t="s">
        <v>1492</v>
      </c>
      <c r="B2282" s="5">
        <v>1164.7715625000001</v>
      </c>
      <c r="C2282" s="5">
        <f t="shared" si="71"/>
        <v>116.47715625000001</v>
      </c>
      <c r="D2282" s="4">
        <v>10</v>
      </c>
      <c r="E2282" s="5" t="s">
        <v>10</v>
      </c>
      <c r="F2282" s="4" t="s">
        <v>1492</v>
      </c>
      <c r="G2282" s="4" t="s">
        <v>20</v>
      </c>
      <c r="H2282" s="4" t="s">
        <v>5005</v>
      </c>
      <c r="I2282" s="4" t="s">
        <v>22</v>
      </c>
      <c r="J2282" s="4" t="s">
        <v>4209</v>
      </c>
      <c r="K2282" s="4" t="s">
        <v>34</v>
      </c>
      <c r="M2282">
        <f t="shared" si="72"/>
        <v>104.829440625</v>
      </c>
    </row>
    <row r="2283" spans="1:25" ht="14" x14ac:dyDescent="0.2">
      <c r="A2283" s="4" t="s">
        <v>5006</v>
      </c>
      <c r="B2283" s="5">
        <v>1109.3062500000001</v>
      </c>
      <c r="C2283" s="5">
        <f t="shared" si="71"/>
        <v>110.93062500000001</v>
      </c>
      <c r="D2283" s="4">
        <v>10</v>
      </c>
      <c r="E2283" s="5" t="s">
        <v>10</v>
      </c>
      <c r="F2283" s="4" t="s">
        <v>5006</v>
      </c>
      <c r="G2283" s="4" t="s">
        <v>20</v>
      </c>
      <c r="H2283" s="4" t="s">
        <v>5007</v>
      </c>
      <c r="I2283" s="4" t="s">
        <v>22</v>
      </c>
      <c r="J2283" s="4" t="s">
        <v>3148</v>
      </c>
      <c r="K2283" s="4" t="s">
        <v>34</v>
      </c>
      <c r="M2283">
        <f t="shared" si="72"/>
        <v>99.837562500000004</v>
      </c>
    </row>
    <row r="2284" spans="1:25" ht="14" x14ac:dyDescent="0.2">
      <c r="A2284" s="4" t="s">
        <v>5008</v>
      </c>
      <c r="B2284" s="5">
        <v>3549.78</v>
      </c>
      <c r="C2284" s="5">
        <f t="shared" si="71"/>
        <v>354.97800000000001</v>
      </c>
      <c r="D2284" s="4">
        <v>10</v>
      </c>
      <c r="E2284" s="5" t="s">
        <v>124</v>
      </c>
      <c r="F2284" s="4" t="s">
        <v>5008</v>
      </c>
      <c r="G2284" s="4" t="s">
        <v>20</v>
      </c>
      <c r="H2284" s="4" t="s">
        <v>5008</v>
      </c>
      <c r="I2284" s="4" t="s">
        <v>22</v>
      </c>
      <c r="J2284" s="4" t="s">
        <v>1172</v>
      </c>
      <c r="K2284" s="4" t="s">
        <v>34</v>
      </c>
      <c r="M2284">
        <f t="shared" si="72"/>
        <v>319.48020000000002</v>
      </c>
    </row>
    <row r="2285" spans="1:25" ht="14" x14ac:dyDescent="0.2">
      <c r="A2285" s="7" t="s">
        <v>5555</v>
      </c>
      <c r="B2285" s="10">
        <v>11647.715625000001</v>
      </c>
      <c r="C2285" s="5">
        <f t="shared" si="71"/>
        <v>116.47715625000001</v>
      </c>
      <c r="D2285" s="9">
        <v>100</v>
      </c>
      <c r="E2285" s="10" t="s">
        <v>5193</v>
      </c>
      <c r="F2285" s="7" t="s">
        <v>2461</v>
      </c>
      <c r="H2285" s="7" t="s">
        <v>2461</v>
      </c>
      <c r="I2285" s="7" t="s">
        <v>22</v>
      </c>
      <c r="J2285" s="7" t="s">
        <v>293</v>
      </c>
      <c r="K2285" s="7" t="s">
        <v>34</v>
      </c>
      <c r="M2285">
        <f t="shared" si="72"/>
        <v>104.829440625</v>
      </c>
    </row>
    <row r="2286" spans="1:25" ht="14" x14ac:dyDescent="0.2">
      <c r="A2286" s="4" t="s">
        <v>5009</v>
      </c>
      <c r="B2286" s="5">
        <v>18747.275625000002</v>
      </c>
      <c r="C2286" s="5">
        <f t="shared" si="71"/>
        <v>374.94551250000006</v>
      </c>
      <c r="D2286" s="4">
        <v>50</v>
      </c>
      <c r="E2286" s="5" t="s">
        <v>30</v>
      </c>
      <c r="F2286" s="4" t="s">
        <v>5010</v>
      </c>
      <c r="G2286" s="4" t="s">
        <v>12</v>
      </c>
      <c r="H2286" s="4" t="s">
        <v>5011</v>
      </c>
      <c r="I2286" s="4" t="s">
        <v>22</v>
      </c>
      <c r="J2286" s="4" t="s">
        <v>5012</v>
      </c>
      <c r="K2286" s="4" t="s">
        <v>34</v>
      </c>
      <c r="M2286">
        <f t="shared" si="72"/>
        <v>337.45096125000003</v>
      </c>
    </row>
    <row r="2287" spans="1:25" ht="14" x14ac:dyDescent="0.2">
      <c r="A2287" s="4" t="s">
        <v>5013</v>
      </c>
      <c r="B2287" s="5">
        <v>9429.1031250000015</v>
      </c>
      <c r="C2287" s="5">
        <f t="shared" si="71"/>
        <v>9429.1031250000015</v>
      </c>
      <c r="D2287" s="4">
        <v>1</v>
      </c>
      <c r="E2287" s="5" t="s">
        <v>59</v>
      </c>
      <c r="F2287" s="4" t="s">
        <v>5010</v>
      </c>
      <c r="G2287" s="4" t="s">
        <v>20</v>
      </c>
      <c r="H2287" s="4" t="s">
        <v>5014</v>
      </c>
      <c r="I2287" s="4" t="s">
        <v>22</v>
      </c>
      <c r="J2287" s="4" t="s">
        <v>25</v>
      </c>
      <c r="K2287" s="4" t="s">
        <v>34</v>
      </c>
      <c r="M2287">
        <f t="shared" si="72"/>
        <v>8486.1928125000013</v>
      </c>
    </row>
    <row r="2288" spans="1:25" ht="14" x14ac:dyDescent="0.2">
      <c r="A2288" s="7" t="s">
        <v>5556</v>
      </c>
      <c r="B2288" s="10">
        <v>26068.696875000001</v>
      </c>
      <c r="C2288" s="5">
        <f t="shared" si="71"/>
        <v>289.65218750000003</v>
      </c>
      <c r="D2288" s="9">
        <v>90</v>
      </c>
      <c r="E2288" s="10" t="s">
        <v>5193</v>
      </c>
      <c r="F2288" s="7" t="s">
        <v>5557</v>
      </c>
      <c r="H2288" s="7" t="s">
        <v>5557</v>
      </c>
      <c r="I2288" s="7" t="s">
        <v>22</v>
      </c>
      <c r="J2288" s="7" t="s">
        <v>1913</v>
      </c>
      <c r="K2288" s="7" t="s">
        <v>34</v>
      </c>
      <c r="M2288">
        <f t="shared" si="72"/>
        <v>260.68696875000001</v>
      </c>
    </row>
    <row r="2289" spans="1:13" ht="14" x14ac:dyDescent="0.2">
      <c r="A2289" s="7" t="s">
        <v>5558</v>
      </c>
      <c r="B2289" s="10">
        <v>1885.8206250000001</v>
      </c>
      <c r="C2289" s="5">
        <f t="shared" si="71"/>
        <v>188.58206250000001</v>
      </c>
      <c r="D2289" s="9">
        <v>10</v>
      </c>
      <c r="E2289" s="10" t="s">
        <v>5185</v>
      </c>
      <c r="F2289" s="16" t="s">
        <v>5559</v>
      </c>
      <c r="G2289" s="16"/>
      <c r="H2289" s="16" t="s">
        <v>5559</v>
      </c>
      <c r="I2289" s="16"/>
      <c r="J2289" s="7" t="s">
        <v>146</v>
      </c>
      <c r="K2289" s="7" t="s">
        <v>312</v>
      </c>
      <c r="M2289">
        <f t="shared" si="72"/>
        <v>169.72385625000001</v>
      </c>
    </row>
    <row r="2290" spans="1:13" ht="14" x14ac:dyDescent="0.2">
      <c r="A2290" s="4" t="s">
        <v>5015</v>
      </c>
      <c r="B2290" s="5">
        <v>18303.553125000002</v>
      </c>
      <c r="C2290" s="5">
        <f t="shared" si="71"/>
        <v>18303.553125000002</v>
      </c>
      <c r="D2290" s="4">
        <v>1</v>
      </c>
      <c r="E2290" s="5" t="s">
        <v>59</v>
      </c>
      <c r="F2290" s="4" t="s">
        <v>60</v>
      </c>
      <c r="G2290" s="4" t="s">
        <v>20</v>
      </c>
      <c r="H2290" s="4" t="s">
        <v>5016</v>
      </c>
      <c r="I2290" s="4" t="s">
        <v>14</v>
      </c>
      <c r="J2290" s="4" t="s">
        <v>25</v>
      </c>
      <c r="K2290" s="4" t="s">
        <v>34</v>
      </c>
      <c r="M2290">
        <f t="shared" si="72"/>
        <v>16473.197812500002</v>
      </c>
    </row>
    <row r="2291" spans="1:13" ht="14" x14ac:dyDescent="0.2">
      <c r="A2291" s="4" t="s">
        <v>5017</v>
      </c>
      <c r="B2291" s="5">
        <v>5768.3925000000008</v>
      </c>
      <c r="C2291" s="5">
        <f t="shared" si="71"/>
        <v>5768.3925000000008</v>
      </c>
      <c r="D2291" s="4">
        <v>1</v>
      </c>
      <c r="E2291" s="5" t="s">
        <v>1212</v>
      </c>
      <c r="F2291" s="4" t="s">
        <v>5018</v>
      </c>
      <c r="G2291" s="4" t="s">
        <v>12</v>
      </c>
      <c r="H2291" s="4" t="s">
        <v>5019</v>
      </c>
      <c r="I2291" s="4" t="s">
        <v>22</v>
      </c>
      <c r="J2291" s="8">
        <v>4.0000000000000002E-4</v>
      </c>
      <c r="K2291" s="4" t="s">
        <v>244</v>
      </c>
      <c r="M2291">
        <f t="shared" si="72"/>
        <v>5191.5532500000008</v>
      </c>
    </row>
    <row r="2292" spans="1:13" ht="14" x14ac:dyDescent="0.2">
      <c r="A2292" s="4" t="s">
        <v>5020</v>
      </c>
      <c r="B2292" s="5">
        <v>2007.8443125000003</v>
      </c>
      <c r="C2292" s="5">
        <f t="shared" si="71"/>
        <v>2007.8443125000003</v>
      </c>
      <c r="D2292" s="4">
        <v>1</v>
      </c>
      <c r="E2292" s="5" t="s">
        <v>874</v>
      </c>
      <c r="F2292" s="4" t="s">
        <v>1268</v>
      </c>
      <c r="G2292" s="4" t="s">
        <v>20</v>
      </c>
      <c r="H2292" s="4" t="s">
        <v>5020</v>
      </c>
      <c r="I2292" s="4" t="s">
        <v>22</v>
      </c>
      <c r="J2292" s="4" t="s">
        <v>5021</v>
      </c>
      <c r="K2292" s="4" t="s">
        <v>87</v>
      </c>
      <c r="M2292">
        <f t="shared" si="72"/>
        <v>1807.0598812500002</v>
      </c>
    </row>
    <row r="2293" spans="1:13" ht="14" x14ac:dyDescent="0.2">
      <c r="A2293" s="4" t="s">
        <v>5022</v>
      </c>
      <c r="B2293" s="5">
        <v>9429.1031250000015</v>
      </c>
      <c r="C2293" s="5">
        <f t="shared" si="71"/>
        <v>942.91031250000015</v>
      </c>
      <c r="D2293" s="4">
        <v>10</v>
      </c>
      <c r="E2293" s="5" t="s">
        <v>10</v>
      </c>
      <c r="F2293" s="4" t="s">
        <v>1268</v>
      </c>
      <c r="G2293" s="4" t="s">
        <v>20</v>
      </c>
      <c r="H2293" s="4" t="s">
        <v>5023</v>
      </c>
      <c r="I2293" s="4" t="s">
        <v>22</v>
      </c>
      <c r="J2293" s="4" t="s">
        <v>1047</v>
      </c>
      <c r="K2293" s="4" t="s">
        <v>87</v>
      </c>
      <c r="M2293">
        <f t="shared" si="72"/>
        <v>848.61928125000009</v>
      </c>
    </row>
    <row r="2294" spans="1:13" ht="14" x14ac:dyDescent="0.2">
      <c r="A2294" s="4" t="s">
        <v>5024</v>
      </c>
      <c r="B2294" s="5">
        <v>9983.7562500000004</v>
      </c>
      <c r="C2294" s="5">
        <f t="shared" si="71"/>
        <v>998.37562500000001</v>
      </c>
      <c r="D2294" s="4">
        <v>10</v>
      </c>
      <c r="E2294" s="5" t="s">
        <v>10</v>
      </c>
      <c r="F2294" s="4" t="s">
        <v>1268</v>
      </c>
      <c r="G2294" s="4" t="s">
        <v>20</v>
      </c>
      <c r="H2294" s="4" t="s">
        <v>5023</v>
      </c>
      <c r="I2294" s="4" t="s">
        <v>22</v>
      </c>
      <c r="J2294" s="4" t="s">
        <v>78</v>
      </c>
      <c r="K2294" s="4" t="s">
        <v>87</v>
      </c>
      <c r="M2294">
        <f t="shared" si="72"/>
        <v>898.53806250000002</v>
      </c>
    </row>
    <row r="2295" spans="1:13" ht="14" x14ac:dyDescent="0.2">
      <c r="A2295" s="4" t="s">
        <v>5025</v>
      </c>
      <c r="B2295" s="5">
        <v>8431.8368062499994</v>
      </c>
      <c r="C2295" s="5">
        <f t="shared" si="71"/>
        <v>281.06122687499999</v>
      </c>
      <c r="D2295" s="4">
        <v>30</v>
      </c>
      <c r="E2295" s="5" t="s">
        <v>10</v>
      </c>
      <c r="F2295" s="4" t="s">
        <v>1268</v>
      </c>
      <c r="G2295" s="4" t="s">
        <v>20</v>
      </c>
      <c r="H2295" s="4" t="s">
        <v>5023</v>
      </c>
      <c r="I2295" s="4" t="s">
        <v>22</v>
      </c>
      <c r="J2295" s="4" t="s">
        <v>397</v>
      </c>
      <c r="K2295" s="4" t="s">
        <v>87</v>
      </c>
      <c r="M2295">
        <f t="shared" si="72"/>
        <v>252.95510418749998</v>
      </c>
    </row>
    <row r="2296" spans="1:13" ht="14" x14ac:dyDescent="0.2">
      <c r="A2296" s="7" t="s">
        <v>5560</v>
      </c>
      <c r="B2296" s="10">
        <v>10871.20125</v>
      </c>
      <c r="C2296" s="5">
        <f t="shared" si="71"/>
        <v>10871.20125</v>
      </c>
      <c r="D2296" s="9">
        <v>1</v>
      </c>
      <c r="E2296" s="10" t="s">
        <v>5196</v>
      </c>
      <c r="F2296" s="7" t="s">
        <v>1268</v>
      </c>
      <c r="H2296" s="7" t="s">
        <v>5023</v>
      </c>
      <c r="I2296" s="7" t="s">
        <v>14</v>
      </c>
      <c r="J2296" s="7" t="s">
        <v>5179</v>
      </c>
      <c r="K2296" s="7" t="s">
        <v>23</v>
      </c>
      <c r="M2296">
        <f t="shared" si="72"/>
        <v>9784.0811250000006</v>
      </c>
    </row>
    <row r="2297" spans="1:13" ht="14" x14ac:dyDescent="0.2">
      <c r="A2297" s="4" t="s">
        <v>5026</v>
      </c>
      <c r="B2297" s="5">
        <v>10649.34</v>
      </c>
      <c r="C2297" s="5">
        <f t="shared" si="71"/>
        <v>1064.934</v>
      </c>
      <c r="D2297" s="4">
        <v>10</v>
      </c>
      <c r="E2297" s="5" t="s">
        <v>10</v>
      </c>
      <c r="F2297" s="4" t="s">
        <v>1268</v>
      </c>
      <c r="G2297" s="4" t="s">
        <v>20</v>
      </c>
      <c r="H2297" s="4" t="s">
        <v>5023</v>
      </c>
      <c r="I2297" s="4" t="s">
        <v>22</v>
      </c>
      <c r="J2297" s="4" t="s">
        <v>397</v>
      </c>
      <c r="K2297" s="4" t="s">
        <v>87</v>
      </c>
      <c r="M2297">
        <f t="shared" si="72"/>
        <v>958.4405999999999</v>
      </c>
    </row>
    <row r="2298" spans="1:13" ht="14" x14ac:dyDescent="0.2">
      <c r="A2298" s="4" t="s">
        <v>5027</v>
      </c>
      <c r="B2298" s="5">
        <v>2884.1962500000004</v>
      </c>
      <c r="C2298" s="5">
        <f t="shared" si="71"/>
        <v>240.34968750000004</v>
      </c>
      <c r="D2298" s="4">
        <v>12</v>
      </c>
      <c r="E2298" s="5" t="s">
        <v>10</v>
      </c>
      <c r="F2298" s="4" t="s">
        <v>5028</v>
      </c>
      <c r="G2298" s="4" t="s">
        <v>20</v>
      </c>
      <c r="H2298" s="4" t="s">
        <v>5029</v>
      </c>
      <c r="I2298" s="4" t="s">
        <v>22</v>
      </c>
      <c r="J2298" s="4" t="s">
        <v>5030</v>
      </c>
      <c r="K2298" s="4" t="s">
        <v>108</v>
      </c>
      <c r="M2298">
        <f t="shared" si="72"/>
        <v>216.31471875000005</v>
      </c>
    </row>
    <row r="2299" spans="1:13" ht="14" x14ac:dyDescent="0.2">
      <c r="A2299" s="4" t="s">
        <v>5031</v>
      </c>
      <c r="B2299" s="5">
        <v>10649.34</v>
      </c>
      <c r="C2299" s="5">
        <f t="shared" si="71"/>
        <v>380.33357142857142</v>
      </c>
      <c r="D2299" s="4">
        <v>28</v>
      </c>
      <c r="E2299" s="5" t="s">
        <v>10</v>
      </c>
      <c r="F2299" s="4" t="s">
        <v>5032</v>
      </c>
      <c r="G2299" s="4" t="s">
        <v>12</v>
      </c>
      <c r="H2299" s="4" t="s">
        <v>5033</v>
      </c>
      <c r="I2299" s="4" t="s">
        <v>22</v>
      </c>
      <c r="J2299" s="4" t="s">
        <v>271</v>
      </c>
      <c r="K2299" s="4" t="s">
        <v>312</v>
      </c>
      <c r="M2299">
        <f t="shared" si="72"/>
        <v>342.30021428571428</v>
      </c>
    </row>
    <row r="2300" spans="1:13" ht="14" x14ac:dyDescent="0.2">
      <c r="A2300" s="4" t="s">
        <v>5034</v>
      </c>
      <c r="B2300" s="5">
        <v>11980.507500000002</v>
      </c>
      <c r="C2300" s="5">
        <f t="shared" si="71"/>
        <v>427.87526785714289</v>
      </c>
      <c r="D2300" s="4">
        <v>28</v>
      </c>
      <c r="E2300" s="5" t="s">
        <v>10</v>
      </c>
      <c r="F2300" s="4" t="s">
        <v>5032</v>
      </c>
      <c r="G2300" s="4" t="s">
        <v>12</v>
      </c>
      <c r="H2300" s="4" t="s">
        <v>5033</v>
      </c>
      <c r="I2300" s="4" t="s">
        <v>22</v>
      </c>
      <c r="J2300" s="4" t="s">
        <v>895</v>
      </c>
      <c r="K2300" s="4" t="s">
        <v>312</v>
      </c>
      <c r="M2300">
        <f t="shared" si="72"/>
        <v>385.08774107142858</v>
      </c>
    </row>
    <row r="2301" spans="1:13" ht="14" x14ac:dyDescent="0.2">
      <c r="A2301" s="4" t="s">
        <v>5035</v>
      </c>
      <c r="B2301" s="5">
        <v>16084.940625000001</v>
      </c>
      <c r="C2301" s="5">
        <f t="shared" si="71"/>
        <v>574.46216517857147</v>
      </c>
      <c r="D2301" s="4">
        <v>28</v>
      </c>
      <c r="E2301" s="5" t="s">
        <v>10</v>
      </c>
      <c r="F2301" s="4" t="s">
        <v>5032</v>
      </c>
      <c r="G2301" s="4" t="s">
        <v>12</v>
      </c>
      <c r="H2301" s="4" t="s">
        <v>5033</v>
      </c>
      <c r="I2301" s="4" t="s">
        <v>22</v>
      </c>
      <c r="J2301" s="4" t="s">
        <v>200</v>
      </c>
      <c r="K2301" s="4" t="s">
        <v>312</v>
      </c>
      <c r="M2301">
        <f t="shared" si="72"/>
        <v>517.01594866071434</v>
      </c>
    </row>
    <row r="2302" spans="1:13" ht="14" x14ac:dyDescent="0.2">
      <c r="A2302" s="4" t="s">
        <v>5036</v>
      </c>
      <c r="B2302" s="5">
        <v>10871.20125</v>
      </c>
      <c r="C2302" s="5">
        <f t="shared" si="71"/>
        <v>10871.20125</v>
      </c>
      <c r="D2302" s="4">
        <v>1</v>
      </c>
      <c r="E2302" s="5" t="s">
        <v>5037</v>
      </c>
      <c r="F2302" s="4" t="s">
        <v>5038</v>
      </c>
      <c r="G2302" s="4" t="s">
        <v>20</v>
      </c>
      <c r="H2302" s="4" t="s">
        <v>5036</v>
      </c>
      <c r="I2302" s="4" t="s">
        <v>22</v>
      </c>
      <c r="J2302" s="4" t="s">
        <v>25</v>
      </c>
      <c r="K2302" s="4" t="s">
        <v>34</v>
      </c>
      <c r="M2302">
        <f t="shared" si="72"/>
        <v>9784.0811250000006</v>
      </c>
    </row>
    <row r="2303" spans="1:13" ht="14" x14ac:dyDescent="0.2">
      <c r="A2303" s="4" t="s">
        <v>5039</v>
      </c>
      <c r="B2303" s="5">
        <v>277.32656250000002</v>
      </c>
      <c r="C2303" s="5">
        <f t="shared" si="71"/>
        <v>277.32656250000002</v>
      </c>
      <c r="D2303" s="4">
        <v>1</v>
      </c>
      <c r="E2303" s="5" t="s">
        <v>124</v>
      </c>
      <c r="F2303" s="4" t="s">
        <v>5040</v>
      </c>
      <c r="G2303" s="4" t="s">
        <v>20</v>
      </c>
      <c r="H2303" s="4" t="s">
        <v>5041</v>
      </c>
      <c r="I2303" s="4" t="s">
        <v>22</v>
      </c>
      <c r="J2303" s="4" t="s">
        <v>1995</v>
      </c>
      <c r="K2303" s="4" t="s">
        <v>28</v>
      </c>
      <c r="M2303">
        <f t="shared" si="72"/>
        <v>249.59390625000003</v>
      </c>
    </row>
    <row r="2304" spans="1:13" ht="14" x14ac:dyDescent="0.2">
      <c r="A2304" s="4" t="s">
        <v>5042</v>
      </c>
      <c r="B2304" s="5">
        <v>15530.287500000002</v>
      </c>
      <c r="C2304" s="5">
        <f t="shared" si="71"/>
        <v>15530.287500000002</v>
      </c>
      <c r="D2304" s="4">
        <v>1</v>
      </c>
      <c r="E2304" s="5" t="s">
        <v>59</v>
      </c>
      <c r="F2304" s="4" t="s">
        <v>3186</v>
      </c>
      <c r="G2304" s="4" t="s">
        <v>20</v>
      </c>
      <c r="H2304" s="4" t="s">
        <v>5043</v>
      </c>
      <c r="I2304" s="4" t="s">
        <v>14</v>
      </c>
      <c r="J2304" s="4" t="s">
        <v>770</v>
      </c>
      <c r="K2304" s="4" t="s">
        <v>34</v>
      </c>
      <c r="M2304">
        <f t="shared" si="72"/>
        <v>13977.258750000001</v>
      </c>
    </row>
    <row r="2305" spans="1:13" ht="14" x14ac:dyDescent="0.2">
      <c r="A2305" s="4" t="s">
        <v>5044</v>
      </c>
      <c r="B2305" s="5">
        <v>18747.275625000002</v>
      </c>
      <c r="C2305" s="5">
        <f t="shared" si="71"/>
        <v>18747.275625000002</v>
      </c>
      <c r="D2305" s="4">
        <v>1</v>
      </c>
      <c r="E2305" s="5" t="s">
        <v>59</v>
      </c>
      <c r="F2305" s="4" t="s">
        <v>3186</v>
      </c>
      <c r="G2305" s="4" t="s">
        <v>20</v>
      </c>
      <c r="H2305" s="4" t="s">
        <v>5044</v>
      </c>
      <c r="I2305" s="4" t="s">
        <v>14</v>
      </c>
      <c r="J2305" s="4" t="s">
        <v>5045</v>
      </c>
      <c r="K2305" s="4" t="s">
        <v>34</v>
      </c>
      <c r="M2305">
        <f t="shared" si="72"/>
        <v>16872.548062500002</v>
      </c>
    </row>
    <row r="2306" spans="1:13" ht="14" x14ac:dyDescent="0.2">
      <c r="A2306" s="4" t="s">
        <v>5046</v>
      </c>
      <c r="B2306" s="5">
        <v>19967.512500000001</v>
      </c>
      <c r="C2306" s="5">
        <f t="shared" si="71"/>
        <v>665.58375000000001</v>
      </c>
      <c r="D2306" s="4">
        <v>30</v>
      </c>
      <c r="E2306" s="5" t="s">
        <v>10</v>
      </c>
      <c r="F2306" s="4" t="s">
        <v>3186</v>
      </c>
      <c r="G2306" s="4" t="s">
        <v>20</v>
      </c>
      <c r="H2306" s="4" t="s">
        <v>5047</v>
      </c>
      <c r="I2306" s="4" t="s">
        <v>14</v>
      </c>
      <c r="J2306" s="4" t="s">
        <v>25</v>
      </c>
      <c r="K2306" s="4" t="s">
        <v>34</v>
      </c>
      <c r="M2306">
        <f t="shared" si="72"/>
        <v>599.02537500000005</v>
      </c>
    </row>
    <row r="2307" spans="1:13" ht="14" x14ac:dyDescent="0.2">
      <c r="A2307" s="4" t="s">
        <v>5048</v>
      </c>
      <c r="B2307" s="5">
        <v>19967.512500000001</v>
      </c>
      <c r="C2307" s="5">
        <f t="shared" ref="C2307:C2369" si="73">(B2307/D2307)</f>
        <v>665.58375000000001</v>
      </c>
      <c r="D2307" s="4">
        <v>30</v>
      </c>
      <c r="E2307" s="5" t="s">
        <v>10</v>
      </c>
      <c r="F2307" s="4" t="s">
        <v>3186</v>
      </c>
      <c r="G2307" s="4" t="s">
        <v>20</v>
      </c>
      <c r="H2307" s="4" t="s">
        <v>5049</v>
      </c>
      <c r="I2307" s="4" t="s">
        <v>14</v>
      </c>
      <c r="J2307" s="4" t="s">
        <v>25</v>
      </c>
      <c r="K2307" s="4" t="s">
        <v>34</v>
      </c>
      <c r="M2307">
        <f t="shared" si="72"/>
        <v>599.02537500000005</v>
      </c>
    </row>
    <row r="2308" spans="1:13" ht="14" x14ac:dyDescent="0.2">
      <c r="A2308" s="4" t="s">
        <v>5050</v>
      </c>
      <c r="B2308" s="5">
        <v>19967.512500000001</v>
      </c>
      <c r="C2308" s="5">
        <f t="shared" si="73"/>
        <v>665.58375000000001</v>
      </c>
      <c r="D2308" s="4">
        <v>30</v>
      </c>
      <c r="E2308" s="5" t="s">
        <v>30</v>
      </c>
      <c r="F2308" s="4" t="s">
        <v>3988</v>
      </c>
      <c r="G2308" s="4" t="s">
        <v>20</v>
      </c>
      <c r="H2308" s="4" t="s">
        <v>5051</v>
      </c>
      <c r="I2308" s="4" t="s">
        <v>14</v>
      </c>
      <c r="J2308" s="4" t="s">
        <v>25</v>
      </c>
      <c r="K2308" s="4" t="s">
        <v>34</v>
      </c>
      <c r="M2308">
        <f t="shared" si="72"/>
        <v>599.02537500000005</v>
      </c>
    </row>
    <row r="2309" spans="1:13" ht="14" x14ac:dyDescent="0.2">
      <c r="A2309" s="4" t="s">
        <v>5052</v>
      </c>
      <c r="B2309" s="5">
        <v>19967.512500000001</v>
      </c>
      <c r="C2309" s="5">
        <f t="shared" si="73"/>
        <v>665.58375000000001</v>
      </c>
      <c r="D2309" s="4">
        <v>30</v>
      </c>
      <c r="E2309" s="5" t="s">
        <v>10</v>
      </c>
      <c r="F2309" s="4" t="s">
        <v>3186</v>
      </c>
      <c r="G2309" s="4" t="s">
        <v>20</v>
      </c>
      <c r="H2309" s="4" t="s">
        <v>5053</v>
      </c>
      <c r="I2309" s="4" t="s">
        <v>14</v>
      </c>
      <c r="J2309" s="4" t="s">
        <v>25</v>
      </c>
      <c r="K2309" s="4" t="s">
        <v>34</v>
      </c>
      <c r="M2309">
        <f t="shared" si="72"/>
        <v>599.02537500000005</v>
      </c>
    </row>
    <row r="2310" spans="1:13" ht="14" x14ac:dyDescent="0.2">
      <c r="A2310" s="4" t="s">
        <v>5054</v>
      </c>
      <c r="B2310" s="5">
        <v>19967.512500000001</v>
      </c>
      <c r="C2310" s="5">
        <f t="shared" si="73"/>
        <v>665.58375000000001</v>
      </c>
      <c r="D2310" s="4">
        <v>30</v>
      </c>
      <c r="E2310" s="5" t="s">
        <v>30</v>
      </c>
      <c r="F2310" s="4" t="s">
        <v>3186</v>
      </c>
      <c r="G2310" s="4" t="s">
        <v>20</v>
      </c>
      <c r="H2310" s="4" t="s">
        <v>5055</v>
      </c>
      <c r="I2310" s="4" t="s">
        <v>14</v>
      </c>
      <c r="J2310" s="4" t="s">
        <v>25</v>
      </c>
      <c r="K2310" s="4" t="s">
        <v>34</v>
      </c>
      <c r="M2310">
        <f t="shared" si="72"/>
        <v>599.02537500000005</v>
      </c>
    </row>
    <row r="2311" spans="1:13" ht="14" x14ac:dyDescent="0.2">
      <c r="A2311" s="4" t="s">
        <v>5056</v>
      </c>
      <c r="B2311" s="5">
        <v>19856.581875000003</v>
      </c>
      <c r="C2311" s="5">
        <f t="shared" si="73"/>
        <v>661.88606250000009</v>
      </c>
      <c r="D2311" s="4">
        <v>30</v>
      </c>
      <c r="E2311" s="5" t="s">
        <v>30</v>
      </c>
      <c r="F2311" s="4" t="s">
        <v>3186</v>
      </c>
      <c r="G2311" s="4" t="s">
        <v>20</v>
      </c>
      <c r="H2311" s="4" t="s">
        <v>5057</v>
      </c>
      <c r="I2311" s="4" t="s">
        <v>14</v>
      </c>
      <c r="J2311" s="4" t="s">
        <v>25</v>
      </c>
      <c r="K2311" s="4" t="s">
        <v>34</v>
      </c>
      <c r="M2311">
        <f t="shared" si="72"/>
        <v>595.69745625000007</v>
      </c>
    </row>
    <row r="2312" spans="1:13" ht="14" x14ac:dyDescent="0.2">
      <c r="A2312" s="4" t="s">
        <v>5058</v>
      </c>
      <c r="B2312" s="5">
        <v>34943.146875000006</v>
      </c>
      <c r="C2312" s="5">
        <f t="shared" si="73"/>
        <v>34943.146875000006</v>
      </c>
      <c r="D2312" s="4">
        <v>1</v>
      </c>
      <c r="E2312" s="5" t="s">
        <v>30</v>
      </c>
      <c r="F2312" s="4" t="s">
        <v>60</v>
      </c>
      <c r="G2312" s="4" t="s">
        <v>20</v>
      </c>
      <c r="H2312" s="4" t="s">
        <v>5059</v>
      </c>
      <c r="I2312" s="4" t="s">
        <v>14</v>
      </c>
      <c r="J2312" s="4" t="s">
        <v>25</v>
      </c>
      <c r="K2312" s="4" t="s">
        <v>34</v>
      </c>
      <c r="M2312">
        <f t="shared" si="72"/>
        <v>31448.832187500004</v>
      </c>
    </row>
    <row r="2313" spans="1:13" ht="14" x14ac:dyDescent="0.2">
      <c r="A2313" s="4" t="s">
        <v>5060</v>
      </c>
      <c r="B2313" s="5">
        <v>149756.34375</v>
      </c>
      <c r="C2313" s="5">
        <f t="shared" si="73"/>
        <v>149756.34375</v>
      </c>
      <c r="D2313" s="4">
        <v>1</v>
      </c>
      <c r="E2313" s="5" t="s">
        <v>25</v>
      </c>
      <c r="F2313" s="4" t="s">
        <v>5060</v>
      </c>
      <c r="G2313" s="4" t="s">
        <v>12</v>
      </c>
      <c r="H2313" s="4" t="s">
        <v>5060</v>
      </c>
      <c r="I2313" s="4" t="s">
        <v>14</v>
      </c>
      <c r="J2313" s="4" t="s">
        <v>25</v>
      </c>
      <c r="K2313" s="4" t="s">
        <v>860</v>
      </c>
      <c r="M2313">
        <f t="shared" si="72"/>
        <v>134780.70937500001</v>
      </c>
    </row>
    <row r="2314" spans="1:13" ht="14" x14ac:dyDescent="0.2">
      <c r="A2314" s="4" t="s">
        <v>5061</v>
      </c>
      <c r="B2314" s="5">
        <v>26512.419375000001</v>
      </c>
      <c r="C2314" s="5">
        <f t="shared" si="73"/>
        <v>26512.419375000001</v>
      </c>
      <c r="D2314" s="4">
        <v>1</v>
      </c>
      <c r="E2314" s="5" t="s">
        <v>219</v>
      </c>
      <c r="F2314" s="4" t="s">
        <v>5061</v>
      </c>
      <c r="G2314" s="4" t="s">
        <v>12</v>
      </c>
      <c r="H2314" s="4" t="s">
        <v>5061</v>
      </c>
      <c r="I2314" s="4" t="s">
        <v>22</v>
      </c>
      <c r="J2314" s="4" t="s">
        <v>5062</v>
      </c>
      <c r="K2314" s="4" t="s">
        <v>417</v>
      </c>
      <c r="M2314">
        <f t="shared" si="72"/>
        <v>23861.177437500002</v>
      </c>
    </row>
    <row r="2315" spans="1:13" ht="14" x14ac:dyDescent="0.2">
      <c r="A2315" s="4" t="s">
        <v>5063</v>
      </c>
      <c r="B2315" s="5">
        <v>32169.881250000002</v>
      </c>
      <c r="C2315" s="5">
        <f t="shared" si="73"/>
        <v>32169.881250000002</v>
      </c>
      <c r="D2315" s="4">
        <v>1</v>
      </c>
      <c r="E2315" s="5" t="s">
        <v>175</v>
      </c>
      <c r="F2315" s="4" t="s">
        <v>5064</v>
      </c>
      <c r="G2315" s="4" t="s">
        <v>12</v>
      </c>
      <c r="H2315" s="4" t="s">
        <v>5065</v>
      </c>
      <c r="I2315" s="4" t="s">
        <v>14</v>
      </c>
      <c r="J2315" s="4" t="s">
        <v>5066</v>
      </c>
      <c r="K2315" s="4" t="s">
        <v>244</v>
      </c>
      <c r="M2315">
        <f t="shared" si="72"/>
        <v>28952.893125000002</v>
      </c>
    </row>
    <row r="2316" spans="1:13" ht="14" x14ac:dyDescent="0.2">
      <c r="A2316" s="4" t="s">
        <v>5067</v>
      </c>
      <c r="B2316" s="5">
        <v>31171.505625000002</v>
      </c>
      <c r="C2316" s="5">
        <f t="shared" si="73"/>
        <v>31171.505625000002</v>
      </c>
      <c r="D2316" s="4">
        <v>1</v>
      </c>
      <c r="E2316" s="5" t="s">
        <v>175</v>
      </c>
      <c r="F2316" s="4" t="s">
        <v>464</v>
      </c>
      <c r="G2316" s="4" t="s">
        <v>12</v>
      </c>
      <c r="H2316" s="4" t="s">
        <v>5068</v>
      </c>
      <c r="I2316" s="4" t="s">
        <v>14</v>
      </c>
      <c r="J2316" s="8">
        <v>5.0000000000000001E-4</v>
      </c>
      <c r="K2316" s="4" t="s">
        <v>23</v>
      </c>
      <c r="M2316">
        <f t="shared" si="72"/>
        <v>28054.355062500003</v>
      </c>
    </row>
    <row r="2317" spans="1:13" ht="14" x14ac:dyDescent="0.2">
      <c r="A2317" s="4" t="s">
        <v>5069</v>
      </c>
      <c r="B2317" s="5">
        <v>38825.71875</v>
      </c>
      <c r="C2317" s="5">
        <f t="shared" si="73"/>
        <v>2773.265625</v>
      </c>
      <c r="D2317" s="4">
        <v>14</v>
      </c>
      <c r="E2317" s="5" t="s">
        <v>10</v>
      </c>
      <c r="F2317" s="4" t="s">
        <v>5070</v>
      </c>
      <c r="G2317" s="4" t="s">
        <v>12</v>
      </c>
      <c r="H2317" s="4" t="s">
        <v>5071</v>
      </c>
      <c r="I2317" s="4" t="s">
        <v>14</v>
      </c>
      <c r="J2317" s="4" t="s">
        <v>146</v>
      </c>
      <c r="K2317" s="4" t="s">
        <v>219</v>
      </c>
      <c r="M2317">
        <f t="shared" si="72"/>
        <v>2495.9390625000001</v>
      </c>
    </row>
    <row r="2318" spans="1:13" ht="14" x14ac:dyDescent="0.2">
      <c r="A2318" s="4" t="s">
        <v>5072</v>
      </c>
      <c r="B2318" s="5">
        <v>37161.759375000001</v>
      </c>
      <c r="C2318" s="5">
        <f t="shared" si="73"/>
        <v>2654.4113839285715</v>
      </c>
      <c r="D2318" s="4">
        <v>14</v>
      </c>
      <c r="E2318" s="5" t="s">
        <v>10</v>
      </c>
      <c r="F2318" s="4" t="s">
        <v>5070</v>
      </c>
      <c r="G2318" s="4" t="s">
        <v>12</v>
      </c>
      <c r="H2318" s="4" t="s">
        <v>5071</v>
      </c>
      <c r="I2318" s="4" t="s">
        <v>14</v>
      </c>
      <c r="J2318" s="4" t="s">
        <v>1519</v>
      </c>
      <c r="K2318" s="4" t="s">
        <v>219</v>
      </c>
      <c r="M2318">
        <f t="shared" si="72"/>
        <v>2388.9702455357142</v>
      </c>
    </row>
    <row r="2319" spans="1:13" ht="14" x14ac:dyDescent="0.2">
      <c r="A2319" s="4" t="s">
        <v>5073</v>
      </c>
      <c r="B2319" s="5">
        <v>41044.331250000003</v>
      </c>
      <c r="C2319" s="5">
        <f t="shared" si="73"/>
        <v>2931.7379464285718</v>
      </c>
      <c r="D2319" s="4">
        <v>14</v>
      </c>
      <c r="E2319" s="5" t="s">
        <v>10</v>
      </c>
      <c r="F2319" s="4" t="s">
        <v>5070</v>
      </c>
      <c r="G2319" s="4" t="s">
        <v>12</v>
      </c>
      <c r="H2319" s="4" t="s">
        <v>5071</v>
      </c>
      <c r="I2319" s="4" t="s">
        <v>14</v>
      </c>
      <c r="J2319" s="4" t="s">
        <v>148</v>
      </c>
      <c r="K2319" s="4" t="s">
        <v>219</v>
      </c>
      <c r="M2319">
        <f t="shared" si="72"/>
        <v>2638.5641517857148</v>
      </c>
    </row>
    <row r="2320" spans="1:13" ht="14" x14ac:dyDescent="0.2">
      <c r="A2320" s="4" t="s">
        <v>5074</v>
      </c>
      <c r="B2320" s="5">
        <v>9983.7562500000004</v>
      </c>
      <c r="C2320" s="5">
        <f t="shared" si="73"/>
        <v>99.837562500000004</v>
      </c>
      <c r="D2320" s="4">
        <v>100</v>
      </c>
      <c r="E2320" s="5" t="s">
        <v>10</v>
      </c>
      <c r="F2320" s="4" t="s">
        <v>1604</v>
      </c>
      <c r="G2320" s="4" t="s">
        <v>12</v>
      </c>
      <c r="H2320" s="4" t="s">
        <v>5075</v>
      </c>
      <c r="I2320" s="4" t="s">
        <v>22</v>
      </c>
      <c r="J2320" s="4" t="s">
        <v>271</v>
      </c>
      <c r="K2320" s="4" t="s">
        <v>1575</v>
      </c>
      <c r="M2320">
        <f t="shared" si="72"/>
        <v>89.853806250000005</v>
      </c>
    </row>
    <row r="2321" spans="1:25" ht="14" x14ac:dyDescent="0.2">
      <c r="A2321" s="4" t="s">
        <v>5076</v>
      </c>
      <c r="B2321" s="5">
        <v>1885820.6250000002</v>
      </c>
      <c r="C2321" s="5">
        <f t="shared" si="73"/>
        <v>31430.343750000004</v>
      </c>
      <c r="D2321" s="4">
        <v>60</v>
      </c>
      <c r="E2321" s="5" t="s">
        <v>10</v>
      </c>
      <c r="F2321" s="4" t="s">
        <v>5077</v>
      </c>
      <c r="G2321" s="4" t="s">
        <v>12</v>
      </c>
      <c r="H2321" s="4" t="s">
        <v>5078</v>
      </c>
      <c r="I2321" s="4" t="s">
        <v>14</v>
      </c>
      <c r="J2321" s="4" t="s">
        <v>405</v>
      </c>
      <c r="K2321" s="4" t="s">
        <v>5079</v>
      </c>
      <c r="M2321">
        <f t="shared" si="72"/>
        <v>28287.309375000004</v>
      </c>
    </row>
    <row r="2322" spans="1:25" ht="14" x14ac:dyDescent="0.2">
      <c r="A2322" s="7" t="s">
        <v>5561</v>
      </c>
      <c r="B2322" s="10">
        <v>15308.426250000002</v>
      </c>
      <c r="C2322" s="5">
        <f t="shared" si="73"/>
        <v>255.14043750000005</v>
      </c>
      <c r="D2322" s="9">
        <v>60</v>
      </c>
      <c r="E2322" s="10" t="s">
        <v>5193</v>
      </c>
      <c r="F2322" s="7" t="s">
        <v>5562</v>
      </c>
      <c r="H2322" s="7" t="s">
        <v>5563</v>
      </c>
      <c r="I2322" s="4" t="s">
        <v>22</v>
      </c>
      <c r="J2322" s="7" t="s">
        <v>1084</v>
      </c>
      <c r="K2322" s="7" t="s">
        <v>87</v>
      </c>
      <c r="M2322">
        <f t="shared" si="72"/>
        <v>229.62639375000003</v>
      </c>
    </row>
    <row r="2323" spans="1:25" ht="14" x14ac:dyDescent="0.2">
      <c r="A2323" s="4" t="s">
        <v>5080</v>
      </c>
      <c r="B2323" s="5">
        <v>5435.600625</v>
      </c>
      <c r="C2323" s="5">
        <f t="shared" si="73"/>
        <v>543.56006249999996</v>
      </c>
      <c r="D2323" s="4">
        <v>10</v>
      </c>
      <c r="E2323" s="5" t="s">
        <v>10</v>
      </c>
      <c r="F2323" s="4" t="s">
        <v>2106</v>
      </c>
      <c r="G2323" s="4" t="s">
        <v>20</v>
      </c>
      <c r="H2323" s="4" t="s">
        <v>5081</v>
      </c>
      <c r="I2323" s="4" t="s">
        <v>22</v>
      </c>
      <c r="J2323" s="4" t="s">
        <v>546</v>
      </c>
      <c r="K2323" s="4" t="s">
        <v>179</v>
      </c>
      <c r="M2323">
        <f t="shared" si="72"/>
        <v>489.20405624999995</v>
      </c>
    </row>
    <row r="2324" spans="1:25" ht="14" x14ac:dyDescent="0.2">
      <c r="A2324" s="4" t="s">
        <v>5082</v>
      </c>
      <c r="B2324" s="5">
        <v>6544.9068750000006</v>
      </c>
      <c r="C2324" s="5">
        <f t="shared" si="73"/>
        <v>654.49068750000004</v>
      </c>
      <c r="D2324" s="4">
        <v>10</v>
      </c>
      <c r="E2324" s="5" t="s">
        <v>10</v>
      </c>
      <c r="F2324" s="4" t="s">
        <v>2106</v>
      </c>
      <c r="G2324" s="4" t="s">
        <v>20</v>
      </c>
      <c r="H2324" s="4" t="s">
        <v>5081</v>
      </c>
      <c r="I2324" s="4" t="s">
        <v>22</v>
      </c>
      <c r="J2324" s="4" t="s">
        <v>2109</v>
      </c>
      <c r="K2324" s="4" t="s">
        <v>179</v>
      </c>
      <c r="M2324">
        <f t="shared" si="72"/>
        <v>589.04161875</v>
      </c>
    </row>
    <row r="2325" spans="1:25" ht="14" x14ac:dyDescent="0.2">
      <c r="A2325" s="7" t="s">
        <v>5564</v>
      </c>
      <c r="B2325" s="10">
        <v>9650.9643750000014</v>
      </c>
      <c r="C2325" s="5">
        <f t="shared" si="73"/>
        <v>9650.9643750000014</v>
      </c>
      <c r="D2325" s="9">
        <v>1</v>
      </c>
      <c r="E2325" s="10" t="s">
        <v>5565</v>
      </c>
      <c r="F2325" s="7" t="s">
        <v>5566</v>
      </c>
      <c r="G2325" s="7" t="s">
        <v>20</v>
      </c>
      <c r="H2325" s="7" t="s">
        <v>5567</v>
      </c>
      <c r="I2325" s="7" t="s">
        <v>14</v>
      </c>
      <c r="J2325" s="11">
        <v>1E-3</v>
      </c>
      <c r="K2325" s="7" t="s">
        <v>23</v>
      </c>
      <c r="L2325" s="4"/>
      <c r="M2325">
        <f t="shared" si="72"/>
        <v>8685.8679375000011</v>
      </c>
      <c r="N2325" s="3"/>
      <c r="O2325" s="3"/>
      <c r="P2325" s="3"/>
      <c r="Q2325" s="2"/>
      <c r="R2325" s="2"/>
      <c r="S2325" s="2"/>
      <c r="T2325" s="2"/>
      <c r="U2325" s="2"/>
      <c r="V2325" s="2"/>
      <c r="W2325" s="2"/>
      <c r="X2325" s="2"/>
      <c r="Y2325" s="2"/>
    </row>
    <row r="2326" spans="1:25" ht="14" x14ac:dyDescent="0.2">
      <c r="A2326" s="4" t="s">
        <v>5083</v>
      </c>
      <c r="B2326" s="5">
        <v>13200.744375000002</v>
      </c>
      <c r="C2326" s="5">
        <f t="shared" si="73"/>
        <v>13200.744375000002</v>
      </c>
      <c r="D2326" s="4">
        <v>1</v>
      </c>
      <c r="E2326" s="5" t="s">
        <v>1212</v>
      </c>
      <c r="F2326" s="4" t="s">
        <v>5084</v>
      </c>
      <c r="G2326" s="4" t="s">
        <v>20</v>
      </c>
      <c r="H2326" s="4" t="s">
        <v>5085</v>
      </c>
      <c r="I2326" s="4" t="s">
        <v>22</v>
      </c>
      <c r="J2326" s="6">
        <v>0.01</v>
      </c>
      <c r="K2326" s="4" t="s">
        <v>74</v>
      </c>
      <c r="M2326">
        <f t="shared" si="72"/>
        <v>11880.669937500003</v>
      </c>
    </row>
    <row r="2327" spans="1:25" ht="14" x14ac:dyDescent="0.2">
      <c r="A2327" s="4" t="s">
        <v>5086</v>
      </c>
      <c r="B2327" s="5">
        <v>6655.8375000000005</v>
      </c>
      <c r="C2327" s="5">
        <f t="shared" si="73"/>
        <v>6655.8375000000005</v>
      </c>
      <c r="D2327" s="4">
        <v>1</v>
      </c>
      <c r="E2327" s="5" t="s">
        <v>1212</v>
      </c>
      <c r="F2327" s="4" t="s">
        <v>5087</v>
      </c>
      <c r="G2327" s="4" t="s">
        <v>20</v>
      </c>
      <c r="H2327" s="4" t="s">
        <v>5087</v>
      </c>
      <c r="I2327" s="4" t="s">
        <v>22</v>
      </c>
      <c r="J2327" s="8">
        <v>2.5000000000000001E-5</v>
      </c>
      <c r="K2327" s="4" t="s">
        <v>74</v>
      </c>
      <c r="M2327">
        <f t="shared" si="72"/>
        <v>5990.2537500000008</v>
      </c>
    </row>
    <row r="2328" spans="1:25" ht="14" x14ac:dyDescent="0.2">
      <c r="A2328" s="4" t="s">
        <v>5088</v>
      </c>
      <c r="B2328" s="5">
        <v>34388.493750000001</v>
      </c>
      <c r="C2328" s="5">
        <f t="shared" si="73"/>
        <v>1146.2831250000002</v>
      </c>
      <c r="D2328" s="4">
        <v>30</v>
      </c>
      <c r="E2328" s="4" t="s">
        <v>257</v>
      </c>
      <c r="F2328" s="4" t="s">
        <v>5088</v>
      </c>
      <c r="G2328" s="4" t="s">
        <v>12</v>
      </c>
      <c r="H2328" s="4" t="s">
        <v>5089</v>
      </c>
      <c r="I2328" s="4" t="s">
        <v>14</v>
      </c>
      <c r="J2328" s="4" t="s">
        <v>5090</v>
      </c>
      <c r="K2328" s="4" t="s">
        <v>219</v>
      </c>
      <c r="M2328">
        <f t="shared" si="72"/>
        <v>1031.6548125000002</v>
      </c>
    </row>
    <row r="2329" spans="1:25" ht="14" x14ac:dyDescent="0.2">
      <c r="A2329" s="4" t="s">
        <v>5091</v>
      </c>
      <c r="B2329" s="5">
        <v>8319.796875</v>
      </c>
      <c r="C2329" s="5">
        <f t="shared" si="73"/>
        <v>831.97968749999995</v>
      </c>
      <c r="D2329" s="4">
        <v>10</v>
      </c>
      <c r="E2329" s="5" t="s">
        <v>10</v>
      </c>
      <c r="F2329" s="4" t="s">
        <v>5092</v>
      </c>
      <c r="G2329" s="4" t="s">
        <v>20</v>
      </c>
      <c r="H2329" s="4" t="s">
        <v>5093</v>
      </c>
      <c r="I2329" s="4" t="s">
        <v>22</v>
      </c>
      <c r="J2329" s="4" t="s">
        <v>200</v>
      </c>
      <c r="K2329" s="4" t="s">
        <v>179</v>
      </c>
      <c r="M2329">
        <f t="shared" si="72"/>
        <v>748.78171874999998</v>
      </c>
    </row>
    <row r="2330" spans="1:25" ht="14" x14ac:dyDescent="0.2">
      <c r="A2330" s="4" t="s">
        <v>5094</v>
      </c>
      <c r="B2330" s="5">
        <v>85043.854350000009</v>
      </c>
      <c r="C2330" s="5">
        <f t="shared" si="73"/>
        <v>1349.90245</v>
      </c>
      <c r="D2330" s="4">
        <v>63</v>
      </c>
      <c r="E2330" s="5" t="s">
        <v>10</v>
      </c>
      <c r="F2330" s="4" t="s">
        <v>5095</v>
      </c>
      <c r="G2330" s="4" t="s">
        <v>12</v>
      </c>
      <c r="H2330" s="4" t="s">
        <v>5096</v>
      </c>
      <c r="I2330" s="4" t="s">
        <v>22</v>
      </c>
      <c r="J2330" s="4" t="s">
        <v>5097</v>
      </c>
      <c r="K2330" s="4" t="s">
        <v>155</v>
      </c>
      <c r="M2330">
        <f t="shared" si="72"/>
        <v>1214.9122050000001</v>
      </c>
    </row>
    <row r="2331" spans="1:25" ht="14" x14ac:dyDescent="0.2">
      <c r="A2331" s="4" t="s">
        <v>5098</v>
      </c>
      <c r="B2331" s="5">
        <v>6838.8730312500011</v>
      </c>
      <c r="C2331" s="5">
        <f t="shared" si="73"/>
        <v>244.24546540178576</v>
      </c>
      <c r="D2331" s="4">
        <v>28</v>
      </c>
      <c r="E2331" s="5" t="s">
        <v>10</v>
      </c>
      <c r="F2331" s="4" t="s">
        <v>5099</v>
      </c>
      <c r="G2331" s="4" t="s">
        <v>12</v>
      </c>
      <c r="H2331" s="4" t="s">
        <v>5100</v>
      </c>
      <c r="I2331" s="4" t="s">
        <v>22</v>
      </c>
      <c r="J2331" s="4" t="s">
        <v>5101</v>
      </c>
      <c r="K2331" s="4" t="s">
        <v>155</v>
      </c>
      <c r="M2331">
        <f t="shared" si="72"/>
        <v>219.8209188616072</v>
      </c>
    </row>
    <row r="2332" spans="1:25" ht="14" x14ac:dyDescent="0.2">
      <c r="A2332" s="4" t="s">
        <v>5102</v>
      </c>
      <c r="B2332" s="5">
        <v>3327.9187500000003</v>
      </c>
      <c r="C2332" s="5">
        <f t="shared" si="73"/>
        <v>33.279187500000006</v>
      </c>
      <c r="D2332" s="4">
        <v>100</v>
      </c>
      <c r="E2332" s="5" t="s">
        <v>10</v>
      </c>
      <c r="F2332" s="4" t="s">
        <v>5103</v>
      </c>
      <c r="G2332" s="4" t="s">
        <v>20</v>
      </c>
      <c r="H2332" s="4" t="s">
        <v>5104</v>
      </c>
      <c r="I2332" s="4" t="s">
        <v>22</v>
      </c>
      <c r="J2332" s="4" t="s">
        <v>47</v>
      </c>
      <c r="K2332" s="4" t="s">
        <v>34</v>
      </c>
      <c r="M2332">
        <f t="shared" si="72"/>
        <v>29.951268750000004</v>
      </c>
    </row>
    <row r="2333" spans="1:25" ht="14" x14ac:dyDescent="0.2">
      <c r="A2333" s="4" t="s">
        <v>5105</v>
      </c>
      <c r="B2333" s="5">
        <v>2440.4737500000001</v>
      </c>
      <c r="C2333" s="5">
        <f t="shared" si="73"/>
        <v>2440.4737500000001</v>
      </c>
      <c r="D2333" s="4">
        <v>1</v>
      </c>
      <c r="E2333" s="5" t="s">
        <v>55</v>
      </c>
      <c r="F2333" s="4" t="s">
        <v>3474</v>
      </c>
      <c r="G2333" s="4" t="s">
        <v>20</v>
      </c>
      <c r="H2333" s="4" t="s">
        <v>5106</v>
      </c>
      <c r="I2333" s="4" t="s">
        <v>22</v>
      </c>
      <c r="J2333" s="4" t="s">
        <v>3543</v>
      </c>
      <c r="K2333" s="4" t="s">
        <v>53</v>
      </c>
      <c r="M2333">
        <f t="shared" ref="M2333:M2369" si="74">C2333-(C2333* 10%)</f>
        <v>2196.426375</v>
      </c>
    </row>
    <row r="2334" spans="1:25" ht="14" x14ac:dyDescent="0.2">
      <c r="A2334" s="4" t="s">
        <v>5107</v>
      </c>
      <c r="B2334" s="5">
        <v>20633.096250000002</v>
      </c>
      <c r="C2334" s="5">
        <f t="shared" si="73"/>
        <v>687.76987500000007</v>
      </c>
      <c r="D2334" s="4">
        <v>30</v>
      </c>
      <c r="E2334" s="5" t="s">
        <v>10</v>
      </c>
      <c r="F2334" s="4" t="s">
        <v>4443</v>
      </c>
      <c r="G2334" s="4" t="s">
        <v>20</v>
      </c>
      <c r="H2334" s="4" t="s">
        <v>5108</v>
      </c>
      <c r="I2334" s="4" t="s">
        <v>22</v>
      </c>
      <c r="J2334" s="4" t="s">
        <v>271</v>
      </c>
      <c r="K2334" s="4" t="s">
        <v>179</v>
      </c>
      <c r="M2334">
        <f t="shared" si="74"/>
        <v>618.99288750000005</v>
      </c>
    </row>
    <row r="2335" spans="1:25" ht="14" x14ac:dyDescent="0.2">
      <c r="A2335" s="4" t="s">
        <v>5109</v>
      </c>
      <c r="B2335" s="5">
        <v>20633.096250000002</v>
      </c>
      <c r="C2335" s="5">
        <f t="shared" si="73"/>
        <v>687.76987500000007</v>
      </c>
      <c r="D2335" s="4">
        <v>30</v>
      </c>
      <c r="E2335" s="5" t="s">
        <v>10</v>
      </c>
      <c r="F2335" s="4" t="s">
        <v>4443</v>
      </c>
      <c r="G2335" s="4" t="s">
        <v>20</v>
      </c>
      <c r="H2335" s="4" t="s">
        <v>5108</v>
      </c>
      <c r="I2335" s="4" t="s">
        <v>22</v>
      </c>
      <c r="J2335" s="4" t="s">
        <v>273</v>
      </c>
      <c r="K2335" s="4" t="s">
        <v>179</v>
      </c>
      <c r="M2335">
        <f t="shared" si="74"/>
        <v>618.99288750000005</v>
      </c>
    </row>
    <row r="2336" spans="1:25" ht="14" x14ac:dyDescent="0.2">
      <c r="A2336" s="4" t="s">
        <v>5110</v>
      </c>
      <c r="B2336" s="5">
        <v>21834.474918750002</v>
      </c>
      <c r="C2336" s="5">
        <f t="shared" si="73"/>
        <v>21834.474918750002</v>
      </c>
      <c r="D2336" s="4">
        <v>1</v>
      </c>
      <c r="E2336" s="5" t="s">
        <v>175</v>
      </c>
      <c r="F2336" s="4" t="s">
        <v>4443</v>
      </c>
      <c r="G2336" s="4" t="s">
        <v>20</v>
      </c>
      <c r="H2336" s="4" t="s">
        <v>5111</v>
      </c>
      <c r="I2336" s="4" t="s">
        <v>22</v>
      </c>
      <c r="J2336" s="4" t="s">
        <v>5112</v>
      </c>
      <c r="K2336" s="4" t="s">
        <v>179</v>
      </c>
      <c r="M2336">
        <f t="shared" si="74"/>
        <v>19651.027426875</v>
      </c>
    </row>
    <row r="2337" spans="1:13" ht="14" x14ac:dyDescent="0.2">
      <c r="A2337" s="4" t="s">
        <v>5113</v>
      </c>
      <c r="B2337" s="5">
        <v>7765.1437500000011</v>
      </c>
      <c r="C2337" s="5">
        <f t="shared" si="73"/>
        <v>7765.1437500000011</v>
      </c>
      <c r="D2337" s="4">
        <v>1</v>
      </c>
      <c r="E2337" s="5" t="s">
        <v>59</v>
      </c>
      <c r="F2337" s="4" t="s">
        <v>4443</v>
      </c>
      <c r="G2337" s="4" t="s">
        <v>20</v>
      </c>
      <c r="H2337" s="4" t="s">
        <v>5108</v>
      </c>
      <c r="I2337" s="4" t="s">
        <v>22</v>
      </c>
      <c r="J2337" s="4" t="s">
        <v>5114</v>
      </c>
      <c r="K2337" s="4" t="s">
        <v>179</v>
      </c>
      <c r="M2337">
        <f t="shared" si="74"/>
        <v>6988.6293750000004</v>
      </c>
    </row>
    <row r="2338" spans="1:13" ht="14" x14ac:dyDescent="0.2">
      <c r="A2338" s="4" t="s">
        <v>5115</v>
      </c>
      <c r="B2338" s="5">
        <v>1774.89</v>
      </c>
      <c r="C2338" s="5">
        <f t="shared" si="73"/>
        <v>177.489</v>
      </c>
      <c r="D2338" s="4">
        <v>10</v>
      </c>
      <c r="E2338" s="5" t="s">
        <v>10</v>
      </c>
      <c r="F2338" s="4" t="s">
        <v>5115</v>
      </c>
      <c r="G2338" s="4" t="s">
        <v>20</v>
      </c>
      <c r="H2338" s="4" t="s">
        <v>5116</v>
      </c>
      <c r="I2338" s="4" t="s">
        <v>22</v>
      </c>
      <c r="J2338" s="4" t="s">
        <v>5117</v>
      </c>
      <c r="K2338" s="4" t="s">
        <v>87</v>
      </c>
      <c r="M2338">
        <f t="shared" si="74"/>
        <v>159.74010000000001</v>
      </c>
    </row>
    <row r="2339" spans="1:13" ht="14" x14ac:dyDescent="0.2">
      <c r="A2339" s="4" t="s">
        <v>5118</v>
      </c>
      <c r="B2339" s="5">
        <v>1138.1482125000002</v>
      </c>
      <c r="C2339" s="5">
        <f t="shared" si="73"/>
        <v>1138.1482125000002</v>
      </c>
      <c r="D2339" s="4">
        <v>1</v>
      </c>
      <c r="E2339" s="5" t="s">
        <v>181</v>
      </c>
      <c r="F2339" s="4" t="s">
        <v>205</v>
      </c>
      <c r="G2339" s="4" t="s">
        <v>20</v>
      </c>
      <c r="H2339" s="4" t="s">
        <v>5119</v>
      </c>
      <c r="I2339" s="4" t="s">
        <v>22</v>
      </c>
      <c r="J2339" s="4" t="s">
        <v>1084</v>
      </c>
      <c r="K2339" s="4" t="s">
        <v>1919</v>
      </c>
      <c r="M2339">
        <f t="shared" si="74"/>
        <v>1024.3333912500002</v>
      </c>
    </row>
    <row r="2340" spans="1:13" ht="14" x14ac:dyDescent="0.2">
      <c r="A2340" s="4" t="s">
        <v>5120</v>
      </c>
      <c r="B2340" s="5">
        <v>1692.8013375000003</v>
      </c>
      <c r="C2340" s="5">
        <f t="shared" si="73"/>
        <v>1692.8013375000003</v>
      </c>
      <c r="D2340" s="4">
        <v>1</v>
      </c>
      <c r="E2340" s="5" t="s">
        <v>10</v>
      </c>
      <c r="F2340" s="4" t="s">
        <v>205</v>
      </c>
      <c r="G2340" s="4" t="s">
        <v>20</v>
      </c>
      <c r="H2340" s="4" t="s">
        <v>5119</v>
      </c>
      <c r="I2340" s="4" t="s">
        <v>22</v>
      </c>
      <c r="J2340" s="4" t="s">
        <v>52</v>
      </c>
      <c r="K2340" s="4" t="s">
        <v>1919</v>
      </c>
      <c r="M2340">
        <f t="shared" si="74"/>
        <v>1523.5212037500003</v>
      </c>
    </row>
    <row r="2341" spans="1:13" ht="14" x14ac:dyDescent="0.2">
      <c r="A2341" s="4" t="s">
        <v>5121</v>
      </c>
      <c r="B2341" s="5">
        <v>20766.213</v>
      </c>
      <c r="C2341" s="5">
        <f t="shared" si="73"/>
        <v>741.65046428571429</v>
      </c>
      <c r="D2341" s="4">
        <v>28</v>
      </c>
      <c r="E2341" s="5" t="s">
        <v>10</v>
      </c>
      <c r="F2341" s="4" t="s">
        <v>5122</v>
      </c>
      <c r="G2341" s="4" t="s">
        <v>12</v>
      </c>
      <c r="H2341" s="4" t="s">
        <v>5121</v>
      </c>
      <c r="I2341" s="4" t="s">
        <v>22</v>
      </c>
      <c r="J2341" s="4" t="s">
        <v>1696</v>
      </c>
      <c r="K2341" s="4" t="s">
        <v>2629</v>
      </c>
      <c r="M2341">
        <f t="shared" si="74"/>
        <v>667.48541785714292</v>
      </c>
    </row>
    <row r="2342" spans="1:13" ht="14" x14ac:dyDescent="0.2">
      <c r="A2342" s="4" t="s">
        <v>5123</v>
      </c>
      <c r="B2342" s="5">
        <v>3106.0575000000003</v>
      </c>
      <c r="C2342" s="5">
        <f t="shared" si="73"/>
        <v>3106.0575000000003</v>
      </c>
      <c r="D2342" s="4">
        <v>1</v>
      </c>
      <c r="E2342" s="5" t="s">
        <v>55</v>
      </c>
      <c r="F2342" s="4" t="s">
        <v>1268</v>
      </c>
      <c r="G2342" s="4" t="s">
        <v>20</v>
      </c>
      <c r="H2342" s="4" t="s">
        <v>5124</v>
      </c>
      <c r="I2342" s="4" t="s">
        <v>22</v>
      </c>
      <c r="J2342" s="4" t="s">
        <v>3411</v>
      </c>
      <c r="K2342" s="4" t="s">
        <v>87</v>
      </c>
      <c r="M2342">
        <f t="shared" si="74"/>
        <v>2795.4517500000002</v>
      </c>
    </row>
    <row r="2343" spans="1:13" ht="14" x14ac:dyDescent="0.2">
      <c r="A2343" s="4" t="s">
        <v>5125</v>
      </c>
      <c r="B2343" s="5">
        <v>5990.2537500000008</v>
      </c>
      <c r="C2343" s="5">
        <f t="shared" si="73"/>
        <v>1996.7512500000003</v>
      </c>
      <c r="D2343" s="4">
        <v>3</v>
      </c>
      <c r="E2343" s="5" t="s">
        <v>30</v>
      </c>
      <c r="F2343" s="4" t="s">
        <v>719</v>
      </c>
      <c r="G2343" s="4" t="s">
        <v>20</v>
      </c>
      <c r="H2343" s="4" t="s">
        <v>5126</v>
      </c>
      <c r="I2343" s="4" t="s">
        <v>22</v>
      </c>
      <c r="J2343" s="4" t="s">
        <v>207</v>
      </c>
      <c r="K2343" s="4" t="s">
        <v>53</v>
      </c>
      <c r="M2343">
        <f t="shared" si="74"/>
        <v>1797.0761250000003</v>
      </c>
    </row>
    <row r="2344" spans="1:13" ht="14" x14ac:dyDescent="0.2">
      <c r="A2344" s="4" t="s">
        <v>5127</v>
      </c>
      <c r="B2344" s="5">
        <v>3771.6412500000001</v>
      </c>
      <c r="C2344" s="5">
        <f t="shared" si="73"/>
        <v>3771.6412500000001</v>
      </c>
      <c r="D2344" s="4">
        <v>1</v>
      </c>
      <c r="E2344" s="5" t="s">
        <v>181</v>
      </c>
      <c r="F2344" s="4" t="s">
        <v>719</v>
      </c>
      <c r="G2344" s="4" t="s">
        <v>20</v>
      </c>
      <c r="H2344" s="4" t="s">
        <v>5126</v>
      </c>
      <c r="I2344" s="4" t="s">
        <v>22</v>
      </c>
      <c r="J2344" s="4" t="s">
        <v>132</v>
      </c>
      <c r="K2344" s="4" t="s">
        <v>53</v>
      </c>
      <c r="M2344">
        <f t="shared" si="74"/>
        <v>3394.4771250000003</v>
      </c>
    </row>
    <row r="2345" spans="1:13" ht="14" x14ac:dyDescent="0.2">
      <c r="A2345" s="4" t="s">
        <v>5128</v>
      </c>
      <c r="B2345" s="5">
        <v>798.70050000000003</v>
      </c>
      <c r="C2345" s="5">
        <f t="shared" si="73"/>
        <v>79.870050000000006</v>
      </c>
      <c r="D2345" s="4">
        <v>10</v>
      </c>
      <c r="E2345" s="5" t="s">
        <v>10</v>
      </c>
      <c r="F2345" s="4" t="s">
        <v>5128</v>
      </c>
      <c r="G2345" s="4" t="s">
        <v>20</v>
      </c>
      <c r="H2345" s="4" t="s">
        <v>5129</v>
      </c>
      <c r="I2345" s="4" t="s">
        <v>22</v>
      </c>
      <c r="J2345" s="4" t="s">
        <v>1696</v>
      </c>
      <c r="K2345" s="4" t="s">
        <v>34</v>
      </c>
      <c r="M2345">
        <f t="shared" si="74"/>
        <v>71.88304500000001</v>
      </c>
    </row>
    <row r="2346" spans="1:13" ht="14" x14ac:dyDescent="0.2">
      <c r="A2346" s="4" t="s">
        <v>5130</v>
      </c>
      <c r="B2346" s="5">
        <v>8818.9846875000003</v>
      </c>
      <c r="C2346" s="5">
        <f t="shared" si="73"/>
        <v>8818.9846875000003</v>
      </c>
      <c r="D2346" s="4">
        <v>1</v>
      </c>
      <c r="E2346" s="4" t="s">
        <v>55</v>
      </c>
      <c r="F2346" s="4" t="s">
        <v>5130</v>
      </c>
      <c r="G2346" s="4" t="s">
        <v>20</v>
      </c>
      <c r="H2346" s="4" t="s">
        <v>5131</v>
      </c>
      <c r="I2346" s="4" t="s">
        <v>22</v>
      </c>
      <c r="J2346" s="6">
        <v>0.06</v>
      </c>
      <c r="K2346" s="4" t="s">
        <v>23</v>
      </c>
      <c r="M2346">
        <f t="shared" si="74"/>
        <v>7937.0862187500006</v>
      </c>
    </row>
    <row r="2347" spans="1:13" ht="14" x14ac:dyDescent="0.2">
      <c r="A2347" s="4" t="s">
        <v>5132</v>
      </c>
      <c r="B2347" s="5">
        <v>3882.5718750000005</v>
      </c>
      <c r="C2347" s="5">
        <f t="shared" si="73"/>
        <v>38.825718750000007</v>
      </c>
      <c r="D2347" s="4">
        <v>100</v>
      </c>
      <c r="E2347" s="4" t="s">
        <v>10</v>
      </c>
      <c r="F2347" s="4" t="s">
        <v>5132</v>
      </c>
      <c r="G2347" s="4" t="s">
        <v>20</v>
      </c>
      <c r="H2347" s="4" t="s">
        <v>5133</v>
      </c>
      <c r="I2347" s="4" t="s">
        <v>22</v>
      </c>
      <c r="J2347" s="4" t="s">
        <v>148</v>
      </c>
      <c r="K2347" s="4" t="s">
        <v>34</v>
      </c>
      <c r="M2347">
        <f t="shared" si="74"/>
        <v>34.943146875000004</v>
      </c>
    </row>
    <row r="2348" spans="1:13" ht="14" x14ac:dyDescent="0.2">
      <c r="A2348" s="4" t="s">
        <v>5568</v>
      </c>
      <c r="B2348" s="5">
        <v>5324.67</v>
      </c>
      <c r="C2348" s="5">
        <f t="shared" si="73"/>
        <v>5324.67</v>
      </c>
      <c r="D2348" s="4">
        <v>1</v>
      </c>
      <c r="E2348" s="4" t="s">
        <v>175</v>
      </c>
      <c r="F2348" s="4" t="s">
        <v>5569</v>
      </c>
      <c r="G2348" s="4" t="s">
        <v>20</v>
      </c>
      <c r="H2348" s="4" t="s">
        <v>5570</v>
      </c>
      <c r="I2348" s="4" t="s">
        <v>22</v>
      </c>
      <c r="J2348" s="4" t="s">
        <v>25</v>
      </c>
      <c r="K2348" s="4" t="s">
        <v>244</v>
      </c>
      <c r="M2348">
        <f t="shared" si="74"/>
        <v>4792.2030000000004</v>
      </c>
    </row>
    <row r="2349" spans="1:13" ht="14" x14ac:dyDescent="0.2">
      <c r="A2349" s="4" t="s">
        <v>5134</v>
      </c>
      <c r="B2349" s="5">
        <v>26179.627500000002</v>
      </c>
      <c r="C2349" s="5">
        <f t="shared" si="73"/>
        <v>2617.9627500000001</v>
      </c>
      <c r="D2349" s="4">
        <v>10</v>
      </c>
      <c r="E2349" s="5" t="s">
        <v>10</v>
      </c>
      <c r="F2349" s="4" t="s">
        <v>250</v>
      </c>
      <c r="G2349" s="4" t="s">
        <v>20</v>
      </c>
      <c r="H2349" s="4" t="s">
        <v>5135</v>
      </c>
      <c r="I2349" s="4" t="s">
        <v>14</v>
      </c>
      <c r="J2349" s="4" t="s">
        <v>67</v>
      </c>
      <c r="K2349" s="4" t="s">
        <v>53</v>
      </c>
      <c r="M2349">
        <f t="shared" si="74"/>
        <v>2356.166475</v>
      </c>
    </row>
    <row r="2350" spans="1:13" ht="14" x14ac:dyDescent="0.2">
      <c r="A2350" s="4" t="s">
        <v>5136</v>
      </c>
      <c r="B2350" s="5">
        <v>39491.302500000005</v>
      </c>
      <c r="C2350" s="5">
        <f t="shared" si="73"/>
        <v>3949.1302500000006</v>
      </c>
      <c r="D2350" s="4">
        <v>10</v>
      </c>
      <c r="E2350" s="5" t="s">
        <v>10</v>
      </c>
      <c r="F2350" s="4" t="s">
        <v>250</v>
      </c>
      <c r="G2350" s="4" t="s">
        <v>20</v>
      </c>
      <c r="H2350" s="4" t="s">
        <v>5135</v>
      </c>
      <c r="I2350" s="4" t="s">
        <v>14</v>
      </c>
      <c r="J2350" s="4" t="s">
        <v>207</v>
      </c>
      <c r="K2350" s="4" t="s">
        <v>53</v>
      </c>
      <c r="M2350">
        <f t="shared" si="74"/>
        <v>3554.2172250000003</v>
      </c>
    </row>
    <row r="2351" spans="1:13" ht="14" x14ac:dyDescent="0.2">
      <c r="A2351" s="4" t="s">
        <v>5137</v>
      </c>
      <c r="B2351" s="5">
        <v>13648.9041</v>
      </c>
      <c r="C2351" s="5">
        <f t="shared" si="73"/>
        <v>13648.9041</v>
      </c>
      <c r="D2351" s="4">
        <v>1</v>
      </c>
      <c r="E2351" s="5" t="s">
        <v>124</v>
      </c>
      <c r="F2351" s="4" t="s">
        <v>250</v>
      </c>
      <c r="G2351" s="4" t="s">
        <v>20</v>
      </c>
      <c r="H2351" s="4" t="s">
        <v>5135</v>
      </c>
      <c r="I2351" s="4" t="s">
        <v>14</v>
      </c>
      <c r="J2351" s="4" t="s">
        <v>1101</v>
      </c>
      <c r="K2351" s="4" t="s">
        <v>53</v>
      </c>
      <c r="M2351">
        <f t="shared" si="74"/>
        <v>12284.01369</v>
      </c>
    </row>
    <row r="2352" spans="1:13" ht="14" x14ac:dyDescent="0.2">
      <c r="A2352" s="4" t="s">
        <v>5138</v>
      </c>
      <c r="B2352" s="5">
        <v>18303.553125000002</v>
      </c>
      <c r="C2352" s="5">
        <f t="shared" si="73"/>
        <v>18303.553125000002</v>
      </c>
      <c r="D2352" s="4">
        <v>1</v>
      </c>
      <c r="E2352" s="5" t="s">
        <v>181</v>
      </c>
      <c r="F2352" s="4" t="s">
        <v>2727</v>
      </c>
      <c r="G2352" s="4" t="s">
        <v>20</v>
      </c>
      <c r="H2352" s="4" t="s">
        <v>5139</v>
      </c>
      <c r="I2352" s="4" t="s">
        <v>14</v>
      </c>
      <c r="J2352" s="4" t="s">
        <v>260</v>
      </c>
      <c r="K2352" s="4" t="s">
        <v>53</v>
      </c>
      <c r="M2352">
        <f t="shared" si="74"/>
        <v>16473.197812500002</v>
      </c>
    </row>
    <row r="2353" spans="1:25" ht="14" x14ac:dyDescent="0.2">
      <c r="A2353" s="4" t="s">
        <v>5140</v>
      </c>
      <c r="B2353" s="5">
        <v>14975.634375000001</v>
      </c>
      <c r="C2353" s="5">
        <f t="shared" si="73"/>
        <v>14975.634375000001</v>
      </c>
      <c r="D2353" s="4">
        <v>1</v>
      </c>
      <c r="E2353" s="5" t="s">
        <v>181</v>
      </c>
      <c r="F2353" s="4" t="s">
        <v>2727</v>
      </c>
      <c r="G2353" s="4" t="s">
        <v>20</v>
      </c>
      <c r="H2353" s="4" t="s">
        <v>5139</v>
      </c>
      <c r="I2353" s="4" t="s">
        <v>14</v>
      </c>
      <c r="J2353" s="4" t="s">
        <v>260</v>
      </c>
      <c r="K2353" s="4" t="s">
        <v>53</v>
      </c>
      <c r="M2353">
        <f t="shared" si="74"/>
        <v>13478.070937500001</v>
      </c>
    </row>
    <row r="2354" spans="1:25" ht="14" x14ac:dyDescent="0.2">
      <c r="A2354" s="4" t="s">
        <v>5141</v>
      </c>
      <c r="B2354" s="5">
        <v>17748.900000000001</v>
      </c>
      <c r="C2354" s="5">
        <f t="shared" si="73"/>
        <v>2958.15</v>
      </c>
      <c r="D2354" s="4">
        <v>6</v>
      </c>
      <c r="E2354" s="5" t="s">
        <v>30</v>
      </c>
      <c r="F2354" s="4" t="s">
        <v>719</v>
      </c>
      <c r="G2354" s="4" t="s">
        <v>20</v>
      </c>
      <c r="H2354" s="4" t="s">
        <v>5142</v>
      </c>
      <c r="I2354" s="4" t="s">
        <v>14</v>
      </c>
      <c r="J2354" s="4" t="s">
        <v>67</v>
      </c>
      <c r="K2354" s="4" t="s">
        <v>53</v>
      </c>
      <c r="M2354">
        <f t="shared" si="74"/>
        <v>2662.335</v>
      </c>
    </row>
    <row r="2355" spans="1:25" ht="14" x14ac:dyDescent="0.2">
      <c r="A2355" s="4" t="s">
        <v>5143</v>
      </c>
      <c r="B2355" s="5">
        <v>17748.900000000001</v>
      </c>
      <c r="C2355" s="5">
        <f t="shared" si="73"/>
        <v>739.53750000000002</v>
      </c>
      <c r="D2355" s="4">
        <v>24</v>
      </c>
      <c r="E2355" s="5" t="s">
        <v>30</v>
      </c>
      <c r="F2355" s="4" t="s">
        <v>719</v>
      </c>
      <c r="G2355" s="4" t="s">
        <v>20</v>
      </c>
      <c r="H2355" s="4" t="s">
        <v>5142</v>
      </c>
      <c r="I2355" s="4" t="s">
        <v>14</v>
      </c>
      <c r="J2355" s="4" t="s">
        <v>67</v>
      </c>
      <c r="K2355" s="4" t="s">
        <v>53</v>
      </c>
      <c r="M2355">
        <f t="shared" si="74"/>
        <v>665.58375000000001</v>
      </c>
    </row>
    <row r="2356" spans="1:25" ht="14" x14ac:dyDescent="0.2">
      <c r="A2356" s="4" t="s">
        <v>5144</v>
      </c>
      <c r="B2356" s="5">
        <v>10982.131875000001</v>
      </c>
      <c r="C2356" s="5">
        <f t="shared" si="73"/>
        <v>10982.131875000001</v>
      </c>
      <c r="D2356" s="4">
        <v>1</v>
      </c>
      <c r="E2356" s="5" t="s">
        <v>181</v>
      </c>
      <c r="F2356" s="4" t="s">
        <v>716</v>
      </c>
      <c r="G2356" s="4" t="s">
        <v>20</v>
      </c>
      <c r="H2356" s="4" t="s">
        <v>5145</v>
      </c>
      <c r="I2356" s="4" t="s">
        <v>14</v>
      </c>
      <c r="J2356" s="4" t="s">
        <v>1094</v>
      </c>
      <c r="K2356" s="4" t="s">
        <v>53</v>
      </c>
      <c r="M2356">
        <f t="shared" si="74"/>
        <v>9883.9186875000014</v>
      </c>
    </row>
    <row r="2357" spans="1:25" ht="14" x14ac:dyDescent="0.2">
      <c r="A2357" s="4" t="s">
        <v>5146</v>
      </c>
      <c r="B2357" s="5">
        <v>327245.34375</v>
      </c>
      <c r="C2357" s="5">
        <f t="shared" si="73"/>
        <v>327245.34375</v>
      </c>
      <c r="D2357" s="4">
        <v>1</v>
      </c>
      <c r="E2357" s="5" t="s">
        <v>124</v>
      </c>
      <c r="F2357" s="4" t="s">
        <v>5147</v>
      </c>
      <c r="G2357" s="4" t="s">
        <v>12</v>
      </c>
      <c r="H2357" s="4" t="s">
        <v>5148</v>
      </c>
      <c r="I2357" s="4" t="s">
        <v>14</v>
      </c>
      <c r="J2357" s="4" t="s">
        <v>5149</v>
      </c>
      <c r="K2357" s="4" t="s">
        <v>68</v>
      </c>
      <c r="M2357">
        <f t="shared" si="74"/>
        <v>294520.80937500001</v>
      </c>
    </row>
    <row r="2358" spans="1:25" ht="14" x14ac:dyDescent="0.2">
      <c r="A2358" s="7" t="s">
        <v>5571</v>
      </c>
      <c r="B2358" s="10">
        <v>13311.675000000001</v>
      </c>
      <c r="C2358" s="5">
        <f t="shared" si="73"/>
        <v>121.01522727272729</v>
      </c>
      <c r="D2358" s="9">
        <v>110</v>
      </c>
      <c r="E2358" s="10" t="s">
        <v>5193</v>
      </c>
      <c r="F2358" s="7" t="s">
        <v>5269</v>
      </c>
      <c r="G2358" s="7" t="s">
        <v>12</v>
      </c>
      <c r="H2358" s="7" t="s">
        <v>5572</v>
      </c>
      <c r="I2358" s="7" t="s">
        <v>22</v>
      </c>
      <c r="J2358" s="7" t="s">
        <v>67</v>
      </c>
      <c r="K2358" s="7" t="s">
        <v>90</v>
      </c>
      <c r="L2358" s="4"/>
      <c r="M2358">
        <f t="shared" si="74"/>
        <v>108.91370454545455</v>
      </c>
      <c r="N2358" s="3"/>
      <c r="O2358" s="3"/>
      <c r="P2358" s="3"/>
      <c r="Q2358" s="2"/>
      <c r="R2358" s="2"/>
      <c r="S2358" s="2"/>
      <c r="T2358" s="2"/>
      <c r="U2358" s="2"/>
      <c r="V2358" s="2"/>
      <c r="W2358" s="2"/>
      <c r="X2358" s="2"/>
      <c r="Y2358" s="2"/>
    </row>
    <row r="2359" spans="1:25" ht="14" x14ac:dyDescent="0.2">
      <c r="A2359" s="4" t="s">
        <v>5150</v>
      </c>
      <c r="B2359" s="5">
        <v>29840.338125000002</v>
      </c>
      <c r="C2359" s="5">
        <f t="shared" si="73"/>
        <v>29840.338125000002</v>
      </c>
      <c r="D2359" s="4">
        <v>1</v>
      </c>
      <c r="E2359" s="4" t="s">
        <v>124</v>
      </c>
      <c r="F2359" s="4" t="s">
        <v>5150</v>
      </c>
      <c r="G2359" s="4" t="s">
        <v>12</v>
      </c>
      <c r="H2359" s="4" t="s">
        <v>5151</v>
      </c>
      <c r="I2359" s="4" t="s">
        <v>22</v>
      </c>
      <c r="J2359" s="4" t="s">
        <v>5152</v>
      </c>
      <c r="K2359" s="4" t="s">
        <v>219</v>
      </c>
      <c r="M2359">
        <f t="shared" si="74"/>
        <v>26856.3043125</v>
      </c>
    </row>
    <row r="2360" spans="1:25" ht="14" x14ac:dyDescent="0.2">
      <c r="A2360" s="7" t="s">
        <v>5573</v>
      </c>
      <c r="B2360" s="10">
        <v>26512.419375000001</v>
      </c>
      <c r="C2360" s="5">
        <f t="shared" si="73"/>
        <v>946.87212053571432</v>
      </c>
      <c r="D2360" s="9">
        <v>28</v>
      </c>
      <c r="E2360" s="10" t="s">
        <v>5189</v>
      </c>
      <c r="F2360" s="7" t="s">
        <v>5154</v>
      </c>
      <c r="G2360" s="7" t="s">
        <v>12</v>
      </c>
      <c r="H2360" s="7" t="s">
        <v>5574</v>
      </c>
      <c r="I2360" s="7" t="s">
        <v>22</v>
      </c>
      <c r="J2360" s="7" t="s">
        <v>1696</v>
      </c>
      <c r="K2360" s="7" t="s">
        <v>227</v>
      </c>
      <c r="L2360" s="4"/>
      <c r="M2360">
        <f t="shared" si="74"/>
        <v>852.18490848214287</v>
      </c>
      <c r="N2360" s="3"/>
      <c r="O2360" s="3"/>
      <c r="P2360" s="3"/>
      <c r="Q2360" s="2"/>
      <c r="R2360" s="2"/>
      <c r="S2360" s="2"/>
      <c r="T2360" s="2"/>
      <c r="U2360" s="2"/>
      <c r="V2360" s="2"/>
      <c r="W2360" s="2"/>
      <c r="X2360" s="2"/>
      <c r="Y2360" s="2"/>
    </row>
    <row r="2361" spans="1:25" ht="14" x14ac:dyDescent="0.2">
      <c r="A2361" s="4" t="s">
        <v>5153</v>
      </c>
      <c r="B2361" s="5">
        <v>23850.084375000002</v>
      </c>
      <c r="C2361" s="5">
        <f t="shared" si="73"/>
        <v>851.78872767857149</v>
      </c>
      <c r="D2361" s="4">
        <v>28</v>
      </c>
      <c r="E2361" s="5" t="s">
        <v>10</v>
      </c>
      <c r="F2361" s="4" t="s">
        <v>5154</v>
      </c>
      <c r="G2361" s="4" t="s">
        <v>12</v>
      </c>
      <c r="H2361" s="4" t="s">
        <v>5154</v>
      </c>
      <c r="I2361" s="4" t="s">
        <v>22</v>
      </c>
      <c r="J2361" s="4" t="s">
        <v>5155</v>
      </c>
      <c r="K2361" s="4" t="s">
        <v>227</v>
      </c>
      <c r="M2361">
        <f t="shared" si="74"/>
        <v>766.60985491071438</v>
      </c>
    </row>
    <row r="2362" spans="1:25" ht="14" x14ac:dyDescent="0.2">
      <c r="A2362" s="4" t="s">
        <v>5156</v>
      </c>
      <c r="B2362" s="5">
        <v>35423.846250000002</v>
      </c>
      <c r="C2362" s="5">
        <f t="shared" si="73"/>
        <v>885.59615625000004</v>
      </c>
      <c r="D2362" s="4">
        <v>40</v>
      </c>
      <c r="E2362" s="5" t="s">
        <v>10</v>
      </c>
      <c r="F2362" s="4" t="s">
        <v>5154</v>
      </c>
      <c r="G2362" s="4" t="s">
        <v>12</v>
      </c>
      <c r="H2362" s="4" t="s">
        <v>5157</v>
      </c>
      <c r="I2362" s="4" t="s">
        <v>22</v>
      </c>
      <c r="J2362" s="4" t="s">
        <v>1521</v>
      </c>
      <c r="K2362" s="4" t="s">
        <v>227</v>
      </c>
      <c r="M2362">
        <f t="shared" si="74"/>
        <v>797.03654062500004</v>
      </c>
    </row>
    <row r="2363" spans="1:25" ht="14" x14ac:dyDescent="0.2">
      <c r="A2363" s="4" t="s">
        <v>5158</v>
      </c>
      <c r="B2363" s="5">
        <v>7654.2131250000011</v>
      </c>
      <c r="C2363" s="5">
        <f t="shared" si="73"/>
        <v>7654.2131250000011</v>
      </c>
      <c r="D2363" s="4">
        <v>1</v>
      </c>
      <c r="E2363" s="5" t="s">
        <v>142</v>
      </c>
      <c r="F2363" s="4" t="s">
        <v>92</v>
      </c>
      <c r="G2363" s="4" t="s">
        <v>20</v>
      </c>
      <c r="H2363" s="4" t="s">
        <v>5159</v>
      </c>
      <c r="I2363" s="4" t="s">
        <v>22</v>
      </c>
      <c r="J2363" s="4" t="s">
        <v>5160</v>
      </c>
      <c r="K2363" s="4" t="s">
        <v>48</v>
      </c>
      <c r="M2363">
        <f t="shared" si="74"/>
        <v>6888.7918125000015</v>
      </c>
    </row>
    <row r="2364" spans="1:25" ht="14" x14ac:dyDescent="0.2">
      <c r="A2364" s="4" t="s">
        <v>5161</v>
      </c>
      <c r="B2364" s="5">
        <v>13391.545050000001</v>
      </c>
      <c r="C2364" s="5">
        <f t="shared" si="73"/>
        <v>478.26946607142861</v>
      </c>
      <c r="D2364" s="4">
        <v>28</v>
      </c>
      <c r="E2364" s="5" t="s">
        <v>10</v>
      </c>
      <c r="F2364" s="4" t="s">
        <v>237</v>
      </c>
      <c r="G2364" s="4" t="s">
        <v>12</v>
      </c>
      <c r="H2364" s="4" t="s">
        <v>5162</v>
      </c>
      <c r="I2364" s="4" t="s">
        <v>22</v>
      </c>
      <c r="J2364" s="4" t="s">
        <v>140</v>
      </c>
      <c r="K2364" s="4" t="s">
        <v>219</v>
      </c>
      <c r="M2364">
        <f t="shared" si="74"/>
        <v>430.44251946428574</v>
      </c>
    </row>
    <row r="2365" spans="1:25" ht="14" x14ac:dyDescent="0.2">
      <c r="A2365" s="4" t="s">
        <v>5163</v>
      </c>
      <c r="B2365" s="5">
        <v>15086.565000000001</v>
      </c>
      <c r="C2365" s="5">
        <f t="shared" si="73"/>
        <v>538.80589285714291</v>
      </c>
      <c r="D2365" s="4">
        <v>28</v>
      </c>
      <c r="E2365" s="5" t="s">
        <v>10</v>
      </c>
      <c r="F2365" s="4" t="s">
        <v>237</v>
      </c>
      <c r="G2365" s="4" t="s">
        <v>12</v>
      </c>
      <c r="H2365" s="4" t="s">
        <v>5162</v>
      </c>
      <c r="I2365" s="4" t="s">
        <v>14</v>
      </c>
      <c r="J2365" s="4" t="s">
        <v>140</v>
      </c>
      <c r="K2365" s="4" t="s">
        <v>219</v>
      </c>
      <c r="M2365">
        <f t="shared" si="74"/>
        <v>484.92530357142863</v>
      </c>
    </row>
    <row r="2366" spans="1:25" ht="14" x14ac:dyDescent="0.2">
      <c r="A2366" s="4" t="s">
        <v>5164</v>
      </c>
      <c r="B2366" s="5">
        <v>15938.512200000001</v>
      </c>
      <c r="C2366" s="5">
        <f t="shared" si="73"/>
        <v>569.23257857142858</v>
      </c>
      <c r="D2366" s="4">
        <v>28</v>
      </c>
      <c r="E2366" s="5" t="s">
        <v>10</v>
      </c>
      <c r="F2366" s="4" t="s">
        <v>237</v>
      </c>
      <c r="G2366" s="4" t="s">
        <v>12</v>
      </c>
      <c r="H2366" s="4" t="s">
        <v>5162</v>
      </c>
      <c r="I2366" s="4" t="s">
        <v>22</v>
      </c>
      <c r="J2366" s="4" t="s">
        <v>47</v>
      </c>
      <c r="K2366" s="4" t="s">
        <v>219</v>
      </c>
      <c r="M2366">
        <f t="shared" si="74"/>
        <v>512.30932071428572</v>
      </c>
    </row>
    <row r="2367" spans="1:25" ht="14" x14ac:dyDescent="0.2">
      <c r="A2367" s="4" t="s">
        <v>5165</v>
      </c>
      <c r="B2367" s="5">
        <v>5324.67</v>
      </c>
      <c r="C2367" s="5">
        <f t="shared" si="73"/>
        <v>106.49340000000001</v>
      </c>
      <c r="D2367" s="4">
        <v>50</v>
      </c>
      <c r="E2367" s="5" t="s">
        <v>10</v>
      </c>
      <c r="F2367" s="4" t="s">
        <v>5166</v>
      </c>
      <c r="G2367" s="4" t="s">
        <v>20</v>
      </c>
      <c r="H2367" s="4" t="s">
        <v>5167</v>
      </c>
      <c r="I2367" s="4" t="s">
        <v>22</v>
      </c>
      <c r="J2367" s="4" t="s">
        <v>146</v>
      </c>
      <c r="K2367" s="4" t="s">
        <v>179</v>
      </c>
      <c r="M2367">
        <f t="shared" si="74"/>
        <v>95.844060000000013</v>
      </c>
    </row>
    <row r="2368" spans="1:25" ht="14" x14ac:dyDescent="0.2">
      <c r="A2368" s="4" t="s">
        <v>5168</v>
      </c>
      <c r="B2368" s="5">
        <v>4426.1319375000003</v>
      </c>
      <c r="C2368" s="5">
        <f t="shared" si="73"/>
        <v>4426.1319375000003</v>
      </c>
      <c r="D2368" s="4">
        <v>1</v>
      </c>
      <c r="E2368" s="5" t="s">
        <v>59</v>
      </c>
      <c r="F2368" s="4" t="s">
        <v>5166</v>
      </c>
      <c r="G2368" s="4" t="s">
        <v>20</v>
      </c>
      <c r="H2368" s="4" t="s">
        <v>5167</v>
      </c>
      <c r="I2368" s="4" t="s">
        <v>22</v>
      </c>
      <c r="J2368" s="4" t="s">
        <v>62</v>
      </c>
      <c r="K2368" s="4" t="s">
        <v>179</v>
      </c>
      <c r="M2368">
        <f t="shared" si="74"/>
        <v>3983.5187437500003</v>
      </c>
    </row>
    <row r="2369" spans="1:13" ht="14" x14ac:dyDescent="0.2">
      <c r="A2369" s="4" t="s">
        <v>5575</v>
      </c>
      <c r="B2369" s="5">
        <v>2095479.5062500001</v>
      </c>
      <c r="C2369" s="5">
        <f t="shared" si="73"/>
        <v>34924.658437500002</v>
      </c>
      <c r="D2369" s="4">
        <v>60</v>
      </c>
      <c r="E2369" s="5" t="s">
        <v>10</v>
      </c>
      <c r="F2369" s="4" t="s">
        <v>5576</v>
      </c>
      <c r="G2369" s="4" t="s">
        <v>12</v>
      </c>
      <c r="H2369" s="4" t="s">
        <v>5577</v>
      </c>
      <c r="I2369" s="4" t="s">
        <v>14</v>
      </c>
      <c r="J2369" s="4" t="s">
        <v>3193</v>
      </c>
      <c r="K2369" s="4" t="s">
        <v>5079</v>
      </c>
      <c r="M2369">
        <f t="shared" si="74"/>
        <v>31432.192593750002</v>
      </c>
    </row>
    <row r="2370" spans="1:13" ht="14" x14ac:dyDescent="0.2">
      <c r="C2370" s="5"/>
      <c r="E2370" s="5"/>
    </row>
    <row r="2371" spans="1:13" ht="14" x14ac:dyDescent="0.2">
      <c r="C2371" s="5"/>
      <c r="E2371" s="5"/>
    </row>
    <row r="2372" spans="1:13" ht="14" x14ac:dyDescent="0.2">
      <c r="C2372" s="5"/>
      <c r="E2372" s="5"/>
    </row>
    <row r="2373" spans="1:13" ht="14" x14ac:dyDescent="0.2">
      <c r="C2373" s="5"/>
      <c r="E2373" s="5"/>
    </row>
    <row r="2374" spans="1:13" ht="14" x14ac:dyDescent="0.2">
      <c r="C2374" s="5"/>
      <c r="E2374" s="5"/>
    </row>
    <row r="2375" spans="1:13" ht="14" x14ac:dyDescent="0.2">
      <c r="C2375" s="5"/>
      <c r="E2375" s="5"/>
    </row>
    <row r="2376" spans="1:13" ht="14" x14ac:dyDescent="0.2">
      <c r="C2376" s="5"/>
      <c r="E2376" s="5"/>
    </row>
    <row r="2377" spans="1:13" ht="14" x14ac:dyDescent="0.2">
      <c r="C2377" s="5"/>
      <c r="E2377" s="5"/>
    </row>
    <row r="2378" spans="1:13" ht="14" x14ac:dyDescent="0.2">
      <c r="C2378" s="5"/>
      <c r="E2378" s="5"/>
    </row>
    <row r="2379" spans="1:13" ht="14" x14ac:dyDescent="0.2">
      <c r="C2379" s="5"/>
      <c r="E2379" s="5"/>
    </row>
    <row r="2380" spans="1:13" ht="14" x14ac:dyDescent="0.2">
      <c r="C2380" s="5"/>
      <c r="E2380" s="5"/>
    </row>
    <row r="2381" spans="1:13" ht="14" x14ac:dyDescent="0.2">
      <c r="C2381" s="5"/>
      <c r="E2381" s="5"/>
    </row>
    <row r="2382" spans="1:13" ht="14" x14ac:dyDescent="0.2">
      <c r="C2382" s="5"/>
      <c r="E2382" s="5"/>
    </row>
    <row r="2383" spans="1:13" ht="14" x14ac:dyDescent="0.2">
      <c r="C2383" s="5"/>
      <c r="E2383" s="5"/>
    </row>
    <row r="2384" spans="1:13" ht="14" x14ac:dyDescent="0.2">
      <c r="C2384" s="5"/>
      <c r="E2384" s="5"/>
    </row>
    <row r="2385" spans="3:5" ht="14" x14ac:dyDescent="0.2">
      <c r="C2385" s="5"/>
      <c r="E2385" s="5"/>
    </row>
    <row r="2386" spans="3:5" ht="14" x14ac:dyDescent="0.2">
      <c r="C2386" s="5"/>
      <c r="E2386" s="5"/>
    </row>
    <row r="2387" spans="3:5" ht="14" x14ac:dyDescent="0.2">
      <c r="C2387" s="5"/>
      <c r="E2387" s="5"/>
    </row>
    <row r="2388" spans="3:5" ht="14" x14ac:dyDescent="0.2">
      <c r="C2388" s="5"/>
      <c r="E2388" s="5"/>
    </row>
    <row r="2389" spans="3:5" ht="14" x14ac:dyDescent="0.2">
      <c r="C2389" s="5"/>
      <c r="E2389" s="5"/>
    </row>
    <row r="2390" spans="3:5" ht="14" x14ac:dyDescent="0.2">
      <c r="C2390" s="5"/>
      <c r="E2390" s="5"/>
    </row>
    <row r="2391" spans="3:5" ht="14" x14ac:dyDescent="0.2">
      <c r="C2391" s="5"/>
      <c r="E2391" s="5"/>
    </row>
    <row r="2392" spans="3:5" ht="14" x14ac:dyDescent="0.2">
      <c r="C2392" s="5"/>
      <c r="E2392" s="5"/>
    </row>
    <row r="2393" spans="3:5" ht="14" x14ac:dyDescent="0.2">
      <c r="C2393" s="5"/>
      <c r="E2393" s="5"/>
    </row>
    <row r="2394" spans="3:5" ht="14" x14ac:dyDescent="0.2">
      <c r="C2394" s="5"/>
      <c r="E2394" s="5"/>
    </row>
    <row r="2395" spans="3:5" ht="14" x14ac:dyDescent="0.2">
      <c r="C2395" s="5"/>
      <c r="E2395" s="5"/>
    </row>
    <row r="2396" spans="3:5" ht="14" x14ac:dyDescent="0.2">
      <c r="C2396" s="5"/>
      <c r="E2396" s="5"/>
    </row>
    <row r="2397" spans="3:5" ht="14" x14ac:dyDescent="0.2">
      <c r="C2397" s="5"/>
      <c r="E2397" s="5"/>
    </row>
    <row r="2398" spans="3:5" ht="14" x14ac:dyDescent="0.2">
      <c r="C2398" s="5"/>
      <c r="E2398" s="5"/>
    </row>
    <row r="2399" spans="3:5" ht="14" x14ac:dyDescent="0.2">
      <c r="C2399" s="5"/>
      <c r="E2399" s="5"/>
    </row>
    <row r="2400" spans="3:5" ht="14" x14ac:dyDescent="0.2">
      <c r="C2400" s="5"/>
      <c r="E2400" s="5"/>
    </row>
    <row r="2401" spans="3:5" ht="14" x14ac:dyDescent="0.2">
      <c r="C2401" s="5"/>
      <c r="E2401" s="5"/>
    </row>
    <row r="2402" spans="3:5" ht="14" x14ac:dyDescent="0.2">
      <c r="C2402" s="5"/>
      <c r="E2402" s="5"/>
    </row>
    <row r="2403" spans="3:5" ht="14" x14ac:dyDescent="0.2">
      <c r="C2403" s="5"/>
      <c r="E2403" s="5"/>
    </row>
    <row r="2404" spans="3:5" ht="14" x14ac:dyDescent="0.2">
      <c r="C2404" s="5"/>
      <c r="E2404" s="5"/>
    </row>
    <row r="2405" spans="3:5" ht="14" x14ac:dyDescent="0.2">
      <c r="C2405" s="5"/>
      <c r="E2405" s="5"/>
    </row>
    <row r="2406" spans="3:5" ht="14" x14ac:dyDescent="0.2">
      <c r="C2406" s="5"/>
      <c r="E2406" s="5"/>
    </row>
    <row r="2407" spans="3:5" ht="14" x14ac:dyDescent="0.2">
      <c r="C2407" s="5"/>
      <c r="E2407" s="5"/>
    </row>
    <row r="2408" spans="3:5" ht="14" x14ac:dyDescent="0.2">
      <c r="C2408" s="5"/>
      <c r="E2408" s="5"/>
    </row>
    <row r="2409" spans="3:5" ht="14" x14ac:dyDescent="0.2">
      <c r="C2409" s="5"/>
      <c r="E2409" s="5"/>
    </row>
    <row r="2410" spans="3:5" ht="14" x14ac:dyDescent="0.2">
      <c r="C2410" s="5"/>
      <c r="E2410" s="5"/>
    </row>
    <row r="2411" spans="3:5" ht="14" x14ac:dyDescent="0.2">
      <c r="C2411" s="5"/>
      <c r="E2411" s="5"/>
    </row>
    <row r="2412" spans="3:5" ht="14" x14ac:dyDescent="0.2">
      <c r="C2412" s="5"/>
      <c r="E2412" s="5"/>
    </row>
    <row r="2413" spans="3:5" ht="14" x14ac:dyDescent="0.2">
      <c r="C2413" s="5"/>
      <c r="E2413" s="5"/>
    </row>
    <row r="2414" spans="3:5" ht="14" x14ac:dyDescent="0.2">
      <c r="C2414" s="5"/>
      <c r="E2414" s="5"/>
    </row>
    <row r="2415" spans="3:5" ht="14" x14ac:dyDescent="0.2">
      <c r="C2415" s="5"/>
      <c r="E2415" s="5"/>
    </row>
    <row r="2416" spans="3:5" ht="14" x14ac:dyDescent="0.2">
      <c r="C2416" s="5"/>
      <c r="E2416" s="5"/>
    </row>
    <row r="2417" spans="3:5" ht="14" x14ac:dyDescent="0.2">
      <c r="C2417" s="5"/>
      <c r="E2417" s="5"/>
    </row>
    <row r="2418" spans="3:5" ht="14" x14ac:dyDescent="0.2">
      <c r="C2418" s="5"/>
      <c r="E2418" s="5"/>
    </row>
    <row r="2419" spans="3:5" ht="14" x14ac:dyDescent="0.2">
      <c r="C2419" s="5"/>
      <c r="E2419" s="5"/>
    </row>
    <row r="2420" spans="3:5" ht="14" x14ac:dyDescent="0.2">
      <c r="C2420" s="5"/>
      <c r="E2420" s="5"/>
    </row>
    <row r="2421" spans="3:5" ht="14" x14ac:dyDescent="0.2">
      <c r="C2421" s="5"/>
      <c r="E2421" s="5"/>
    </row>
    <row r="2422" spans="3:5" ht="14" x14ac:dyDescent="0.2">
      <c r="C2422" s="5"/>
      <c r="E2422" s="5"/>
    </row>
    <row r="2423" spans="3:5" ht="14" x14ac:dyDescent="0.2">
      <c r="C2423" s="5"/>
      <c r="E2423" s="5"/>
    </row>
    <row r="2424" spans="3:5" ht="14" x14ac:dyDescent="0.2">
      <c r="C2424" s="5"/>
      <c r="E2424" s="5"/>
    </row>
    <row r="2425" spans="3:5" ht="14" x14ac:dyDescent="0.2">
      <c r="C2425" s="5"/>
      <c r="E2425" s="5"/>
    </row>
    <row r="2426" spans="3:5" ht="14" x14ac:dyDescent="0.2">
      <c r="C2426" s="5"/>
      <c r="E2426" s="5"/>
    </row>
    <row r="2427" spans="3:5" ht="14" x14ac:dyDescent="0.2">
      <c r="C2427" s="5"/>
      <c r="E2427" s="5"/>
    </row>
    <row r="2428" spans="3:5" ht="14" x14ac:dyDescent="0.2">
      <c r="C2428" s="5"/>
      <c r="E2428" s="5"/>
    </row>
    <row r="2429" spans="3:5" ht="14" x14ac:dyDescent="0.2">
      <c r="C2429" s="5"/>
      <c r="E2429" s="5"/>
    </row>
    <row r="2430" spans="3:5" ht="14" x14ac:dyDescent="0.2">
      <c r="C2430" s="5"/>
      <c r="E2430" s="5"/>
    </row>
    <row r="2431" spans="3:5" ht="14" x14ac:dyDescent="0.2">
      <c r="C2431" s="5"/>
      <c r="E2431" s="5"/>
    </row>
    <row r="2432" spans="3:5" ht="14" x14ac:dyDescent="0.2">
      <c r="C2432" s="5"/>
      <c r="E2432" s="5"/>
    </row>
    <row r="2433" spans="3:5" ht="14" x14ac:dyDescent="0.2">
      <c r="C2433" s="5"/>
      <c r="E2433" s="5"/>
    </row>
    <row r="2434" spans="3:5" ht="14" x14ac:dyDescent="0.2">
      <c r="C2434" s="5"/>
      <c r="E2434" s="5"/>
    </row>
    <row r="2435" spans="3:5" ht="14" x14ac:dyDescent="0.2">
      <c r="C2435" s="5"/>
      <c r="E2435" s="5"/>
    </row>
    <row r="2436" spans="3:5" ht="14" x14ac:dyDescent="0.2">
      <c r="C2436" s="5"/>
      <c r="E2436" s="5"/>
    </row>
    <row r="2437" spans="3:5" ht="14" x14ac:dyDescent="0.2">
      <c r="C2437" s="5"/>
      <c r="E2437" s="5"/>
    </row>
    <row r="2438" spans="3:5" ht="14" x14ac:dyDescent="0.2">
      <c r="C2438" s="5"/>
      <c r="E2438" s="5"/>
    </row>
    <row r="2439" spans="3:5" ht="14" x14ac:dyDescent="0.2">
      <c r="C2439" s="5"/>
      <c r="E2439" s="5"/>
    </row>
    <row r="2440" spans="3:5" ht="14" x14ac:dyDescent="0.2">
      <c r="C2440" s="5"/>
      <c r="E2440" s="5"/>
    </row>
    <row r="2441" spans="3:5" ht="14" x14ac:dyDescent="0.2">
      <c r="C2441" s="5"/>
      <c r="E2441" s="5"/>
    </row>
    <row r="2442" spans="3:5" ht="14" x14ac:dyDescent="0.2">
      <c r="C2442" s="5"/>
      <c r="E2442" s="5"/>
    </row>
    <row r="2443" spans="3:5" ht="14" x14ac:dyDescent="0.2">
      <c r="C2443" s="5"/>
      <c r="E2443" s="5"/>
    </row>
    <row r="2444" spans="3:5" ht="14" x14ac:dyDescent="0.2">
      <c r="C2444" s="5"/>
      <c r="E2444" s="5"/>
    </row>
    <row r="2445" spans="3:5" ht="14" x14ac:dyDescent="0.2">
      <c r="C2445" s="5"/>
      <c r="E2445" s="5"/>
    </row>
    <row r="2446" spans="3:5" ht="14" x14ac:dyDescent="0.2">
      <c r="C2446" s="5"/>
      <c r="E2446" s="5"/>
    </row>
    <row r="2447" spans="3:5" ht="14" x14ac:dyDescent="0.2">
      <c r="C2447" s="5"/>
      <c r="E2447" s="5"/>
    </row>
    <row r="2448" spans="3:5" ht="14" x14ac:dyDescent="0.2">
      <c r="C2448" s="5"/>
      <c r="E2448" s="5"/>
    </row>
    <row r="2449" spans="3:5" ht="14" x14ac:dyDescent="0.2">
      <c r="C2449" s="5"/>
      <c r="E2449" s="5"/>
    </row>
    <row r="2450" spans="3:5" ht="14" x14ac:dyDescent="0.2">
      <c r="C2450" s="5"/>
      <c r="E2450" s="5"/>
    </row>
    <row r="2451" spans="3:5" ht="14" x14ac:dyDescent="0.2">
      <c r="C2451" s="5"/>
      <c r="E2451" s="5"/>
    </row>
    <row r="2452" spans="3:5" ht="14" x14ac:dyDescent="0.2">
      <c r="C2452" s="5"/>
      <c r="E2452" s="5"/>
    </row>
    <row r="2453" spans="3:5" ht="14" x14ac:dyDescent="0.2">
      <c r="C2453" s="5"/>
      <c r="E2453" s="5"/>
    </row>
    <row r="2454" spans="3:5" ht="14" x14ac:dyDescent="0.2">
      <c r="C2454" s="5"/>
      <c r="E2454" s="5"/>
    </row>
    <row r="2455" spans="3:5" ht="14" x14ac:dyDescent="0.2">
      <c r="C2455" s="5"/>
      <c r="E2455" s="5"/>
    </row>
    <row r="2456" spans="3:5" ht="14" x14ac:dyDescent="0.2">
      <c r="C2456" s="5"/>
      <c r="E2456" s="5"/>
    </row>
    <row r="2457" spans="3:5" ht="14" x14ac:dyDescent="0.2">
      <c r="C2457" s="5"/>
      <c r="E2457" s="5"/>
    </row>
    <row r="2458" spans="3:5" ht="14" x14ac:dyDescent="0.2">
      <c r="C2458" s="5"/>
      <c r="E2458" s="5"/>
    </row>
    <row r="2459" spans="3:5" ht="14" x14ac:dyDescent="0.2">
      <c r="C2459" s="5"/>
      <c r="E2459" s="5"/>
    </row>
    <row r="2460" spans="3:5" ht="14" x14ac:dyDescent="0.2">
      <c r="C2460" s="5"/>
      <c r="E2460" s="5"/>
    </row>
    <row r="2461" spans="3:5" ht="14" x14ac:dyDescent="0.2">
      <c r="C2461" s="5"/>
      <c r="E2461" s="5"/>
    </row>
    <row r="2462" spans="3:5" ht="14" x14ac:dyDescent="0.2">
      <c r="C2462" s="5"/>
      <c r="E2462" s="5"/>
    </row>
    <row r="2463" spans="3:5" ht="14" x14ac:dyDescent="0.2">
      <c r="C2463" s="5"/>
      <c r="E2463" s="5"/>
    </row>
    <row r="2464" spans="3:5" ht="14" x14ac:dyDescent="0.2">
      <c r="C2464" s="5"/>
      <c r="E2464" s="5"/>
    </row>
    <row r="2465" spans="3:5" ht="14" x14ac:dyDescent="0.2">
      <c r="C2465" s="5"/>
      <c r="E2465" s="5"/>
    </row>
    <row r="2466" spans="3:5" ht="14" x14ac:dyDescent="0.2">
      <c r="C2466" s="5"/>
      <c r="E2466" s="5"/>
    </row>
    <row r="2467" spans="3:5" ht="14" x14ac:dyDescent="0.2">
      <c r="C2467" s="5"/>
      <c r="E2467" s="5"/>
    </row>
    <row r="2468" spans="3:5" ht="14" x14ac:dyDescent="0.2">
      <c r="C2468" s="5"/>
      <c r="E2468" s="5"/>
    </row>
    <row r="2469" spans="3:5" ht="14" x14ac:dyDescent="0.2">
      <c r="C2469" s="5"/>
      <c r="E2469" s="5"/>
    </row>
    <row r="2470" spans="3:5" ht="14" x14ac:dyDescent="0.2">
      <c r="C2470" s="5"/>
      <c r="E2470" s="5"/>
    </row>
    <row r="2471" spans="3:5" ht="14" x14ac:dyDescent="0.2">
      <c r="C2471" s="5"/>
      <c r="E2471" s="5"/>
    </row>
    <row r="2472" spans="3:5" ht="14" x14ac:dyDescent="0.2">
      <c r="C2472" s="5"/>
      <c r="E2472" s="5"/>
    </row>
    <row r="2473" spans="3:5" ht="14" x14ac:dyDescent="0.2">
      <c r="C2473" s="5"/>
      <c r="E2473" s="5"/>
    </row>
    <row r="2474" spans="3:5" ht="14" x14ac:dyDescent="0.2">
      <c r="C2474" s="5"/>
      <c r="E2474" s="5"/>
    </row>
    <row r="2475" spans="3:5" ht="14" x14ac:dyDescent="0.2">
      <c r="C2475" s="5"/>
      <c r="E2475" s="5"/>
    </row>
    <row r="2476" spans="3:5" ht="14" x14ac:dyDescent="0.2">
      <c r="C2476" s="5"/>
      <c r="E2476" s="5"/>
    </row>
    <row r="2477" spans="3:5" ht="14" x14ac:dyDescent="0.2">
      <c r="C2477" s="5"/>
      <c r="E2477" s="5"/>
    </row>
    <row r="2478" spans="3:5" ht="14" x14ac:dyDescent="0.2">
      <c r="C2478" s="5"/>
      <c r="E2478" s="5"/>
    </row>
    <row r="2479" spans="3:5" ht="14" x14ac:dyDescent="0.2">
      <c r="C2479" s="5"/>
      <c r="E2479" s="5"/>
    </row>
    <row r="2480" spans="3:5" ht="14" x14ac:dyDescent="0.2">
      <c r="C2480" s="5"/>
      <c r="E2480" s="5"/>
    </row>
    <row r="2481" spans="3:5" ht="14" x14ac:dyDescent="0.2">
      <c r="C2481" s="5"/>
      <c r="E2481" s="5"/>
    </row>
    <row r="2482" spans="3:5" ht="14" x14ac:dyDescent="0.2">
      <c r="C2482" s="5"/>
      <c r="E2482" s="5"/>
    </row>
    <row r="2483" spans="3:5" ht="14" x14ac:dyDescent="0.2">
      <c r="C2483" s="5"/>
      <c r="E2483" s="5"/>
    </row>
    <row r="2484" spans="3:5" ht="14" x14ac:dyDescent="0.2">
      <c r="C2484" s="5"/>
      <c r="E2484" s="5"/>
    </row>
    <row r="2485" spans="3:5" ht="14" x14ac:dyDescent="0.2">
      <c r="C2485" s="5"/>
      <c r="E2485" s="5"/>
    </row>
    <row r="2486" spans="3:5" ht="14" x14ac:dyDescent="0.2">
      <c r="C2486" s="5"/>
      <c r="E2486" s="5"/>
    </row>
    <row r="2487" spans="3:5" ht="14" x14ac:dyDescent="0.2">
      <c r="C2487" s="5"/>
      <c r="E2487" s="5"/>
    </row>
    <row r="2488" spans="3:5" ht="14" x14ac:dyDescent="0.2">
      <c r="C2488" s="5"/>
      <c r="E2488" s="5"/>
    </row>
    <row r="2489" spans="3:5" ht="14" x14ac:dyDescent="0.2">
      <c r="C2489" s="5"/>
      <c r="E2489" s="5"/>
    </row>
    <row r="2490" spans="3:5" ht="14" x14ac:dyDescent="0.2">
      <c r="C2490" s="5"/>
      <c r="E2490" s="5"/>
    </row>
    <row r="2491" spans="3:5" ht="14" x14ac:dyDescent="0.2">
      <c r="C2491" s="5"/>
      <c r="E2491" s="5"/>
    </row>
    <row r="2492" spans="3:5" ht="14" x14ac:dyDescent="0.2">
      <c r="C2492" s="5"/>
      <c r="E2492" s="5"/>
    </row>
    <row r="2493" spans="3:5" ht="14" x14ac:dyDescent="0.2">
      <c r="C2493" s="5"/>
      <c r="E2493" s="5"/>
    </row>
    <row r="2494" spans="3:5" ht="14" x14ac:dyDescent="0.2">
      <c r="C2494" s="5"/>
      <c r="E2494" s="5"/>
    </row>
    <row r="2495" spans="3:5" ht="14" x14ac:dyDescent="0.2">
      <c r="C2495" s="5"/>
      <c r="E2495" s="5"/>
    </row>
    <row r="2496" spans="3:5" ht="14" x14ac:dyDescent="0.2">
      <c r="C2496" s="5"/>
      <c r="E2496" s="5"/>
    </row>
    <row r="2497" spans="3:5" ht="14" x14ac:dyDescent="0.2">
      <c r="C2497" s="5"/>
      <c r="E2497" s="5"/>
    </row>
    <row r="2498" spans="3:5" ht="14" x14ac:dyDescent="0.2">
      <c r="C2498" s="5"/>
      <c r="E2498" s="5"/>
    </row>
    <row r="2499" spans="3:5" ht="14" x14ac:dyDescent="0.2">
      <c r="C2499" s="5"/>
      <c r="E2499" s="5"/>
    </row>
    <row r="2500" spans="3:5" ht="14" x14ac:dyDescent="0.2">
      <c r="C2500" s="5"/>
      <c r="E2500" s="5"/>
    </row>
    <row r="2501" spans="3:5" ht="14" x14ac:dyDescent="0.2">
      <c r="C2501" s="5"/>
      <c r="E2501" s="5"/>
    </row>
    <row r="2502" spans="3:5" ht="14" x14ac:dyDescent="0.2">
      <c r="C2502" s="5"/>
      <c r="E2502" s="5"/>
    </row>
    <row r="2503" spans="3:5" ht="14" x14ac:dyDescent="0.2">
      <c r="C2503" s="5"/>
      <c r="E2503" s="5"/>
    </row>
    <row r="2504" spans="3:5" ht="14" x14ac:dyDescent="0.2">
      <c r="C2504" s="5"/>
      <c r="E2504" s="5"/>
    </row>
    <row r="2505" spans="3:5" ht="14" x14ac:dyDescent="0.2">
      <c r="C2505" s="5"/>
      <c r="E2505" s="5"/>
    </row>
    <row r="2506" spans="3:5" ht="14" x14ac:dyDescent="0.2">
      <c r="C2506" s="5"/>
      <c r="E2506" s="5"/>
    </row>
    <row r="2507" spans="3:5" ht="14" x14ac:dyDescent="0.2">
      <c r="C2507" s="5"/>
      <c r="E2507" s="5"/>
    </row>
    <row r="2508" spans="3:5" ht="14" x14ac:dyDescent="0.2">
      <c r="C2508" s="5"/>
      <c r="E2508" s="5"/>
    </row>
    <row r="2509" spans="3:5" ht="14" x14ac:dyDescent="0.2">
      <c r="C2509" s="5"/>
      <c r="E2509" s="5"/>
    </row>
    <row r="2510" spans="3:5" ht="14" x14ac:dyDescent="0.2">
      <c r="C2510" s="5"/>
      <c r="E2510" s="5"/>
    </row>
    <row r="2511" spans="3:5" ht="14" x14ac:dyDescent="0.2">
      <c r="C2511" s="5"/>
      <c r="E2511" s="5"/>
    </row>
    <row r="2512" spans="3:5" ht="14" x14ac:dyDescent="0.2">
      <c r="C2512" s="5"/>
      <c r="E2512" s="5"/>
    </row>
    <row r="2513" spans="3:5" ht="14" x14ac:dyDescent="0.2">
      <c r="C2513" s="5"/>
      <c r="E2513" s="5"/>
    </row>
    <row r="2514" spans="3:5" ht="14" x14ac:dyDescent="0.2">
      <c r="C2514" s="5"/>
      <c r="E2514" s="5"/>
    </row>
    <row r="2515" spans="3:5" ht="14" x14ac:dyDescent="0.2">
      <c r="C2515" s="5"/>
      <c r="E2515" s="5"/>
    </row>
    <row r="2516" spans="3:5" ht="14" x14ac:dyDescent="0.2">
      <c r="C2516" s="5"/>
      <c r="E2516" s="5"/>
    </row>
    <row r="2517" spans="3:5" ht="14" x14ac:dyDescent="0.2">
      <c r="C2517" s="5"/>
      <c r="E2517" s="5"/>
    </row>
    <row r="2518" spans="3:5" ht="14" x14ac:dyDescent="0.2">
      <c r="C2518" s="5"/>
      <c r="E2518" s="5"/>
    </row>
    <row r="2519" spans="3:5" ht="14" x14ac:dyDescent="0.2">
      <c r="C2519" s="5"/>
      <c r="E2519" s="5"/>
    </row>
    <row r="2520" spans="3:5" ht="14" x14ac:dyDescent="0.2">
      <c r="C2520" s="5"/>
      <c r="E2520" s="5"/>
    </row>
    <row r="2521" spans="3:5" ht="14" x14ac:dyDescent="0.2">
      <c r="C2521" s="5"/>
      <c r="E2521" s="5"/>
    </row>
    <row r="2522" spans="3:5" ht="14" x14ac:dyDescent="0.2">
      <c r="C2522" s="5"/>
      <c r="E2522" s="5"/>
    </row>
    <row r="2523" spans="3:5" ht="14" x14ac:dyDescent="0.2">
      <c r="C2523" s="5"/>
      <c r="E2523" s="5"/>
    </row>
    <row r="2524" spans="3:5" ht="14" x14ac:dyDescent="0.2">
      <c r="C2524" s="5"/>
      <c r="E2524" s="5"/>
    </row>
    <row r="2525" spans="3:5" ht="14" x14ac:dyDescent="0.2">
      <c r="C2525" s="5"/>
      <c r="E2525" s="5"/>
    </row>
    <row r="2526" spans="3:5" ht="14" x14ac:dyDescent="0.2">
      <c r="C2526" s="5"/>
      <c r="E2526" s="5"/>
    </row>
    <row r="2527" spans="3:5" ht="14" x14ac:dyDescent="0.2">
      <c r="C2527" s="5"/>
      <c r="E2527" s="5"/>
    </row>
    <row r="2528" spans="3:5" ht="14" x14ac:dyDescent="0.2">
      <c r="C2528" s="5"/>
      <c r="E2528" s="5"/>
    </row>
    <row r="2529" spans="3:5" ht="14" x14ac:dyDescent="0.2">
      <c r="C2529" s="5"/>
      <c r="E2529" s="5"/>
    </row>
    <row r="2530" spans="3:5" ht="14" x14ac:dyDescent="0.2">
      <c r="C2530" s="5"/>
      <c r="E2530" s="5"/>
    </row>
    <row r="2531" spans="3:5" ht="14" x14ac:dyDescent="0.2">
      <c r="C2531" s="5"/>
      <c r="E2531" s="5"/>
    </row>
    <row r="2532" spans="3:5" ht="14" x14ac:dyDescent="0.2">
      <c r="C2532" s="5"/>
      <c r="E2532" s="5"/>
    </row>
    <row r="2533" spans="3:5" ht="14" x14ac:dyDescent="0.2">
      <c r="C2533" s="5"/>
      <c r="E2533" s="5"/>
    </row>
    <row r="2534" spans="3:5" ht="14" x14ac:dyDescent="0.2">
      <c r="C2534" s="5"/>
      <c r="E2534" s="5"/>
    </row>
    <row r="2535" spans="3:5" ht="14" x14ac:dyDescent="0.2">
      <c r="C2535" s="5"/>
      <c r="E2535" s="5"/>
    </row>
    <row r="2536" spans="3:5" ht="14" x14ac:dyDescent="0.2">
      <c r="C2536" s="5"/>
      <c r="E2536" s="5"/>
    </row>
    <row r="2537" spans="3:5" ht="14" x14ac:dyDescent="0.2">
      <c r="C2537" s="5"/>
      <c r="E2537" s="5"/>
    </row>
    <row r="2538" spans="3:5" ht="14" x14ac:dyDescent="0.2">
      <c r="C2538" s="5"/>
      <c r="E2538" s="5"/>
    </row>
    <row r="2539" spans="3:5" ht="14" x14ac:dyDescent="0.2">
      <c r="C2539" s="5"/>
      <c r="E2539" s="5"/>
    </row>
    <row r="2540" spans="3:5" ht="14" x14ac:dyDescent="0.2">
      <c r="C2540" s="5"/>
      <c r="E2540" s="5"/>
    </row>
    <row r="2541" spans="3:5" ht="14" x14ac:dyDescent="0.2">
      <c r="C2541" s="5"/>
      <c r="E2541" s="5"/>
    </row>
    <row r="2542" spans="3:5" ht="14" x14ac:dyDescent="0.2">
      <c r="C2542" s="5"/>
      <c r="E2542" s="5"/>
    </row>
    <row r="2543" spans="3:5" ht="14" x14ac:dyDescent="0.2">
      <c r="C2543" s="5"/>
      <c r="E2543" s="5"/>
    </row>
    <row r="2544" spans="3:5" ht="14" x14ac:dyDescent="0.2">
      <c r="C2544" s="5"/>
      <c r="E2544" s="5"/>
    </row>
    <row r="2545" spans="3:5" ht="14" x14ac:dyDescent="0.2">
      <c r="C2545" s="5"/>
      <c r="E2545" s="5"/>
    </row>
    <row r="2546" spans="3:5" ht="14" x14ac:dyDescent="0.2">
      <c r="C2546" s="5"/>
      <c r="E2546" s="5"/>
    </row>
    <row r="2547" spans="3:5" ht="14" x14ac:dyDescent="0.2">
      <c r="C2547" s="5"/>
      <c r="E2547" s="5"/>
    </row>
    <row r="2548" spans="3:5" ht="14" x14ac:dyDescent="0.2">
      <c r="C2548" s="5"/>
      <c r="E2548" s="5"/>
    </row>
    <row r="2549" spans="3:5" ht="14" x14ac:dyDescent="0.2">
      <c r="C2549" s="5"/>
      <c r="E2549" s="5"/>
    </row>
    <row r="2550" spans="3:5" ht="14" x14ac:dyDescent="0.2">
      <c r="C2550" s="5"/>
      <c r="E2550" s="5"/>
    </row>
    <row r="2551" spans="3:5" ht="14" x14ac:dyDescent="0.2">
      <c r="C2551" s="5"/>
      <c r="E2551" s="5"/>
    </row>
    <row r="2552" spans="3:5" ht="14" x14ac:dyDescent="0.2">
      <c r="C2552" s="5"/>
      <c r="E2552" s="5"/>
    </row>
    <row r="2553" spans="3:5" ht="14" x14ac:dyDescent="0.2">
      <c r="C2553" s="5"/>
      <c r="E2553" s="5"/>
    </row>
    <row r="2554" spans="3:5" ht="14" x14ac:dyDescent="0.2">
      <c r="C2554" s="5"/>
      <c r="E2554" s="5"/>
    </row>
    <row r="2555" spans="3:5" ht="14" x14ac:dyDescent="0.2">
      <c r="C2555" s="5"/>
      <c r="E2555" s="5"/>
    </row>
    <row r="2556" spans="3:5" ht="14" x14ac:dyDescent="0.2">
      <c r="C2556" s="5"/>
      <c r="E2556" s="5"/>
    </row>
    <row r="2557" spans="3:5" ht="14" x14ac:dyDescent="0.2">
      <c r="C2557" s="5"/>
      <c r="E2557" s="5"/>
    </row>
    <row r="2558" spans="3:5" ht="14" x14ac:dyDescent="0.2">
      <c r="C2558" s="5"/>
      <c r="E2558" s="5"/>
    </row>
    <row r="2559" spans="3:5" ht="14" x14ac:dyDescent="0.2">
      <c r="C2559" s="5"/>
      <c r="E2559" s="5"/>
    </row>
    <row r="2560" spans="3:5" ht="14" x14ac:dyDescent="0.2">
      <c r="C2560" s="5"/>
      <c r="E2560" s="5"/>
    </row>
    <row r="2561" spans="3:5" ht="14" x14ac:dyDescent="0.2">
      <c r="C2561" s="5"/>
      <c r="E2561" s="5"/>
    </row>
    <row r="2562" spans="3:5" ht="14" x14ac:dyDescent="0.2">
      <c r="C2562" s="5"/>
      <c r="E2562" s="5"/>
    </row>
    <row r="2563" spans="3:5" ht="14" x14ac:dyDescent="0.2">
      <c r="C2563" s="5"/>
      <c r="E2563" s="5"/>
    </row>
    <row r="2564" spans="3:5" ht="14" x14ac:dyDescent="0.2">
      <c r="C2564" s="5"/>
      <c r="E2564" s="5"/>
    </row>
    <row r="2565" spans="3:5" ht="14" x14ac:dyDescent="0.2">
      <c r="C2565" s="5"/>
      <c r="E2565" s="5"/>
    </row>
    <row r="2566" spans="3:5" ht="14" x14ac:dyDescent="0.2">
      <c r="C2566" s="5"/>
      <c r="E2566" s="5"/>
    </row>
    <row r="2567" spans="3:5" ht="14" x14ac:dyDescent="0.2">
      <c r="C2567" s="5"/>
      <c r="E2567" s="5"/>
    </row>
    <row r="2568" spans="3:5" ht="14" x14ac:dyDescent="0.2">
      <c r="C2568" s="5"/>
      <c r="E2568" s="5"/>
    </row>
    <row r="2569" spans="3:5" ht="14" x14ac:dyDescent="0.2">
      <c r="C2569" s="5"/>
      <c r="E2569" s="5"/>
    </row>
    <row r="2570" spans="3:5" ht="14" x14ac:dyDescent="0.2">
      <c r="C2570" s="5"/>
      <c r="E2570" s="5"/>
    </row>
    <row r="2571" spans="3:5" ht="14" x14ac:dyDescent="0.2">
      <c r="C2571" s="5"/>
      <c r="E2571" s="5"/>
    </row>
    <row r="2572" spans="3:5" ht="14" x14ac:dyDescent="0.2">
      <c r="C2572" s="5"/>
      <c r="E2572" s="5"/>
    </row>
    <row r="2573" spans="3:5" ht="14" x14ac:dyDescent="0.2">
      <c r="C2573" s="5"/>
      <c r="E2573" s="5"/>
    </row>
    <row r="2574" spans="3:5" ht="14" x14ac:dyDescent="0.2">
      <c r="C2574" s="5"/>
      <c r="E2574" s="5"/>
    </row>
    <row r="2575" spans="3:5" ht="14" x14ac:dyDescent="0.2">
      <c r="C2575" s="5"/>
      <c r="E2575" s="5"/>
    </row>
    <row r="2576" spans="3:5" ht="14" x14ac:dyDescent="0.2">
      <c r="C2576" s="5"/>
      <c r="E2576" s="5"/>
    </row>
    <row r="2577" spans="3:5" ht="14" x14ac:dyDescent="0.2">
      <c r="C2577" s="5"/>
      <c r="E2577" s="5"/>
    </row>
    <row r="2578" spans="3:5" ht="14" x14ac:dyDescent="0.2">
      <c r="C2578" s="5"/>
      <c r="E2578" s="5"/>
    </row>
    <row r="2579" spans="3:5" ht="14" x14ac:dyDescent="0.2">
      <c r="C2579" s="5"/>
      <c r="E2579" s="5"/>
    </row>
    <row r="2580" spans="3:5" ht="14" x14ac:dyDescent="0.2">
      <c r="C2580" s="5"/>
      <c r="E2580" s="5"/>
    </row>
    <row r="2581" spans="3:5" ht="14" x14ac:dyDescent="0.2">
      <c r="C2581" s="5"/>
      <c r="E2581" s="5"/>
    </row>
    <row r="2582" spans="3:5" ht="14" x14ac:dyDescent="0.2">
      <c r="C2582" s="5"/>
      <c r="E2582" s="5"/>
    </row>
    <row r="2583" spans="3:5" ht="14" x14ac:dyDescent="0.2">
      <c r="C2583" s="5"/>
      <c r="E2583" s="5"/>
    </row>
    <row r="2584" spans="3:5" ht="14" x14ac:dyDescent="0.2">
      <c r="C2584" s="5"/>
      <c r="E2584" s="5"/>
    </row>
    <row r="2585" spans="3:5" ht="14" x14ac:dyDescent="0.2">
      <c r="C2585" s="5"/>
      <c r="E2585" s="5"/>
    </row>
    <row r="2586" spans="3:5" ht="14" x14ac:dyDescent="0.2">
      <c r="C2586" s="5"/>
      <c r="E2586" s="5"/>
    </row>
    <row r="2587" spans="3:5" ht="14" x14ac:dyDescent="0.2">
      <c r="C2587" s="5"/>
      <c r="E2587" s="5"/>
    </row>
    <row r="2588" spans="3:5" ht="14" x14ac:dyDescent="0.2">
      <c r="C2588" s="5"/>
      <c r="E2588" s="5"/>
    </row>
    <row r="2589" spans="3:5" ht="14" x14ac:dyDescent="0.2">
      <c r="C2589" s="5"/>
      <c r="E2589" s="5"/>
    </row>
    <row r="2590" spans="3:5" ht="14" x14ac:dyDescent="0.2">
      <c r="C2590" s="5"/>
      <c r="E2590" s="5"/>
    </row>
    <row r="2591" spans="3:5" ht="14" x14ac:dyDescent="0.2">
      <c r="C2591" s="5"/>
      <c r="E2591" s="5"/>
    </row>
    <row r="2592" spans="3:5" ht="14" x14ac:dyDescent="0.2">
      <c r="C2592" s="5"/>
      <c r="E2592" s="5"/>
    </row>
    <row r="2593" spans="3:5" ht="14" x14ac:dyDescent="0.2">
      <c r="C2593" s="5"/>
      <c r="E2593" s="5"/>
    </row>
    <row r="2594" spans="3:5" ht="14" x14ac:dyDescent="0.2">
      <c r="C2594" s="5"/>
      <c r="E2594" s="5"/>
    </row>
    <row r="2595" spans="3:5" ht="14" x14ac:dyDescent="0.2">
      <c r="C2595" s="5"/>
      <c r="E2595" s="5"/>
    </row>
    <row r="2596" spans="3:5" ht="14" x14ac:dyDescent="0.2">
      <c r="C2596" s="5"/>
      <c r="E2596" s="5"/>
    </row>
    <row r="2597" spans="3:5" ht="14" x14ac:dyDescent="0.2">
      <c r="C2597" s="5"/>
      <c r="E2597" s="5"/>
    </row>
    <row r="2598" spans="3:5" ht="14" x14ac:dyDescent="0.2">
      <c r="C2598" s="5"/>
      <c r="E2598" s="5"/>
    </row>
    <row r="2599" spans="3:5" ht="14" x14ac:dyDescent="0.2">
      <c r="C2599" s="5"/>
      <c r="E2599" s="5"/>
    </row>
    <row r="2600" spans="3:5" ht="14" x14ac:dyDescent="0.2">
      <c r="C2600" s="5"/>
      <c r="E2600" s="5"/>
    </row>
    <row r="2601" spans="3:5" ht="14" x14ac:dyDescent="0.2">
      <c r="C2601" s="5"/>
      <c r="E2601" s="5"/>
    </row>
    <row r="2602" spans="3:5" ht="14" x14ac:dyDescent="0.2">
      <c r="C2602" s="5"/>
      <c r="E2602" s="5"/>
    </row>
    <row r="2603" spans="3:5" ht="14" x14ac:dyDescent="0.2">
      <c r="C2603" s="5"/>
      <c r="E2603" s="5"/>
    </row>
    <row r="2604" spans="3:5" ht="14" x14ac:dyDescent="0.2">
      <c r="C2604" s="5"/>
      <c r="E2604" s="5"/>
    </row>
    <row r="2605" spans="3:5" ht="14" x14ac:dyDescent="0.2">
      <c r="C2605" s="5"/>
      <c r="E2605" s="5"/>
    </row>
    <row r="2606" spans="3:5" ht="14" x14ac:dyDescent="0.2">
      <c r="C2606" s="5"/>
      <c r="E2606" s="5"/>
    </row>
    <row r="2607" spans="3:5" ht="14" x14ac:dyDescent="0.2">
      <c r="C2607" s="5"/>
      <c r="E2607" s="5"/>
    </row>
    <row r="2608" spans="3:5" ht="14" x14ac:dyDescent="0.2">
      <c r="C2608" s="5"/>
      <c r="E2608" s="5"/>
    </row>
    <row r="2609" spans="3:5" ht="14" x14ac:dyDescent="0.2">
      <c r="C2609" s="5"/>
      <c r="E2609" s="5"/>
    </row>
    <row r="2610" spans="3:5" ht="14" x14ac:dyDescent="0.2">
      <c r="C2610" s="5"/>
      <c r="E2610" s="5"/>
    </row>
    <row r="2611" spans="3:5" ht="14" x14ac:dyDescent="0.2">
      <c r="C2611" s="5"/>
      <c r="E2611" s="5"/>
    </row>
    <row r="2612" spans="3:5" ht="14" x14ac:dyDescent="0.2">
      <c r="C2612" s="5"/>
      <c r="E2612" s="5"/>
    </row>
    <row r="2613" spans="3:5" ht="14" x14ac:dyDescent="0.2">
      <c r="C2613" s="5"/>
      <c r="E2613" s="5"/>
    </row>
    <row r="2614" spans="3:5" ht="14" x14ac:dyDescent="0.2">
      <c r="C2614" s="5"/>
      <c r="E2614" s="5"/>
    </row>
    <row r="2615" spans="3:5" ht="14" x14ac:dyDescent="0.2">
      <c r="C2615" s="5"/>
      <c r="E2615" s="5"/>
    </row>
    <row r="2616" spans="3:5" ht="14" x14ac:dyDescent="0.2">
      <c r="C2616" s="5"/>
      <c r="E2616" s="5"/>
    </row>
    <row r="2617" spans="3:5" ht="14" x14ac:dyDescent="0.2">
      <c r="C2617" s="5"/>
      <c r="E2617" s="5"/>
    </row>
    <row r="2618" spans="3:5" ht="14" x14ac:dyDescent="0.2">
      <c r="C2618" s="5"/>
      <c r="E2618" s="5"/>
    </row>
    <row r="2619" spans="3:5" ht="14" x14ac:dyDescent="0.2">
      <c r="C2619" s="5"/>
      <c r="E2619" s="5"/>
    </row>
    <row r="2620" spans="3:5" ht="14" x14ac:dyDescent="0.2">
      <c r="C2620" s="5"/>
      <c r="E2620" s="5"/>
    </row>
    <row r="2621" spans="3:5" ht="14" x14ac:dyDescent="0.2">
      <c r="C2621" s="5"/>
      <c r="E2621" s="5"/>
    </row>
    <row r="2622" spans="3:5" ht="14" x14ac:dyDescent="0.2">
      <c r="C2622" s="5"/>
      <c r="E2622" s="5"/>
    </row>
    <row r="2623" spans="3:5" ht="14" x14ac:dyDescent="0.2">
      <c r="C2623" s="5"/>
      <c r="E2623" s="5"/>
    </row>
    <row r="2624" spans="3:5" ht="14" x14ac:dyDescent="0.2">
      <c r="C2624" s="5"/>
      <c r="E2624" s="5"/>
    </row>
    <row r="2625" spans="3:5" ht="14" x14ac:dyDescent="0.2">
      <c r="C2625" s="5"/>
      <c r="E2625" s="5"/>
    </row>
    <row r="2626" spans="3:5" ht="14" x14ac:dyDescent="0.2">
      <c r="C2626" s="5"/>
      <c r="E2626" s="5"/>
    </row>
    <row r="2627" spans="3:5" ht="14" x14ac:dyDescent="0.2">
      <c r="C2627" s="5"/>
      <c r="E2627" s="5"/>
    </row>
    <row r="2628" spans="3:5" ht="14" x14ac:dyDescent="0.2">
      <c r="C2628" s="5"/>
      <c r="E2628" s="5"/>
    </row>
    <row r="2629" spans="3:5" ht="14" x14ac:dyDescent="0.2">
      <c r="C2629" s="5"/>
      <c r="E2629" s="5"/>
    </row>
    <row r="2630" spans="3:5" ht="14" x14ac:dyDescent="0.2">
      <c r="C2630" s="5"/>
      <c r="E2630" s="5"/>
    </row>
    <row r="2631" spans="3:5" ht="14" x14ac:dyDescent="0.2">
      <c r="C2631" s="5"/>
      <c r="E2631" s="5"/>
    </row>
    <row r="2632" spans="3:5" ht="14" x14ac:dyDescent="0.2">
      <c r="C2632" s="5"/>
      <c r="E2632" s="5"/>
    </row>
    <row r="2633" spans="3:5" ht="14" x14ac:dyDescent="0.2">
      <c r="C2633" s="5"/>
      <c r="E2633" s="5"/>
    </row>
    <row r="2634" spans="3:5" ht="14" x14ac:dyDescent="0.2">
      <c r="C2634" s="5"/>
      <c r="E2634" s="5"/>
    </row>
    <row r="2635" spans="3:5" ht="14" x14ac:dyDescent="0.2">
      <c r="C2635" s="5"/>
      <c r="E2635" s="5"/>
    </row>
    <row r="2636" spans="3:5" ht="14" x14ac:dyDescent="0.2">
      <c r="C2636" s="5"/>
      <c r="E2636" s="5"/>
    </row>
    <row r="2637" spans="3:5" ht="14" x14ac:dyDescent="0.2">
      <c r="C2637" s="5"/>
      <c r="E2637" s="5"/>
    </row>
    <row r="2638" spans="3:5" ht="14" x14ac:dyDescent="0.2">
      <c r="C2638" s="5"/>
      <c r="E2638" s="5"/>
    </row>
    <row r="2639" spans="3:5" ht="14" x14ac:dyDescent="0.2">
      <c r="C2639" s="5"/>
      <c r="E2639" s="5"/>
    </row>
    <row r="2640" spans="3:5" ht="14" x14ac:dyDescent="0.2">
      <c r="C2640" s="5"/>
      <c r="E2640" s="5"/>
    </row>
    <row r="2641" spans="3:5" ht="14" x14ac:dyDescent="0.2">
      <c r="C2641" s="5"/>
      <c r="E2641" s="5"/>
    </row>
    <row r="2642" spans="3:5" ht="14" x14ac:dyDescent="0.2">
      <c r="C2642" s="5"/>
      <c r="E2642" s="5"/>
    </row>
    <row r="2643" spans="3:5" ht="14" x14ac:dyDescent="0.2">
      <c r="C2643" s="5"/>
      <c r="E2643" s="5"/>
    </row>
    <row r="2644" spans="3:5" ht="14" x14ac:dyDescent="0.2">
      <c r="C2644" s="5"/>
      <c r="E2644" s="5"/>
    </row>
    <row r="2645" spans="3:5" ht="14" x14ac:dyDescent="0.2">
      <c r="C2645" s="5"/>
      <c r="E2645" s="5"/>
    </row>
    <row r="2646" spans="3:5" ht="14" x14ac:dyDescent="0.2">
      <c r="C2646" s="5"/>
      <c r="E2646" s="5"/>
    </row>
    <row r="2647" spans="3:5" ht="14" x14ac:dyDescent="0.2">
      <c r="C2647" s="5"/>
      <c r="E2647" s="5"/>
    </row>
    <row r="2648" spans="3:5" ht="14" x14ac:dyDescent="0.2">
      <c r="C2648" s="5"/>
      <c r="E2648" s="5"/>
    </row>
    <row r="2649" spans="3:5" ht="14" x14ac:dyDescent="0.2">
      <c r="C2649" s="5"/>
      <c r="E2649" s="5"/>
    </row>
    <row r="2650" spans="3:5" ht="14" x14ac:dyDescent="0.2">
      <c r="C2650" s="5"/>
      <c r="E2650" s="5"/>
    </row>
    <row r="2651" spans="3:5" ht="14" x14ac:dyDescent="0.2">
      <c r="C2651" s="5"/>
      <c r="E2651" s="5"/>
    </row>
    <row r="2652" spans="3:5" ht="14" x14ac:dyDescent="0.2">
      <c r="C2652" s="5"/>
      <c r="E2652" s="5"/>
    </row>
    <row r="2653" spans="3:5" ht="14" x14ac:dyDescent="0.2">
      <c r="C2653" s="5"/>
      <c r="E2653" s="5"/>
    </row>
    <row r="2654" spans="3:5" ht="14" x14ac:dyDescent="0.2">
      <c r="C2654" s="5"/>
      <c r="E2654" s="5"/>
    </row>
    <row r="2655" spans="3:5" ht="14" x14ac:dyDescent="0.2">
      <c r="C2655" s="5"/>
      <c r="E2655" s="5"/>
    </row>
    <row r="2656" spans="3:5" ht="14" x14ac:dyDescent="0.2">
      <c r="C2656" s="5"/>
      <c r="E2656" s="5"/>
    </row>
    <row r="2657" spans="3:5" ht="14" x14ac:dyDescent="0.2">
      <c r="C2657" s="5"/>
      <c r="E2657" s="5"/>
    </row>
    <row r="2658" spans="3:5" ht="14" x14ac:dyDescent="0.2">
      <c r="C2658" s="5"/>
      <c r="E2658" s="5"/>
    </row>
    <row r="2659" spans="3:5" ht="14" x14ac:dyDescent="0.2">
      <c r="C2659" s="5"/>
      <c r="E2659" s="5"/>
    </row>
    <row r="2660" spans="3:5" ht="14" x14ac:dyDescent="0.2">
      <c r="C2660" s="5"/>
      <c r="E2660" s="5"/>
    </row>
    <row r="2661" spans="3:5" ht="14" x14ac:dyDescent="0.2">
      <c r="C2661" s="5"/>
      <c r="E2661" s="5"/>
    </row>
    <row r="2662" spans="3:5" ht="14" x14ac:dyDescent="0.2">
      <c r="C2662" s="5"/>
      <c r="E2662" s="5"/>
    </row>
    <row r="2663" spans="3:5" ht="14" x14ac:dyDescent="0.2">
      <c r="C2663" s="5"/>
      <c r="E2663" s="5"/>
    </row>
    <row r="2664" spans="3:5" ht="14" x14ac:dyDescent="0.2">
      <c r="C2664" s="5"/>
      <c r="E2664" s="5"/>
    </row>
    <row r="2665" spans="3:5" ht="14" x14ac:dyDescent="0.2">
      <c r="C2665" s="5"/>
      <c r="E2665" s="5"/>
    </row>
    <row r="2666" spans="3:5" ht="14" x14ac:dyDescent="0.2">
      <c r="C2666" s="5"/>
      <c r="E2666" s="5"/>
    </row>
    <row r="2667" spans="3:5" ht="14" x14ac:dyDescent="0.2">
      <c r="C2667" s="5"/>
      <c r="E2667" s="5"/>
    </row>
    <row r="2668" spans="3:5" ht="14" x14ac:dyDescent="0.2">
      <c r="C2668" s="5"/>
      <c r="E2668" s="5"/>
    </row>
    <row r="2669" spans="3:5" ht="14" x14ac:dyDescent="0.2">
      <c r="C2669" s="5"/>
      <c r="E2669" s="5"/>
    </row>
    <row r="2670" spans="3:5" ht="14" x14ac:dyDescent="0.2">
      <c r="C2670" s="5"/>
      <c r="E2670" s="5"/>
    </row>
    <row r="2671" spans="3:5" ht="14" x14ac:dyDescent="0.2">
      <c r="C2671" s="5"/>
      <c r="E2671" s="5"/>
    </row>
    <row r="2672" spans="3:5" ht="14" x14ac:dyDescent="0.2">
      <c r="C2672" s="5"/>
      <c r="E2672" s="5"/>
    </row>
    <row r="2673" spans="3:5" ht="14" x14ac:dyDescent="0.2">
      <c r="C2673" s="5"/>
      <c r="E2673" s="5"/>
    </row>
    <row r="2674" spans="3:5" ht="14" x14ac:dyDescent="0.2">
      <c r="C2674" s="5"/>
      <c r="E2674" s="5"/>
    </row>
    <row r="2675" spans="3:5" ht="14" x14ac:dyDescent="0.2">
      <c r="C2675" s="5"/>
      <c r="E2675" s="5"/>
    </row>
    <row r="2676" spans="3:5" ht="14" x14ac:dyDescent="0.2">
      <c r="C2676" s="5"/>
      <c r="E2676" s="5"/>
    </row>
    <row r="2677" spans="3:5" ht="14" x14ac:dyDescent="0.2">
      <c r="C2677" s="5"/>
      <c r="E2677" s="5"/>
    </row>
    <row r="2678" spans="3:5" ht="14" x14ac:dyDescent="0.2">
      <c r="C2678" s="5"/>
      <c r="E2678" s="5"/>
    </row>
    <row r="2679" spans="3:5" ht="14" x14ac:dyDescent="0.2">
      <c r="C2679" s="5"/>
      <c r="E2679" s="5"/>
    </row>
    <row r="2680" spans="3:5" ht="14" x14ac:dyDescent="0.2">
      <c r="C2680" s="5"/>
      <c r="E2680" s="5"/>
    </row>
    <row r="2681" spans="3:5" ht="14" x14ac:dyDescent="0.2">
      <c r="C2681" s="5"/>
      <c r="E2681" s="5"/>
    </row>
    <row r="2682" spans="3:5" ht="14" x14ac:dyDescent="0.2">
      <c r="C2682" s="5"/>
      <c r="E2682" s="5"/>
    </row>
    <row r="2683" spans="3:5" ht="14" x14ac:dyDescent="0.2">
      <c r="C2683" s="5"/>
      <c r="E2683" s="5"/>
    </row>
    <row r="2684" spans="3:5" ht="14" x14ac:dyDescent="0.2">
      <c r="C2684" s="5"/>
      <c r="E2684" s="5"/>
    </row>
    <row r="2685" spans="3:5" ht="14" x14ac:dyDescent="0.2">
      <c r="C2685" s="5"/>
      <c r="E2685" s="5"/>
    </row>
    <row r="2686" spans="3:5" ht="14" x14ac:dyDescent="0.2">
      <c r="C2686" s="5"/>
      <c r="E2686" s="5"/>
    </row>
    <row r="2687" spans="3:5" ht="14" x14ac:dyDescent="0.2">
      <c r="C2687" s="5"/>
      <c r="E2687" s="5"/>
    </row>
    <row r="2688" spans="3:5" ht="14" x14ac:dyDescent="0.2">
      <c r="C2688" s="5"/>
      <c r="E2688" s="5"/>
    </row>
    <row r="2689" spans="3:5" ht="14" x14ac:dyDescent="0.2">
      <c r="C2689" s="5"/>
      <c r="E2689" s="5"/>
    </row>
    <row r="2690" spans="3:5" ht="14" x14ac:dyDescent="0.2">
      <c r="C2690" s="5"/>
      <c r="E2690" s="5"/>
    </row>
    <row r="2691" spans="3:5" ht="14" x14ac:dyDescent="0.2">
      <c r="C2691" s="5"/>
      <c r="E2691" s="5"/>
    </row>
    <row r="2692" spans="3:5" ht="14" x14ac:dyDescent="0.2">
      <c r="C2692" s="5"/>
      <c r="E2692" s="5"/>
    </row>
    <row r="2693" spans="3:5" ht="14" x14ac:dyDescent="0.2">
      <c r="C2693" s="5"/>
      <c r="E2693" s="5"/>
    </row>
    <row r="2694" spans="3:5" ht="14" x14ac:dyDescent="0.2">
      <c r="C2694" s="5"/>
      <c r="E2694" s="5"/>
    </row>
    <row r="2695" spans="3:5" ht="14" x14ac:dyDescent="0.2">
      <c r="C2695" s="5"/>
      <c r="E2695" s="5"/>
    </row>
    <row r="2696" spans="3:5" ht="14" x14ac:dyDescent="0.2">
      <c r="C2696" s="5"/>
      <c r="E2696" s="5"/>
    </row>
    <row r="2697" spans="3:5" ht="14" x14ac:dyDescent="0.2">
      <c r="C2697" s="5"/>
      <c r="E2697" s="5"/>
    </row>
    <row r="2698" spans="3:5" ht="14" x14ac:dyDescent="0.2">
      <c r="C2698" s="5"/>
      <c r="E2698" s="5"/>
    </row>
    <row r="2699" spans="3:5" ht="14" x14ac:dyDescent="0.2">
      <c r="C2699" s="5"/>
      <c r="E2699" s="5"/>
    </row>
    <row r="2700" spans="3:5" ht="14" x14ac:dyDescent="0.2">
      <c r="C2700" s="5"/>
      <c r="E2700" s="5"/>
    </row>
    <row r="2701" spans="3:5" ht="14" x14ac:dyDescent="0.2">
      <c r="C2701" s="5"/>
      <c r="E2701" s="5"/>
    </row>
    <row r="2702" spans="3:5" ht="14" x14ac:dyDescent="0.2">
      <c r="C2702" s="5"/>
      <c r="E2702" s="5"/>
    </row>
    <row r="2703" spans="3:5" ht="14" x14ac:dyDescent="0.2">
      <c r="C2703" s="5"/>
      <c r="E2703" s="5"/>
    </row>
    <row r="2704" spans="3:5" ht="14" x14ac:dyDescent="0.2">
      <c r="C2704" s="5"/>
      <c r="E2704" s="5"/>
    </row>
    <row r="2705" spans="3:5" ht="14" x14ac:dyDescent="0.2">
      <c r="C2705" s="5"/>
      <c r="E2705" s="5"/>
    </row>
    <row r="2706" spans="3:5" ht="14" x14ac:dyDescent="0.2">
      <c r="C2706" s="5"/>
      <c r="E2706" s="5"/>
    </row>
    <row r="2707" spans="3:5" ht="14" x14ac:dyDescent="0.2">
      <c r="C2707" s="5"/>
      <c r="E2707" s="5"/>
    </row>
    <row r="2708" spans="3:5" ht="14" x14ac:dyDescent="0.2">
      <c r="C2708" s="5"/>
      <c r="E2708" s="5"/>
    </row>
    <row r="2709" spans="3:5" ht="14" x14ac:dyDescent="0.2">
      <c r="C2709" s="5"/>
      <c r="E2709" s="5"/>
    </row>
    <row r="2710" spans="3:5" ht="14" x14ac:dyDescent="0.2">
      <c r="C2710" s="5"/>
      <c r="E2710" s="5"/>
    </row>
    <row r="2711" spans="3:5" ht="14" x14ac:dyDescent="0.2">
      <c r="C2711" s="5"/>
      <c r="E2711" s="5"/>
    </row>
    <row r="2712" spans="3:5" ht="14" x14ac:dyDescent="0.2">
      <c r="C2712" s="5"/>
      <c r="E2712" s="5"/>
    </row>
    <row r="2713" spans="3:5" ht="14" x14ac:dyDescent="0.2">
      <c r="C2713" s="5"/>
      <c r="E2713" s="5"/>
    </row>
    <row r="2714" spans="3:5" ht="14" x14ac:dyDescent="0.2">
      <c r="C2714" s="5"/>
      <c r="E2714" s="5"/>
    </row>
    <row r="2715" spans="3:5" ht="14" x14ac:dyDescent="0.2">
      <c r="C2715" s="5"/>
      <c r="E2715" s="5"/>
    </row>
    <row r="2716" spans="3:5" ht="14" x14ac:dyDescent="0.2">
      <c r="C2716" s="5"/>
      <c r="E2716" s="5"/>
    </row>
    <row r="2717" spans="3:5" ht="14" x14ac:dyDescent="0.2">
      <c r="C2717" s="5"/>
      <c r="E2717" s="5"/>
    </row>
    <row r="2718" spans="3:5" ht="14" x14ac:dyDescent="0.2">
      <c r="C2718" s="5"/>
      <c r="E2718" s="5"/>
    </row>
    <row r="2719" spans="3:5" ht="14" x14ac:dyDescent="0.2">
      <c r="C2719" s="5"/>
      <c r="E2719" s="5"/>
    </row>
    <row r="2720" spans="3:5" ht="14" x14ac:dyDescent="0.2">
      <c r="C2720" s="5"/>
      <c r="E2720" s="5"/>
    </row>
    <row r="2721" spans="3:5" ht="14" x14ac:dyDescent="0.2">
      <c r="C2721" s="5"/>
      <c r="E2721" s="5"/>
    </row>
    <row r="2722" spans="3:5" ht="14" x14ac:dyDescent="0.2">
      <c r="C2722" s="5"/>
      <c r="E2722" s="5"/>
    </row>
    <row r="2723" spans="3:5" ht="14" x14ac:dyDescent="0.2">
      <c r="C2723" s="5"/>
      <c r="E2723" s="5"/>
    </row>
    <row r="2724" spans="3:5" ht="14" x14ac:dyDescent="0.2">
      <c r="C2724" s="5"/>
      <c r="E2724" s="5"/>
    </row>
    <row r="2725" spans="3:5" ht="14" x14ac:dyDescent="0.2">
      <c r="C2725" s="5"/>
      <c r="E2725" s="5"/>
    </row>
    <row r="2726" spans="3:5" ht="14" x14ac:dyDescent="0.2">
      <c r="C2726" s="5"/>
      <c r="E2726" s="5"/>
    </row>
    <row r="2727" spans="3:5" ht="14" x14ac:dyDescent="0.2">
      <c r="C2727" s="5"/>
      <c r="E2727" s="5"/>
    </row>
    <row r="2728" spans="3:5" ht="14" x14ac:dyDescent="0.2">
      <c r="C2728" s="5"/>
      <c r="E2728" s="5"/>
    </row>
    <row r="2729" spans="3:5" ht="14" x14ac:dyDescent="0.2">
      <c r="C2729" s="5"/>
      <c r="E2729" s="5"/>
    </row>
    <row r="2730" spans="3:5" ht="14" x14ac:dyDescent="0.2">
      <c r="C2730" s="5"/>
      <c r="E2730" s="5"/>
    </row>
    <row r="2731" spans="3:5" ht="14" x14ac:dyDescent="0.2">
      <c r="C2731" s="5"/>
      <c r="E2731" s="5"/>
    </row>
    <row r="2732" spans="3:5" ht="14" x14ac:dyDescent="0.2">
      <c r="C2732" s="5"/>
      <c r="E2732" s="5"/>
    </row>
    <row r="2733" spans="3:5" ht="14" x14ac:dyDescent="0.2">
      <c r="C2733" s="5"/>
      <c r="E2733" s="5"/>
    </row>
    <row r="2734" spans="3:5" ht="14" x14ac:dyDescent="0.2">
      <c r="C2734" s="5"/>
      <c r="E2734" s="5"/>
    </row>
    <row r="2735" spans="3:5" ht="14" x14ac:dyDescent="0.2">
      <c r="C2735" s="5"/>
      <c r="E2735" s="5"/>
    </row>
    <row r="2736" spans="3:5" ht="14" x14ac:dyDescent="0.2">
      <c r="C2736" s="5"/>
      <c r="E2736" s="5"/>
    </row>
    <row r="2737" spans="3:5" ht="14" x14ac:dyDescent="0.2">
      <c r="C2737" s="5"/>
      <c r="E2737" s="5"/>
    </row>
    <row r="2738" spans="3:5" ht="14" x14ac:dyDescent="0.2">
      <c r="C2738" s="5"/>
      <c r="E2738" s="5"/>
    </row>
    <row r="2739" spans="3:5" ht="14" x14ac:dyDescent="0.2">
      <c r="C2739" s="5"/>
      <c r="E2739" s="5"/>
    </row>
    <row r="2740" spans="3:5" ht="14" x14ac:dyDescent="0.2">
      <c r="C2740" s="5"/>
      <c r="E2740" s="5"/>
    </row>
    <row r="2741" spans="3:5" ht="14" x14ac:dyDescent="0.2">
      <c r="C2741" s="5"/>
      <c r="E2741" s="5"/>
    </row>
    <row r="2742" spans="3:5" ht="14" x14ac:dyDescent="0.2">
      <c r="C2742" s="5"/>
      <c r="E2742" s="5"/>
    </row>
    <row r="2743" spans="3:5" ht="14" x14ac:dyDescent="0.2">
      <c r="C2743" s="5"/>
      <c r="E2743" s="5"/>
    </row>
    <row r="2744" spans="3:5" ht="14" x14ac:dyDescent="0.2">
      <c r="C2744" s="5"/>
      <c r="E2744" s="5"/>
    </row>
    <row r="2745" spans="3:5" ht="14" x14ac:dyDescent="0.2">
      <c r="C2745" s="5"/>
      <c r="E2745" s="5"/>
    </row>
    <row r="2746" spans="3:5" ht="14" x14ac:dyDescent="0.2">
      <c r="C2746" s="5"/>
      <c r="E2746" s="5"/>
    </row>
    <row r="2747" spans="3:5" ht="14" x14ac:dyDescent="0.2">
      <c r="C2747" s="5"/>
      <c r="E2747" s="5"/>
    </row>
    <row r="2748" spans="3:5" ht="14" x14ac:dyDescent="0.2">
      <c r="C2748" s="5"/>
      <c r="E2748" s="5"/>
    </row>
    <row r="2749" spans="3:5" ht="14" x14ac:dyDescent="0.2">
      <c r="C2749" s="5"/>
      <c r="E2749" s="5"/>
    </row>
    <row r="2750" spans="3:5" ht="14" x14ac:dyDescent="0.2">
      <c r="C2750" s="5"/>
      <c r="E2750" s="5"/>
    </row>
    <row r="2751" spans="3:5" ht="14" x14ac:dyDescent="0.2">
      <c r="C2751" s="5"/>
      <c r="E2751" s="5"/>
    </row>
    <row r="2752" spans="3:5" ht="14" x14ac:dyDescent="0.2">
      <c r="C2752" s="5"/>
      <c r="E2752" s="5"/>
    </row>
    <row r="2753" spans="3:5" ht="14" x14ac:dyDescent="0.2">
      <c r="C2753" s="5"/>
      <c r="E2753" s="5"/>
    </row>
    <row r="2754" spans="3:5" ht="14" x14ac:dyDescent="0.2">
      <c r="C2754" s="5"/>
      <c r="E2754" s="5"/>
    </row>
    <row r="2755" spans="3:5" ht="14" x14ac:dyDescent="0.2">
      <c r="C2755" s="5"/>
      <c r="E2755" s="5"/>
    </row>
    <row r="2756" spans="3:5" ht="14" x14ac:dyDescent="0.2">
      <c r="C2756" s="5"/>
      <c r="E2756" s="5"/>
    </row>
    <row r="2757" spans="3:5" ht="14" x14ac:dyDescent="0.2">
      <c r="C2757" s="5"/>
      <c r="E2757" s="5"/>
    </row>
    <row r="2758" spans="3:5" ht="14" x14ac:dyDescent="0.2">
      <c r="C2758" s="5"/>
      <c r="E2758" s="5"/>
    </row>
    <row r="2759" spans="3:5" ht="14" x14ac:dyDescent="0.2">
      <c r="C2759" s="5"/>
      <c r="E2759" s="5"/>
    </row>
    <row r="2760" spans="3:5" ht="14" x14ac:dyDescent="0.2">
      <c r="C2760" s="5"/>
      <c r="E2760" s="5"/>
    </row>
    <row r="2761" spans="3:5" ht="14" x14ac:dyDescent="0.2">
      <c r="C2761" s="5"/>
      <c r="E2761" s="5"/>
    </row>
    <row r="2762" spans="3:5" ht="14" x14ac:dyDescent="0.2">
      <c r="C2762" s="5"/>
      <c r="E2762" s="5"/>
    </row>
    <row r="2763" spans="3:5" ht="14" x14ac:dyDescent="0.2">
      <c r="C2763" s="5"/>
      <c r="E2763" s="5"/>
    </row>
    <row r="2764" spans="3:5" ht="14" x14ac:dyDescent="0.2">
      <c r="C2764" s="5"/>
      <c r="E2764" s="5"/>
    </row>
    <row r="2765" spans="3:5" ht="14" x14ac:dyDescent="0.2">
      <c r="C2765" s="5"/>
      <c r="E2765" s="5"/>
    </row>
    <row r="2766" spans="3:5" ht="14" x14ac:dyDescent="0.2">
      <c r="C2766" s="5"/>
      <c r="E2766" s="5"/>
    </row>
    <row r="2767" spans="3:5" ht="14" x14ac:dyDescent="0.2">
      <c r="C2767" s="5"/>
      <c r="E2767" s="5"/>
    </row>
    <row r="2768" spans="3:5" ht="14" x14ac:dyDescent="0.2">
      <c r="C2768" s="5"/>
      <c r="E2768" s="5"/>
    </row>
    <row r="2769" spans="3:5" ht="14" x14ac:dyDescent="0.2">
      <c r="C2769" s="5"/>
      <c r="E2769" s="5"/>
    </row>
    <row r="2770" spans="3:5" ht="14" x14ac:dyDescent="0.2">
      <c r="C2770" s="5"/>
      <c r="E2770" s="5"/>
    </row>
    <row r="2771" spans="3:5" ht="14" x14ac:dyDescent="0.2">
      <c r="C2771" s="5"/>
      <c r="E2771" s="5"/>
    </row>
    <row r="2772" spans="3:5" ht="14" x14ac:dyDescent="0.2">
      <c r="C2772" s="5"/>
      <c r="E2772" s="5"/>
    </row>
    <row r="2773" spans="3:5" ht="14" x14ac:dyDescent="0.2">
      <c r="C2773" s="5"/>
      <c r="E2773" s="5"/>
    </row>
    <row r="2774" spans="3:5" ht="14" x14ac:dyDescent="0.2">
      <c r="C2774" s="5"/>
      <c r="E2774" s="5"/>
    </row>
    <row r="2775" spans="3:5" ht="14" x14ac:dyDescent="0.2">
      <c r="C2775" s="5"/>
      <c r="E2775" s="5"/>
    </row>
    <row r="2776" spans="3:5" ht="14" x14ac:dyDescent="0.2">
      <c r="C2776" s="5"/>
      <c r="E2776" s="5"/>
    </row>
    <row r="2777" spans="3:5" ht="14" x14ac:dyDescent="0.2">
      <c r="C2777" s="5"/>
      <c r="E2777" s="5"/>
    </row>
    <row r="2778" spans="3:5" ht="14" x14ac:dyDescent="0.2">
      <c r="C2778" s="5"/>
      <c r="E2778" s="5"/>
    </row>
    <row r="2779" spans="3:5" ht="14" x14ac:dyDescent="0.2">
      <c r="C2779" s="5"/>
      <c r="E2779" s="5"/>
    </row>
    <row r="2780" spans="3:5" ht="14" x14ac:dyDescent="0.2">
      <c r="C2780" s="5"/>
      <c r="E2780" s="5"/>
    </row>
    <row r="2781" spans="3:5" ht="14" x14ac:dyDescent="0.2">
      <c r="C2781" s="5"/>
      <c r="E2781" s="5"/>
    </row>
    <row r="2782" spans="3:5" ht="14" x14ac:dyDescent="0.2">
      <c r="C2782" s="5"/>
      <c r="E2782" s="5"/>
    </row>
    <row r="2783" spans="3:5" ht="14" x14ac:dyDescent="0.2">
      <c r="C2783" s="5"/>
      <c r="E2783" s="5"/>
    </row>
    <row r="2784" spans="3:5" ht="14" x14ac:dyDescent="0.2">
      <c r="C2784" s="5"/>
      <c r="E2784" s="5"/>
    </row>
    <row r="2785" spans="3:5" ht="14" x14ac:dyDescent="0.2">
      <c r="C2785" s="5"/>
      <c r="E2785" s="5"/>
    </row>
    <row r="2786" spans="3:5" ht="14" x14ac:dyDescent="0.2">
      <c r="C2786" s="5"/>
      <c r="E2786" s="5"/>
    </row>
    <row r="2787" spans="3:5" ht="14" x14ac:dyDescent="0.2">
      <c r="C2787" s="5"/>
      <c r="E2787" s="5"/>
    </row>
    <row r="2788" spans="3:5" ht="14" x14ac:dyDescent="0.2">
      <c r="C2788" s="5"/>
      <c r="E2788" s="5"/>
    </row>
    <row r="2789" spans="3:5" ht="14" x14ac:dyDescent="0.2">
      <c r="C2789" s="5"/>
      <c r="E2789" s="5"/>
    </row>
    <row r="2790" spans="3:5" ht="14" x14ac:dyDescent="0.2">
      <c r="C2790" s="5"/>
      <c r="E2790" s="5"/>
    </row>
    <row r="2791" spans="3:5" ht="14" x14ac:dyDescent="0.2">
      <c r="C2791" s="5"/>
      <c r="E2791" s="5"/>
    </row>
    <row r="2792" spans="3:5" ht="14" x14ac:dyDescent="0.2">
      <c r="C2792" s="5"/>
      <c r="E2792" s="5"/>
    </row>
    <row r="2793" spans="3:5" ht="14" x14ac:dyDescent="0.2">
      <c r="C2793" s="5"/>
      <c r="E2793" s="5"/>
    </row>
    <row r="2794" spans="3:5" ht="14" x14ac:dyDescent="0.2">
      <c r="C2794" s="5"/>
      <c r="E2794" s="5"/>
    </row>
    <row r="2795" spans="3:5" ht="14" x14ac:dyDescent="0.2">
      <c r="C2795" s="5"/>
      <c r="E2795" s="5"/>
    </row>
    <row r="2796" spans="3:5" ht="14" x14ac:dyDescent="0.2">
      <c r="C2796" s="5"/>
      <c r="E2796" s="5"/>
    </row>
    <row r="2797" spans="3:5" ht="14" x14ac:dyDescent="0.2">
      <c r="C2797" s="5"/>
      <c r="E2797" s="5"/>
    </row>
    <row r="2798" spans="3:5" ht="14" x14ac:dyDescent="0.2">
      <c r="C2798" s="5"/>
      <c r="E2798" s="5"/>
    </row>
    <row r="2799" spans="3:5" ht="14" x14ac:dyDescent="0.2">
      <c r="C2799" s="5"/>
      <c r="E2799" s="5"/>
    </row>
    <row r="2800" spans="3:5" ht="14" x14ac:dyDescent="0.2">
      <c r="C2800" s="5"/>
      <c r="E2800" s="5"/>
    </row>
    <row r="2801" spans="3:5" ht="14" x14ac:dyDescent="0.2">
      <c r="C2801" s="5"/>
      <c r="E2801" s="5"/>
    </row>
    <row r="2802" spans="3:5" ht="14" x14ac:dyDescent="0.2">
      <c r="C2802" s="5"/>
      <c r="E2802" s="5"/>
    </row>
    <row r="2803" spans="3:5" ht="14" x14ac:dyDescent="0.2">
      <c r="C2803" s="5"/>
      <c r="E2803" s="5"/>
    </row>
    <row r="2804" spans="3:5" ht="14" x14ac:dyDescent="0.2">
      <c r="C2804" s="5"/>
      <c r="E2804" s="5"/>
    </row>
    <row r="2805" spans="3:5" ht="14" x14ac:dyDescent="0.2">
      <c r="C2805" s="5"/>
      <c r="E2805" s="5"/>
    </row>
    <row r="2806" spans="3:5" ht="14" x14ac:dyDescent="0.2">
      <c r="C2806" s="5"/>
      <c r="E2806" s="5"/>
    </row>
    <row r="2807" spans="3:5" ht="14" x14ac:dyDescent="0.2">
      <c r="C2807" s="5"/>
      <c r="E2807" s="5"/>
    </row>
    <row r="2808" spans="3:5" ht="14" x14ac:dyDescent="0.2">
      <c r="C2808" s="5"/>
      <c r="E2808" s="5"/>
    </row>
    <row r="2809" spans="3:5" ht="14" x14ac:dyDescent="0.2">
      <c r="C2809" s="5"/>
      <c r="E2809" s="5"/>
    </row>
    <row r="2810" spans="3:5" ht="14" x14ac:dyDescent="0.2">
      <c r="C2810" s="5"/>
      <c r="E2810" s="5"/>
    </row>
    <row r="2811" spans="3:5" ht="14" x14ac:dyDescent="0.2">
      <c r="C2811" s="5"/>
      <c r="E2811" s="5"/>
    </row>
    <row r="2812" spans="3:5" ht="14" x14ac:dyDescent="0.2">
      <c r="C2812" s="5"/>
      <c r="E2812" s="5"/>
    </row>
    <row r="2813" spans="3:5" ht="14" x14ac:dyDescent="0.2">
      <c r="C2813" s="5"/>
      <c r="E2813" s="5"/>
    </row>
    <row r="2814" spans="3:5" ht="14" x14ac:dyDescent="0.2">
      <c r="C2814" s="5"/>
      <c r="E2814" s="5"/>
    </row>
    <row r="2815" spans="3:5" ht="14" x14ac:dyDescent="0.2">
      <c r="C2815" s="5"/>
      <c r="E2815" s="5"/>
    </row>
    <row r="2816" spans="3:5" ht="14" x14ac:dyDescent="0.2">
      <c r="C2816" s="5"/>
      <c r="E2816" s="5"/>
    </row>
    <row r="2817" spans="3:5" ht="14" x14ac:dyDescent="0.2">
      <c r="C2817" s="5"/>
      <c r="E2817" s="5"/>
    </row>
    <row r="2818" spans="3:5" ht="14" x14ac:dyDescent="0.2">
      <c r="C2818" s="5"/>
      <c r="E2818" s="5"/>
    </row>
    <row r="2819" spans="3:5" ht="14" x14ac:dyDescent="0.2">
      <c r="C2819" s="5"/>
      <c r="E2819" s="5"/>
    </row>
    <row r="2820" spans="3:5" ht="14" x14ac:dyDescent="0.2">
      <c r="C2820" s="5"/>
      <c r="E2820" s="5"/>
    </row>
    <row r="2821" spans="3:5" ht="14" x14ac:dyDescent="0.2">
      <c r="C2821" s="5"/>
      <c r="E2821" s="5"/>
    </row>
    <row r="2822" spans="3:5" ht="14" x14ac:dyDescent="0.2">
      <c r="C2822" s="5"/>
      <c r="E2822" s="5"/>
    </row>
    <row r="2823" spans="3:5" ht="14" x14ac:dyDescent="0.2">
      <c r="C2823" s="5"/>
      <c r="E2823" s="5"/>
    </row>
    <row r="2824" spans="3:5" ht="14" x14ac:dyDescent="0.2">
      <c r="C2824" s="5"/>
      <c r="E2824" s="5"/>
    </row>
    <row r="2825" spans="3:5" ht="14" x14ac:dyDescent="0.2">
      <c r="C2825" s="5"/>
      <c r="E2825" s="5"/>
    </row>
    <row r="2826" spans="3:5" ht="14" x14ac:dyDescent="0.2">
      <c r="C2826" s="5"/>
      <c r="E2826" s="5"/>
    </row>
    <row r="2827" spans="3:5" ht="14" x14ac:dyDescent="0.2">
      <c r="C2827" s="5"/>
      <c r="E2827" s="5"/>
    </row>
    <row r="2828" spans="3:5" ht="14" x14ac:dyDescent="0.2">
      <c r="C2828" s="5"/>
      <c r="E2828" s="5"/>
    </row>
    <row r="2829" spans="3:5" ht="14" x14ac:dyDescent="0.2">
      <c r="C2829" s="5"/>
      <c r="E2829" s="5"/>
    </row>
    <row r="2830" spans="3:5" ht="14" x14ac:dyDescent="0.2">
      <c r="C2830" s="5"/>
      <c r="E2830" s="5"/>
    </row>
    <row r="2831" spans="3:5" ht="14" x14ac:dyDescent="0.2">
      <c r="C2831" s="5"/>
      <c r="E2831" s="5"/>
    </row>
    <row r="2832" spans="3:5" ht="14" x14ac:dyDescent="0.2">
      <c r="C2832" s="5"/>
      <c r="E2832" s="5"/>
    </row>
    <row r="2833" spans="3:5" ht="14" x14ac:dyDescent="0.2">
      <c r="C2833" s="5"/>
      <c r="E2833" s="5"/>
    </row>
    <row r="2834" spans="3:5" ht="14" x14ac:dyDescent="0.2">
      <c r="C2834" s="5"/>
      <c r="E2834" s="5"/>
    </row>
    <row r="2835" spans="3:5" ht="14" x14ac:dyDescent="0.2">
      <c r="C2835" s="5"/>
      <c r="E2835" s="5"/>
    </row>
    <row r="2836" spans="3:5" ht="14" x14ac:dyDescent="0.2">
      <c r="C2836" s="5"/>
      <c r="E2836" s="5"/>
    </row>
    <row r="2837" spans="3:5" ht="14" x14ac:dyDescent="0.2">
      <c r="C2837" s="5"/>
      <c r="E2837" s="5"/>
    </row>
    <row r="2838" spans="3:5" ht="14" x14ac:dyDescent="0.2">
      <c r="C2838" s="5"/>
      <c r="E2838" s="5"/>
    </row>
    <row r="2839" spans="3:5" ht="14" x14ac:dyDescent="0.2">
      <c r="C2839" s="5"/>
      <c r="E2839" s="5"/>
    </row>
    <row r="2840" spans="3:5" ht="14" x14ac:dyDescent="0.2">
      <c r="C2840" s="5"/>
      <c r="E2840" s="5"/>
    </row>
    <row r="2841" spans="3:5" ht="14" x14ac:dyDescent="0.2">
      <c r="C2841" s="5"/>
      <c r="E2841" s="5"/>
    </row>
    <row r="2842" spans="3:5" ht="14" x14ac:dyDescent="0.2">
      <c r="C2842" s="5"/>
      <c r="E2842" s="5"/>
    </row>
    <row r="2843" spans="3:5" ht="14" x14ac:dyDescent="0.2">
      <c r="C2843" s="5"/>
      <c r="E2843" s="5"/>
    </row>
    <row r="2844" spans="3:5" ht="14" x14ac:dyDescent="0.2">
      <c r="C2844" s="5"/>
      <c r="E2844" s="5"/>
    </row>
    <row r="2845" spans="3:5" ht="14" x14ac:dyDescent="0.2">
      <c r="C2845" s="5"/>
      <c r="E2845" s="5"/>
    </row>
    <row r="2846" spans="3:5" ht="14" x14ac:dyDescent="0.2">
      <c r="C2846" s="5"/>
      <c r="E2846" s="5"/>
    </row>
    <row r="2847" spans="3:5" ht="14" x14ac:dyDescent="0.2">
      <c r="C2847" s="5"/>
      <c r="E2847" s="5"/>
    </row>
    <row r="2848" spans="3:5" ht="14" x14ac:dyDescent="0.2">
      <c r="C2848" s="5"/>
      <c r="E2848" s="5"/>
    </row>
    <row r="2849" spans="3:5" ht="14" x14ac:dyDescent="0.2">
      <c r="C2849" s="5"/>
      <c r="E2849" s="5"/>
    </row>
    <row r="2850" spans="3:5" ht="14" x14ac:dyDescent="0.2">
      <c r="C2850" s="5"/>
      <c r="E2850" s="5"/>
    </row>
    <row r="2851" spans="3:5" ht="14" x14ac:dyDescent="0.2">
      <c r="C2851" s="5"/>
      <c r="E2851" s="5"/>
    </row>
    <row r="2852" spans="3:5" ht="14" x14ac:dyDescent="0.2">
      <c r="C2852" s="5"/>
      <c r="E2852" s="5"/>
    </row>
    <row r="2853" spans="3:5" ht="14" x14ac:dyDescent="0.2">
      <c r="C2853" s="5"/>
      <c r="E2853" s="5"/>
    </row>
    <row r="2854" spans="3:5" ht="14" x14ac:dyDescent="0.2">
      <c r="C2854" s="5"/>
      <c r="E2854" s="5"/>
    </row>
    <row r="2855" spans="3:5" ht="14" x14ac:dyDescent="0.2">
      <c r="C2855" s="5"/>
      <c r="E2855" s="5"/>
    </row>
    <row r="2856" spans="3:5" ht="14" x14ac:dyDescent="0.2">
      <c r="C2856" s="5"/>
      <c r="E2856" s="5"/>
    </row>
    <row r="2857" spans="3:5" ht="14" x14ac:dyDescent="0.2">
      <c r="C2857" s="5"/>
      <c r="E2857" s="5"/>
    </row>
    <row r="2858" spans="3:5" ht="14" x14ac:dyDescent="0.2">
      <c r="C2858" s="5"/>
      <c r="E2858" s="5"/>
    </row>
    <row r="2859" spans="3:5" ht="14" x14ac:dyDescent="0.2">
      <c r="C2859" s="5"/>
      <c r="E2859" s="5"/>
    </row>
    <row r="2860" spans="3:5" ht="14" x14ac:dyDescent="0.2">
      <c r="C2860" s="5"/>
      <c r="E2860" s="5"/>
    </row>
    <row r="2861" spans="3:5" ht="14" x14ac:dyDescent="0.2">
      <c r="C2861" s="5"/>
      <c r="E2861" s="5"/>
    </row>
    <row r="2862" spans="3:5" ht="14" x14ac:dyDescent="0.2">
      <c r="C2862" s="5"/>
      <c r="E2862" s="5"/>
    </row>
    <row r="2863" spans="3:5" ht="14" x14ac:dyDescent="0.2">
      <c r="C2863" s="5"/>
      <c r="E2863" s="5"/>
    </row>
    <row r="2864" spans="3:5" ht="14" x14ac:dyDescent="0.2">
      <c r="C2864" s="5"/>
      <c r="E2864" s="5"/>
    </row>
    <row r="2865" spans="3:5" ht="14" x14ac:dyDescent="0.2">
      <c r="C2865" s="5"/>
      <c r="E2865" s="5"/>
    </row>
    <row r="2866" spans="3:5" ht="14" x14ac:dyDescent="0.2">
      <c r="C2866" s="5"/>
      <c r="E2866" s="5"/>
    </row>
    <row r="2867" spans="3:5" ht="14" x14ac:dyDescent="0.2">
      <c r="C2867" s="5"/>
      <c r="E2867" s="5"/>
    </row>
    <row r="2868" spans="3:5" ht="14" x14ac:dyDescent="0.2">
      <c r="C2868" s="5"/>
      <c r="E2868" s="5"/>
    </row>
    <row r="2869" spans="3:5" ht="14" x14ac:dyDescent="0.2">
      <c r="C2869" s="5"/>
      <c r="E2869" s="5"/>
    </row>
    <row r="2870" spans="3:5" ht="14" x14ac:dyDescent="0.2">
      <c r="C2870" s="5"/>
      <c r="E2870" s="5"/>
    </row>
    <row r="2871" spans="3:5" ht="14" x14ac:dyDescent="0.2">
      <c r="C2871" s="5"/>
      <c r="E2871" s="5"/>
    </row>
    <row r="2872" spans="3:5" ht="14" x14ac:dyDescent="0.2">
      <c r="C2872" s="5"/>
      <c r="E2872" s="5"/>
    </row>
    <row r="2873" spans="3:5" ht="14" x14ac:dyDescent="0.2">
      <c r="C2873" s="5"/>
      <c r="E2873" s="5"/>
    </row>
    <row r="2874" spans="3:5" ht="14" x14ac:dyDescent="0.2">
      <c r="C2874" s="5"/>
      <c r="E2874" s="5"/>
    </row>
    <row r="2875" spans="3:5" ht="14" x14ac:dyDescent="0.2">
      <c r="C2875" s="5"/>
      <c r="E2875" s="5"/>
    </row>
    <row r="2876" spans="3:5" ht="14" x14ac:dyDescent="0.2">
      <c r="C2876" s="5"/>
      <c r="E2876" s="5"/>
    </row>
    <row r="2877" spans="3:5" ht="14" x14ac:dyDescent="0.2">
      <c r="C2877" s="5"/>
      <c r="E2877" s="5"/>
    </row>
    <row r="2878" spans="3:5" ht="14" x14ac:dyDescent="0.2">
      <c r="C2878" s="5"/>
      <c r="E2878" s="5"/>
    </row>
    <row r="2879" spans="3:5" ht="14" x14ac:dyDescent="0.2">
      <c r="C2879" s="5"/>
      <c r="E2879" s="5"/>
    </row>
    <row r="2880" spans="3:5" ht="14" x14ac:dyDescent="0.2">
      <c r="C2880" s="5"/>
      <c r="E2880" s="5"/>
    </row>
    <row r="2881" spans="3:5" ht="14" x14ac:dyDescent="0.2">
      <c r="C2881" s="5"/>
      <c r="E2881" s="5"/>
    </row>
    <row r="2882" spans="3:5" ht="14" x14ac:dyDescent="0.2">
      <c r="C2882" s="5"/>
      <c r="E2882" s="5"/>
    </row>
    <row r="2883" spans="3:5" ht="14" x14ac:dyDescent="0.2">
      <c r="C2883" s="5"/>
      <c r="E2883" s="5"/>
    </row>
  </sheetData>
  <mergeCells count="10">
    <mergeCell ref="F2289:G2289"/>
    <mergeCell ref="F2194:G2194"/>
    <mergeCell ref="H2289:I2289"/>
    <mergeCell ref="F388:G388"/>
    <mergeCell ref="F1120:G1120"/>
    <mergeCell ref="H1580:I1580"/>
    <mergeCell ref="H1622:I1622"/>
    <mergeCell ref="H1637:I1637"/>
    <mergeCell ref="H1686:I1686"/>
    <mergeCell ref="H1890:I189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 Wefill June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Abasibiangake Sunday</dc:creator>
  <cp:lastModifiedBy>Yusuf Yusuf</cp:lastModifiedBy>
  <dcterms:created xsi:type="dcterms:W3CDTF">2025-06-17T08:51:52Z</dcterms:created>
  <dcterms:modified xsi:type="dcterms:W3CDTF">2025-11-03T05:25:09Z</dcterms:modified>
</cp:coreProperties>
</file>